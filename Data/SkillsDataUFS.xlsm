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educationgovuk-my.sharepoint.com/personal/paul_james_education_gov_uk/Documents/Documents/RProjects/skillsDataCatalogue/Data/"/>
    </mc:Choice>
  </mc:AlternateContent>
  <xr:revisionPtr revIDLastSave="0" documentId="8_{ACA64982-A52E-43DE-9858-0640CA7DC009}" xr6:coauthVersionLast="47" xr6:coauthVersionMax="47" xr10:uidLastSave="{00000000-0000-0000-0000-000000000000}"/>
  <bookViews>
    <workbookView xWindow="-110" yWindow="-110" windowWidth="22780" windowHeight="14660" xr2:uid="{FCFBB439-EB2F-4466-A1CC-375FF73C942A}"/>
  </bookViews>
  <sheets>
    <sheet name="List of publications" sheetId="3" r:id="rId1"/>
    <sheet name="All" sheetId="7" state="hidden" r:id="rId2"/>
    <sheet name="AllVarLinks" sheetId="16" r:id="rId3"/>
    <sheet name="AllVar" sheetId="12" state="hidden" r:id="rId4"/>
    <sheet name="No VarName" sheetId="14" r:id="rId5"/>
    <sheet name="MultipleLkup" sheetId="15" r:id="rId6"/>
    <sheet name="AllVarName" sheetId="13" r:id="rId7"/>
    <sheet name="FE" sheetId="2" r:id="rId8"/>
    <sheet name="FE_Var_name" sheetId="4" r:id="rId9"/>
    <sheet name="Destinations" sheetId="5" r:id="rId10"/>
    <sheet name="Dest_Var_Name" sheetId="6" r:id="rId11"/>
    <sheet name="HE" sheetId="8" r:id="rId12"/>
    <sheet name="HE_Var_name" sheetId="9" r:id="rId13"/>
    <sheet name="UK Education and training" sheetId="10" r:id="rId14"/>
    <sheet name="UK Education and training_name" sheetId="11" r:id="rId15"/>
  </sheets>
  <functionGroups builtInGroupCount="19"/>
  <externalReferences>
    <externalReference r:id="rId16"/>
    <externalReference r:id="rId17"/>
    <externalReference r:id="rId18"/>
  </externalReferences>
  <definedNames>
    <definedName name="_xlnm._FilterDatabase" localSheetId="1" hidden="1">All!$A$2:$XR$2</definedName>
    <definedName name="_xlnm._FilterDatabase" localSheetId="3" hidden="1">AllVar!$A$3:$ADU$249</definedName>
    <definedName name="_xlnm._FilterDatabase" localSheetId="2" hidden="1">AllVarLinks!$A$3:$ADV$249</definedName>
    <definedName name="_xlnm._FilterDatabase" localSheetId="6" hidden="1">AllVarName!$A$1:$E$926</definedName>
    <definedName name="_xlnm._FilterDatabase" localSheetId="9" hidden="1">Destinations!$A$1:$JW$47</definedName>
    <definedName name="_xlnm._FilterDatabase" localSheetId="7" hidden="1">FE!$A$2:$HJ$2</definedName>
    <definedName name="_xlnm._FilterDatabase" localSheetId="0" hidden="1">'List of publications'!$A$6:$K$52</definedName>
    <definedName name="_xlnm._FilterDatabase" localSheetId="4" hidden="1">'No VarName'!$A$1:$D$802</definedName>
    <definedName name="_xlnm._FilterDatabase" localSheetId="14" hidden="1">'UK Education and training_name'!$A$2:$B$67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3" l="1"/>
  <c r="E4" i="13"/>
  <c r="E5" i="13"/>
  <c r="E6" i="13"/>
  <c r="E7" i="13"/>
  <c r="E8" i="13"/>
  <c r="E9" i="13"/>
  <c r="E248"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411"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758"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760" i="13"/>
  <c r="E769" i="13"/>
  <c r="E222" i="13"/>
  <c r="E223" i="13"/>
  <c r="E224" i="13"/>
  <c r="E413" i="13"/>
  <c r="E226" i="13"/>
  <c r="E227" i="13"/>
  <c r="E228" i="13"/>
  <c r="E229" i="13"/>
  <c r="E230" i="13"/>
  <c r="E231" i="13"/>
  <c r="E232" i="13"/>
  <c r="E233" i="13"/>
  <c r="E234" i="13"/>
  <c r="E235" i="13"/>
  <c r="E236" i="13"/>
  <c r="E237" i="13"/>
  <c r="E238" i="13"/>
  <c r="E239" i="13"/>
  <c r="E240" i="13"/>
  <c r="E241" i="13"/>
  <c r="E242" i="13"/>
  <c r="E243" i="13"/>
  <c r="E244" i="13"/>
  <c r="E245" i="13"/>
  <c r="E246" i="13"/>
  <c r="E247" i="13"/>
  <c r="E473" i="13"/>
  <c r="E249" i="13"/>
  <c r="E250" i="13"/>
  <c r="E251" i="13"/>
  <c r="E252" i="13"/>
  <c r="E253" i="13"/>
  <c r="E254" i="13"/>
  <c r="E255" i="13"/>
  <c r="E256" i="13"/>
  <c r="E257" i="13"/>
  <c r="E258" i="13"/>
  <c r="E259" i="13"/>
  <c r="E260" i="13"/>
  <c r="E261" i="13"/>
  <c r="E262" i="13"/>
  <c r="E263" i="13"/>
  <c r="E264" i="13"/>
  <c r="E265" i="13"/>
  <c r="E266" i="13"/>
  <c r="E267" i="13"/>
  <c r="E268" i="13"/>
  <c r="E269" i="13"/>
  <c r="E270" i="13"/>
  <c r="E271" i="13"/>
  <c r="E272" i="13"/>
  <c r="E273" i="13"/>
  <c r="E274" i="13"/>
  <c r="E275" i="13"/>
  <c r="E276" i="13"/>
  <c r="E277" i="13"/>
  <c r="E278" i="13"/>
  <c r="E279" i="13"/>
  <c r="E280" i="13"/>
  <c r="E281" i="13"/>
  <c r="E282" i="13"/>
  <c r="E283" i="13"/>
  <c r="E284" i="13"/>
  <c r="E285" i="13"/>
  <c r="E286" i="13"/>
  <c r="E287" i="13"/>
  <c r="E288" i="13"/>
  <c r="E289" i="13"/>
  <c r="E290" i="13"/>
  <c r="E291" i="13"/>
  <c r="E292" i="13"/>
  <c r="E293" i="13"/>
  <c r="E10" i="13"/>
  <c r="E295" i="13"/>
  <c r="E296" i="13"/>
  <c r="E297" i="13"/>
  <c r="E298" i="13"/>
  <c r="E299" i="13"/>
  <c r="E300" i="13"/>
  <c r="E301" i="13"/>
  <c r="E302" i="13"/>
  <c r="E303" i="13"/>
  <c r="E304" i="13"/>
  <c r="E305" i="13"/>
  <c r="E306" i="13"/>
  <c r="E307" i="13"/>
  <c r="E308" i="13"/>
  <c r="E309" i="13"/>
  <c r="E156" i="13"/>
  <c r="E221" i="13"/>
  <c r="E312" i="13"/>
  <c r="E313" i="13"/>
  <c r="E314" i="13"/>
  <c r="E315" i="13"/>
  <c r="E316" i="13"/>
  <c r="E317" i="13"/>
  <c r="E318" i="13"/>
  <c r="E319" i="13"/>
  <c r="E320" i="13"/>
  <c r="E321" i="13"/>
  <c r="E322" i="13"/>
  <c r="E323" i="13"/>
  <c r="E324" i="13"/>
  <c r="E325" i="13"/>
  <c r="E326" i="13"/>
  <c r="E327" i="13"/>
  <c r="E328" i="13"/>
  <c r="E329" i="13"/>
  <c r="E330" i="13"/>
  <c r="E331" i="13"/>
  <c r="E332" i="13"/>
  <c r="E333" i="13"/>
  <c r="E334" i="13"/>
  <c r="E335" i="13"/>
  <c r="E336" i="13"/>
  <c r="E337" i="13"/>
  <c r="E338" i="13"/>
  <c r="E339" i="13"/>
  <c r="E340" i="13"/>
  <c r="E341" i="13"/>
  <c r="E342" i="13"/>
  <c r="E343" i="13"/>
  <c r="E344" i="13"/>
  <c r="E345" i="13"/>
  <c r="E346" i="13"/>
  <c r="E347" i="13"/>
  <c r="E348" i="13"/>
  <c r="E349" i="13"/>
  <c r="E350" i="13"/>
  <c r="E351" i="13"/>
  <c r="E352" i="13"/>
  <c r="E353" i="13"/>
  <c r="E354" i="13"/>
  <c r="E355" i="13"/>
  <c r="E356" i="13"/>
  <c r="E357" i="13"/>
  <c r="E358" i="13"/>
  <c r="E359" i="13"/>
  <c r="E360" i="13"/>
  <c r="E361" i="13"/>
  <c r="E362" i="13"/>
  <c r="E363" i="13"/>
  <c r="E364" i="13"/>
  <c r="E365" i="13"/>
  <c r="E366" i="13"/>
  <c r="E367" i="13"/>
  <c r="E368" i="13"/>
  <c r="E369" i="13"/>
  <c r="E370" i="13"/>
  <c r="E371" i="13"/>
  <c r="E372" i="13"/>
  <c r="E419" i="13"/>
  <c r="E374" i="13"/>
  <c r="E375" i="13"/>
  <c r="E376" i="13"/>
  <c r="E377" i="13"/>
  <c r="E378" i="13"/>
  <c r="E379" i="13"/>
  <c r="E380" i="13"/>
  <c r="E381" i="13"/>
  <c r="E382" i="13"/>
  <c r="E383" i="13"/>
  <c r="E384" i="13"/>
  <c r="E385" i="13"/>
  <c r="E386" i="13"/>
  <c r="E387" i="13"/>
  <c r="E388" i="13"/>
  <c r="E389" i="13"/>
  <c r="E390" i="13"/>
  <c r="E391" i="13"/>
  <c r="E392" i="13"/>
  <c r="E393" i="13"/>
  <c r="E394" i="13"/>
  <c r="E395" i="13"/>
  <c r="E396" i="13"/>
  <c r="E397" i="13"/>
  <c r="E398" i="13"/>
  <c r="E399" i="13"/>
  <c r="E400" i="13"/>
  <c r="E401" i="13"/>
  <c r="E402" i="13"/>
  <c r="E403" i="13"/>
  <c r="E404" i="13"/>
  <c r="E405" i="13"/>
  <c r="E406" i="13"/>
  <c r="E407" i="13"/>
  <c r="E408" i="13"/>
  <c r="E409" i="13"/>
  <c r="E563" i="13"/>
  <c r="E581" i="13"/>
  <c r="E412" i="13"/>
  <c r="E448" i="13"/>
  <c r="E414" i="13"/>
  <c r="E415" i="13"/>
  <c r="E416" i="13"/>
  <c r="E417" i="13"/>
  <c r="E418" i="13"/>
  <c r="E710" i="13"/>
  <c r="E420" i="13"/>
  <c r="E421" i="13"/>
  <c r="E422" i="13"/>
  <c r="E756" i="13"/>
  <c r="E424" i="13"/>
  <c r="E425" i="13"/>
  <c r="E426" i="13"/>
  <c r="E427" i="13"/>
  <c r="E428" i="13"/>
  <c r="E429" i="13"/>
  <c r="E430" i="13"/>
  <c r="E431" i="13"/>
  <c r="E432" i="13"/>
  <c r="E433" i="13"/>
  <c r="E434" i="13"/>
  <c r="E435" i="13"/>
  <c r="E436" i="13"/>
  <c r="E437" i="13"/>
  <c r="E765" i="13"/>
  <c r="E439" i="13"/>
  <c r="E440" i="13"/>
  <c r="E441" i="13"/>
  <c r="E776" i="13"/>
  <c r="E443" i="13"/>
  <c r="E444" i="13"/>
  <c r="E445" i="13"/>
  <c r="E446" i="13"/>
  <c r="E447" i="13"/>
  <c r="E784" i="13"/>
  <c r="E828" i="13"/>
  <c r="E450" i="13"/>
  <c r="E451" i="13"/>
  <c r="E452" i="13"/>
  <c r="E453" i="13"/>
  <c r="E454" i="13"/>
  <c r="E455" i="13"/>
  <c r="E456" i="13"/>
  <c r="E457" i="13"/>
  <c r="E458" i="13"/>
  <c r="E459" i="13"/>
  <c r="E460" i="13"/>
  <c r="E461" i="13"/>
  <c r="E462" i="13"/>
  <c r="E463" i="13"/>
  <c r="E464" i="13"/>
  <c r="E465" i="13"/>
  <c r="E466" i="13"/>
  <c r="E467" i="13"/>
  <c r="E468" i="13"/>
  <c r="E469" i="13"/>
  <c r="E470" i="13"/>
  <c r="E471" i="13"/>
  <c r="E472" i="13"/>
  <c r="E901" i="13"/>
  <c r="E474" i="13"/>
  <c r="E475" i="13"/>
  <c r="E476" i="13"/>
  <c r="E477" i="13"/>
  <c r="E478" i="13"/>
  <c r="E479" i="13"/>
  <c r="E480" i="13"/>
  <c r="E481" i="13"/>
  <c r="E482" i="13"/>
  <c r="E483" i="13"/>
  <c r="E294" i="13"/>
  <c r="E485" i="13"/>
  <c r="E486" i="13"/>
  <c r="E487" i="13"/>
  <c r="E488" i="13"/>
  <c r="E489" i="13"/>
  <c r="E490" i="13"/>
  <c r="E491" i="13"/>
  <c r="E492" i="13"/>
  <c r="E493" i="13"/>
  <c r="E494" i="13"/>
  <c r="E495" i="13"/>
  <c r="E496" i="13"/>
  <c r="E497" i="13"/>
  <c r="E498" i="13"/>
  <c r="E499" i="13"/>
  <c r="E500" i="13"/>
  <c r="E501" i="13"/>
  <c r="E502" i="13"/>
  <c r="E503" i="13"/>
  <c r="E504" i="13"/>
  <c r="E505" i="13"/>
  <c r="E506" i="13"/>
  <c r="E507" i="13"/>
  <c r="E508" i="13"/>
  <c r="E509" i="13"/>
  <c r="E510" i="13"/>
  <c r="E511" i="13"/>
  <c r="E512" i="13"/>
  <c r="E513" i="13"/>
  <c r="E514" i="13"/>
  <c r="E515" i="13"/>
  <c r="E516" i="13"/>
  <c r="E517" i="13"/>
  <c r="E518" i="13"/>
  <c r="E519" i="13"/>
  <c r="E520" i="13"/>
  <c r="E521" i="13"/>
  <c r="E522" i="13"/>
  <c r="E523" i="13"/>
  <c r="E524" i="13"/>
  <c r="E525" i="13"/>
  <c r="E526" i="13"/>
  <c r="E527" i="13"/>
  <c r="E528" i="13"/>
  <c r="E529" i="13"/>
  <c r="E530" i="13"/>
  <c r="E531" i="13"/>
  <c r="E532" i="13"/>
  <c r="E533" i="13"/>
  <c r="E534" i="13"/>
  <c r="E535" i="13"/>
  <c r="E536" i="13"/>
  <c r="E537" i="13"/>
  <c r="E538" i="13"/>
  <c r="E539" i="13"/>
  <c r="E540" i="13"/>
  <c r="E541" i="13"/>
  <c r="E542" i="13"/>
  <c r="E543" i="13"/>
  <c r="E544" i="13"/>
  <c r="E545" i="13"/>
  <c r="E546" i="13"/>
  <c r="E547" i="13"/>
  <c r="E548" i="13"/>
  <c r="E549" i="13"/>
  <c r="E550" i="13"/>
  <c r="E551" i="13"/>
  <c r="E552" i="13"/>
  <c r="E553" i="13"/>
  <c r="E554" i="13"/>
  <c r="E555" i="13"/>
  <c r="E556" i="13"/>
  <c r="E557" i="13"/>
  <c r="E558" i="13"/>
  <c r="E559" i="13"/>
  <c r="E560" i="13"/>
  <c r="E561" i="13"/>
  <c r="E770" i="13"/>
  <c r="E768" i="13"/>
  <c r="E564" i="13"/>
  <c r="E565" i="13"/>
  <c r="E566" i="13"/>
  <c r="E567" i="13"/>
  <c r="E568" i="13"/>
  <c r="E569" i="13"/>
  <c r="E570" i="13"/>
  <c r="E571" i="13"/>
  <c r="E572" i="13"/>
  <c r="E573" i="13"/>
  <c r="E574" i="13"/>
  <c r="E575" i="13"/>
  <c r="E576" i="13"/>
  <c r="E577" i="13"/>
  <c r="E578" i="13"/>
  <c r="E579" i="13"/>
  <c r="E580" i="13"/>
  <c r="E310" i="13"/>
  <c r="E582" i="13"/>
  <c r="E583" i="13"/>
  <c r="E584" i="13"/>
  <c r="E585" i="13"/>
  <c r="E586" i="13"/>
  <c r="E587" i="13"/>
  <c r="E588" i="13"/>
  <c r="E589" i="13"/>
  <c r="E590" i="13"/>
  <c r="E591" i="13"/>
  <c r="E592" i="13"/>
  <c r="E593" i="13"/>
  <c r="E594" i="13"/>
  <c r="E595" i="13"/>
  <c r="E596" i="13"/>
  <c r="E597" i="13"/>
  <c r="E598" i="13"/>
  <c r="E599" i="13"/>
  <c r="E600" i="13"/>
  <c r="E601" i="13"/>
  <c r="E602" i="13"/>
  <c r="E603" i="13"/>
  <c r="E604" i="13"/>
  <c r="E605" i="13"/>
  <c r="E606" i="13"/>
  <c r="E607" i="13"/>
  <c r="E608" i="13"/>
  <c r="E609" i="13"/>
  <c r="E610" i="13"/>
  <c r="E611" i="13"/>
  <c r="E612" i="13"/>
  <c r="E613" i="13"/>
  <c r="E614" i="13"/>
  <c r="E615" i="13"/>
  <c r="E616" i="13"/>
  <c r="E617" i="13"/>
  <c r="E618" i="13"/>
  <c r="E619" i="13"/>
  <c r="E620" i="13"/>
  <c r="E621" i="13"/>
  <c r="E622" i="13"/>
  <c r="E623" i="13"/>
  <c r="E624" i="13"/>
  <c r="E625" i="13"/>
  <c r="E626" i="13"/>
  <c r="E627" i="13"/>
  <c r="E628" i="13"/>
  <c r="E629" i="13"/>
  <c r="E630" i="13"/>
  <c r="E631" i="13"/>
  <c r="E632" i="13"/>
  <c r="E633" i="13"/>
  <c r="E634" i="13"/>
  <c r="E635" i="13"/>
  <c r="E636" i="13"/>
  <c r="E637" i="13"/>
  <c r="E638" i="13"/>
  <c r="E639" i="13"/>
  <c r="E640" i="13"/>
  <c r="E641" i="13"/>
  <c r="E642" i="13"/>
  <c r="E643" i="13"/>
  <c r="E644" i="13"/>
  <c r="E645" i="13"/>
  <c r="E646" i="13"/>
  <c r="E647" i="13"/>
  <c r="E648" i="13"/>
  <c r="E649" i="13"/>
  <c r="E650" i="13"/>
  <c r="E651" i="13"/>
  <c r="E652" i="13"/>
  <c r="E653" i="13"/>
  <c r="E654" i="13"/>
  <c r="E655" i="13"/>
  <c r="E656" i="13"/>
  <c r="E657" i="13"/>
  <c r="E658" i="13"/>
  <c r="E659" i="13"/>
  <c r="E660" i="13"/>
  <c r="E661" i="13"/>
  <c r="E662" i="13"/>
  <c r="E663" i="13"/>
  <c r="E664" i="13"/>
  <c r="E665" i="13"/>
  <c r="E666" i="13"/>
  <c r="E667" i="13"/>
  <c r="E668" i="13"/>
  <c r="E669" i="13"/>
  <c r="E670" i="13"/>
  <c r="E671" i="13"/>
  <c r="E672" i="13"/>
  <c r="E673" i="13"/>
  <c r="E674" i="13"/>
  <c r="E675" i="13"/>
  <c r="E676" i="13"/>
  <c r="E677" i="13"/>
  <c r="E678" i="13"/>
  <c r="E679" i="13"/>
  <c r="E680" i="13"/>
  <c r="E681" i="13"/>
  <c r="E682" i="13"/>
  <c r="E683" i="13"/>
  <c r="E684" i="13"/>
  <c r="E685" i="13"/>
  <c r="E686" i="13"/>
  <c r="E687" i="13"/>
  <c r="E688" i="13"/>
  <c r="E689" i="13"/>
  <c r="E690" i="13"/>
  <c r="E691" i="13"/>
  <c r="E692" i="13"/>
  <c r="E693" i="13"/>
  <c r="E694" i="13"/>
  <c r="E695" i="13"/>
  <c r="E696" i="13"/>
  <c r="E697" i="13"/>
  <c r="E698" i="13"/>
  <c r="E699" i="13"/>
  <c r="E700" i="13"/>
  <c r="E701" i="13"/>
  <c r="E702" i="13"/>
  <c r="E703" i="13"/>
  <c r="E704" i="13"/>
  <c r="E705" i="13"/>
  <c r="E706" i="13"/>
  <c r="E707" i="13"/>
  <c r="E708" i="13"/>
  <c r="E709" i="13"/>
  <c r="E562" i="13"/>
  <c r="E711" i="13"/>
  <c r="E712" i="13"/>
  <c r="E713" i="13"/>
  <c r="E714" i="13"/>
  <c r="E715" i="13"/>
  <c r="E716" i="13"/>
  <c r="E717" i="13"/>
  <c r="E718" i="13"/>
  <c r="E719" i="13"/>
  <c r="E720" i="13"/>
  <c r="E721" i="13"/>
  <c r="E722" i="13"/>
  <c r="E723" i="13"/>
  <c r="E724" i="13"/>
  <c r="E725" i="13"/>
  <c r="E726" i="13"/>
  <c r="E727" i="13"/>
  <c r="E728" i="13"/>
  <c r="E729" i="13"/>
  <c r="E730" i="13"/>
  <c r="E731" i="13"/>
  <c r="E732" i="13"/>
  <c r="E733" i="13"/>
  <c r="E734" i="13"/>
  <c r="E735" i="13"/>
  <c r="E736" i="13"/>
  <c r="E737" i="13"/>
  <c r="E738" i="13"/>
  <c r="E739" i="13"/>
  <c r="E740" i="13"/>
  <c r="E741" i="13"/>
  <c r="E742" i="13"/>
  <c r="E743" i="13"/>
  <c r="E744" i="13"/>
  <c r="E745" i="13"/>
  <c r="E746" i="13"/>
  <c r="E747" i="13"/>
  <c r="E748" i="13"/>
  <c r="E749" i="13"/>
  <c r="E750" i="13"/>
  <c r="E751" i="13"/>
  <c r="E752" i="13"/>
  <c r="E753" i="13"/>
  <c r="E754" i="13"/>
  <c r="E779" i="13"/>
  <c r="E757" i="13"/>
  <c r="E225" i="13"/>
  <c r="E80" i="13"/>
  <c r="E794" i="13"/>
  <c r="E829" i="13"/>
  <c r="E761" i="13"/>
  <c r="E762" i="13"/>
  <c r="E763" i="13"/>
  <c r="E764" i="13"/>
  <c r="E908" i="13"/>
  <c r="E766" i="13"/>
  <c r="E767" i="13"/>
  <c r="E220" i="13"/>
  <c r="E311" i="13"/>
  <c r="E484" i="13"/>
  <c r="E771" i="13"/>
  <c r="E772" i="13"/>
  <c r="E773" i="13"/>
  <c r="E774" i="13"/>
  <c r="E775" i="13"/>
  <c r="E755" i="13"/>
  <c r="E777" i="13"/>
  <c r="E778" i="13"/>
  <c r="E438" i="13"/>
  <c r="E780" i="13"/>
  <c r="E781" i="13"/>
  <c r="E782" i="13"/>
  <c r="E783" i="13"/>
  <c r="E423" i="13"/>
  <c r="E785" i="13"/>
  <c r="E786" i="13"/>
  <c r="E787" i="13"/>
  <c r="E788" i="13"/>
  <c r="E789" i="13"/>
  <c r="E790" i="13"/>
  <c r="E791" i="13"/>
  <c r="E792" i="13"/>
  <c r="E793" i="13"/>
  <c r="E759" i="13"/>
  <c r="E795" i="13"/>
  <c r="E796" i="13"/>
  <c r="E797" i="13"/>
  <c r="E798" i="13"/>
  <c r="E799" i="13"/>
  <c r="E800" i="13"/>
  <c r="E801" i="13"/>
  <c r="E802" i="13"/>
  <c r="E803" i="13"/>
  <c r="E804" i="13"/>
  <c r="E805" i="13"/>
  <c r="E806" i="13"/>
  <c r="E807" i="13"/>
  <c r="E808" i="13"/>
  <c r="E809" i="13"/>
  <c r="E810" i="13"/>
  <c r="E811" i="13"/>
  <c r="E812" i="13"/>
  <c r="E813" i="13"/>
  <c r="E814" i="13"/>
  <c r="E815" i="13"/>
  <c r="E816" i="13"/>
  <c r="E817" i="13"/>
  <c r="E818" i="13"/>
  <c r="E819" i="13"/>
  <c r="E820" i="13"/>
  <c r="E821" i="13"/>
  <c r="E822" i="13"/>
  <c r="E823" i="13"/>
  <c r="E824" i="13"/>
  <c r="E825" i="13"/>
  <c r="E826" i="13"/>
  <c r="E827" i="13"/>
  <c r="E373" i="13"/>
  <c r="E442" i="13"/>
  <c r="E830" i="13"/>
  <c r="E831" i="13"/>
  <c r="E832" i="13"/>
  <c r="E833" i="13"/>
  <c r="E834" i="13"/>
  <c r="E835" i="13"/>
  <c r="E836" i="13"/>
  <c r="E837" i="13"/>
  <c r="E838" i="13"/>
  <c r="E839" i="13"/>
  <c r="E840" i="13"/>
  <c r="E841" i="13"/>
  <c r="E842" i="13"/>
  <c r="E843" i="13"/>
  <c r="E844" i="13"/>
  <c r="E845" i="13"/>
  <c r="E846" i="13"/>
  <c r="E847" i="13"/>
  <c r="E848" i="13"/>
  <c r="E849" i="13"/>
  <c r="E850" i="13"/>
  <c r="E851" i="13"/>
  <c r="E852" i="13"/>
  <c r="E853" i="13"/>
  <c r="E854" i="13"/>
  <c r="E855" i="13"/>
  <c r="E856" i="13"/>
  <c r="E857" i="13"/>
  <c r="E858" i="13"/>
  <c r="E859" i="13"/>
  <c r="E860" i="13"/>
  <c r="E861" i="13"/>
  <c r="E862" i="13"/>
  <c r="E863" i="13"/>
  <c r="E864" i="13"/>
  <c r="E865" i="13"/>
  <c r="E866" i="13"/>
  <c r="E867" i="13"/>
  <c r="E868" i="13"/>
  <c r="E869" i="13"/>
  <c r="E870" i="13"/>
  <c r="E871" i="13"/>
  <c r="E872" i="13"/>
  <c r="E873" i="13"/>
  <c r="E874" i="13"/>
  <c r="E875" i="13"/>
  <c r="E876" i="13"/>
  <c r="E877" i="13"/>
  <c r="E878" i="13"/>
  <c r="E879" i="13"/>
  <c r="E880" i="13"/>
  <c r="E881" i="13"/>
  <c r="E882" i="13"/>
  <c r="E883" i="13"/>
  <c r="E884" i="13"/>
  <c r="E885" i="13"/>
  <c r="E886" i="13"/>
  <c r="E887" i="13"/>
  <c r="E888" i="13"/>
  <c r="E889" i="13"/>
  <c r="E890" i="13"/>
  <c r="E891" i="13"/>
  <c r="E892" i="13"/>
  <c r="E893" i="13"/>
  <c r="E894" i="13"/>
  <c r="E895" i="13"/>
  <c r="E896" i="13"/>
  <c r="E897" i="13"/>
  <c r="E898" i="13"/>
  <c r="E899" i="13"/>
  <c r="E900" i="13"/>
  <c r="E410" i="13"/>
  <c r="E902" i="13"/>
  <c r="E903" i="13"/>
  <c r="E904" i="13"/>
  <c r="E905" i="13"/>
  <c r="E906" i="13"/>
  <c r="E907" i="13"/>
  <c r="E449" i="13"/>
  <c r="E909" i="13"/>
  <c r="E910" i="13"/>
  <c r="E911" i="13"/>
  <c r="E912" i="13"/>
  <c r="E913" i="13"/>
  <c r="E914" i="13"/>
  <c r="E915" i="13"/>
  <c r="E916" i="13"/>
  <c r="E917" i="13"/>
  <c r="E918" i="13"/>
  <c r="E919" i="13"/>
  <c r="E920" i="13"/>
  <c r="E921" i="13"/>
  <c r="E922" i="13"/>
  <c r="E923" i="13"/>
  <c r="E924" i="13"/>
  <c r="E925" i="13"/>
  <c r="E926" i="13"/>
  <c r="E2" i="13"/>
  <c r="D802" i="14"/>
  <c r="D799" i="14"/>
  <c r="D800" i="14"/>
  <c r="D801" i="14"/>
  <c r="ZM208" i="16"/>
  <c r="ZM207" i="16"/>
  <c r="RG164" i="16"/>
  <c r="QF119" i="16"/>
  <c r="QF118" i="16"/>
  <c r="QF117" i="16"/>
  <c r="QF116" i="16"/>
  <c r="QF112" i="16"/>
  <c r="QF111" i="16"/>
  <c r="QF110" i="16"/>
  <c r="QF109" i="16"/>
  <c r="QF108" i="16"/>
  <c r="QF107" i="16"/>
  <c r="QF106" i="16"/>
  <c r="ADV2" i="16"/>
  <c r="ADV3" i="16" s="1"/>
  <c r="ADU2" i="16"/>
  <c r="ADU3" i="16" s="1"/>
  <c r="ADT2" i="16"/>
  <c r="ADT3" i="16" s="1"/>
  <c r="ADS2" i="16"/>
  <c r="ADS3" i="16" s="1"/>
  <c r="ADR2" i="16"/>
  <c r="ADR3" i="16" s="1"/>
  <c r="ADQ2" i="16"/>
  <c r="ADQ3" i="16" s="1"/>
  <c r="ADP2" i="16"/>
  <c r="ADP3" i="16" s="1"/>
  <c r="ADO2" i="16"/>
  <c r="ADO3" i="16" s="1"/>
  <c r="ADN2" i="16"/>
  <c r="ADN3" i="16" s="1"/>
  <c r="ADM2" i="16"/>
  <c r="ADM3" i="16" s="1"/>
  <c r="ADL2" i="16"/>
  <c r="ADL3" i="16" s="1"/>
  <c r="ADK2" i="16"/>
  <c r="ADK3" i="16" s="1"/>
  <c r="ADJ2" i="16"/>
  <c r="ADJ3" i="16" s="1"/>
  <c r="ADI2" i="16"/>
  <c r="ADI3" i="16" s="1"/>
  <c r="ADH2" i="16"/>
  <c r="ADH3" i="16" s="1"/>
  <c r="ADG2" i="16"/>
  <c r="ADG3" i="16" s="1"/>
  <c r="ADF2" i="16"/>
  <c r="ADF3" i="16" s="1"/>
  <c r="ADE2" i="16"/>
  <c r="ADE3" i="16" s="1"/>
  <c r="ADD2" i="16"/>
  <c r="ADD3" i="16" s="1"/>
  <c r="ADC2" i="16"/>
  <c r="ADC3" i="16" s="1"/>
  <c r="ADB2" i="16"/>
  <c r="ADB3" i="16" s="1"/>
  <c r="ADA2" i="16"/>
  <c r="ADA3" i="16" s="1"/>
  <c r="ACZ2" i="16"/>
  <c r="ACZ3" i="16" s="1"/>
  <c r="ACY2" i="16"/>
  <c r="ACY3" i="16" s="1"/>
  <c r="ACX2" i="16"/>
  <c r="ACX3" i="16" s="1"/>
  <c r="ACW2" i="16"/>
  <c r="ACW3" i="16" s="1"/>
  <c r="ACV2" i="16"/>
  <c r="ACV3" i="16" s="1"/>
  <c r="ACU2" i="16"/>
  <c r="ACU3" i="16" s="1"/>
  <c r="ACT2" i="16"/>
  <c r="ACT3" i="16" s="1"/>
  <c r="ACS2" i="16"/>
  <c r="ACS3" i="16" s="1"/>
  <c r="ACR2" i="16"/>
  <c r="ACR3" i="16" s="1"/>
  <c r="ACQ2" i="16"/>
  <c r="ACQ3" i="16" s="1"/>
  <c r="ACP2" i="16"/>
  <c r="ACP3" i="16" s="1"/>
  <c r="ACO2" i="16"/>
  <c r="ACO3" i="16" s="1"/>
  <c r="ACN2" i="16"/>
  <c r="ACN3" i="16" s="1"/>
  <c r="ACM2" i="16"/>
  <c r="ACM3" i="16" s="1"/>
  <c r="ACL2" i="16"/>
  <c r="ACL3" i="16" s="1"/>
  <c r="ACK2" i="16"/>
  <c r="ACK3" i="16" s="1"/>
  <c r="ACJ2" i="16"/>
  <c r="ACJ3" i="16" s="1"/>
  <c r="ACI2" i="16"/>
  <c r="ACI3" i="16" s="1"/>
  <c r="ACH2" i="16"/>
  <c r="ACH3" i="16" s="1"/>
  <c r="ACG2" i="16"/>
  <c r="ACG3" i="16" s="1"/>
  <c r="ACF2" i="16"/>
  <c r="ACF3" i="16" s="1"/>
  <c r="ACE2" i="16"/>
  <c r="ACE3" i="16" s="1"/>
  <c r="ACD2" i="16"/>
  <c r="ACD3" i="16" s="1"/>
  <c r="ACC2" i="16"/>
  <c r="ACC3" i="16" s="1"/>
  <c r="ACB2" i="16"/>
  <c r="ACB3" i="16" s="1"/>
  <c r="ACA2" i="16"/>
  <c r="ACA3" i="16" s="1"/>
  <c r="ABZ2" i="16"/>
  <c r="ABZ3" i="16" s="1"/>
  <c r="ABY2" i="16"/>
  <c r="ABY3" i="16" s="1"/>
  <c r="ABX2" i="16"/>
  <c r="ABX3" i="16" s="1"/>
  <c r="ABW2" i="16"/>
  <c r="ABW3" i="16" s="1"/>
  <c r="ABV2" i="16"/>
  <c r="ABV3" i="16" s="1"/>
  <c r="ABU2" i="16"/>
  <c r="ABU3" i="16" s="1"/>
  <c r="ABT2" i="16"/>
  <c r="ABT3" i="16" s="1"/>
  <c r="ABS2" i="16"/>
  <c r="ABS3" i="16" s="1"/>
  <c r="ABR2" i="16"/>
  <c r="ABR3" i="16" s="1"/>
  <c r="ABQ2" i="16"/>
  <c r="ABQ3" i="16" s="1"/>
  <c r="ABP2" i="16"/>
  <c r="ABP3" i="16" s="1"/>
  <c r="ABO2" i="16"/>
  <c r="ABO3" i="16" s="1"/>
  <c r="ABN2" i="16"/>
  <c r="ABN3" i="16" s="1"/>
  <c r="ABM2" i="16"/>
  <c r="ABM3" i="16" s="1"/>
  <c r="ABL2" i="16"/>
  <c r="ABL3" i="16" s="1"/>
  <c r="ABK2" i="16"/>
  <c r="ABK3" i="16" s="1"/>
  <c r="ABJ2" i="16"/>
  <c r="ABJ3" i="16" s="1"/>
  <c r="ABI2" i="16"/>
  <c r="ABI3" i="16" s="1"/>
  <c r="ABH2" i="16"/>
  <c r="ABH3" i="16" s="1"/>
  <c r="ABG2" i="16"/>
  <c r="ABG3" i="16" s="1"/>
  <c r="ABF2" i="16"/>
  <c r="ABF3" i="16" s="1"/>
  <c r="ABE2" i="16"/>
  <c r="ABE3" i="16" s="1"/>
  <c r="ABD2" i="16"/>
  <c r="ABD3" i="16" s="1"/>
  <c r="ABC2" i="16"/>
  <c r="ABC3" i="16" s="1"/>
  <c r="ABB2" i="16"/>
  <c r="ABB3" i="16" s="1"/>
  <c r="ABA2" i="16"/>
  <c r="ABA3" i="16" s="1"/>
  <c r="AAZ2" i="16"/>
  <c r="AAZ3" i="16" s="1"/>
  <c r="AAY2" i="16"/>
  <c r="AAY3" i="16" s="1"/>
  <c r="AAX2" i="16"/>
  <c r="AAX3" i="16" s="1"/>
  <c r="AAW2" i="16"/>
  <c r="AAW3" i="16" s="1"/>
  <c r="AAV2" i="16"/>
  <c r="AAV3" i="16" s="1"/>
  <c r="AAU2" i="16"/>
  <c r="AAU3" i="16" s="1"/>
  <c r="AAT2" i="16"/>
  <c r="AAT3" i="16" s="1"/>
  <c r="AAS2" i="16"/>
  <c r="AAS3" i="16" s="1"/>
  <c r="AAR2" i="16"/>
  <c r="AAR3" i="16" s="1"/>
  <c r="AAQ2" i="16"/>
  <c r="AAQ3" i="16" s="1"/>
  <c r="AAP2" i="16"/>
  <c r="AAP3" i="16" s="1"/>
  <c r="AAO2" i="16"/>
  <c r="AAO3" i="16" s="1"/>
  <c r="AAN2" i="16"/>
  <c r="AAN3" i="16" s="1"/>
  <c r="AAM2" i="16"/>
  <c r="AAM3" i="16" s="1"/>
  <c r="AAL2" i="16"/>
  <c r="AAL3" i="16" s="1"/>
  <c r="AAK2" i="16"/>
  <c r="AAK3" i="16" s="1"/>
  <c r="AAJ2" i="16"/>
  <c r="AAJ3" i="16" s="1"/>
  <c r="AAI2" i="16"/>
  <c r="AAI3" i="16" s="1"/>
  <c r="AAH2" i="16"/>
  <c r="AAH3" i="16" s="1"/>
  <c r="AAG2" i="16"/>
  <c r="AAG3" i="16" s="1"/>
  <c r="AAF2" i="16"/>
  <c r="AAF3" i="16" s="1"/>
  <c r="AAE2" i="16"/>
  <c r="AAE3" i="16" s="1"/>
  <c r="AAD2" i="16"/>
  <c r="AAD3" i="16" s="1"/>
  <c r="AAC2" i="16"/>
  <c r="AAC3" i="16" s="1"/>
  <c r="AAB2" i="16"/>
  <c r="AAB3" i="16" s="1"/>
  <c r="AAA2" i="16"/>
  <c r="AAA3" i="16" s="1"/>
  <c r="ZZ2" i="16"/>
  <c r="ZZ3" i="16" s="1"/>
  <c r="ZY2" i="16"/>
  <c r="ZY3" i="16" s="1"/>
  <c r="ZX2" i="16"/>
  <c r="ZX3" i="16" s="1"/>
  <c r="ZW2" i="16"/>
  <c r="ZW3" i="16" s="1"/>
  <c r="ZV2" i="16"/>
  <c r="ZV3" i="16" s="1"/>
  <c r="ZU2" i="16"/>
  <c r="ZU3" i="16" s="1"/>
  <c r="ZT2" i="16"/>
  <c r="ZT3" i="16" s="1"/>
  <c r="ZS2" i="16"/>
  <c r="ZS3" i="16" s="1"/>
  <c r="ZR2" i="16"/>
  <c r="ZR3" i="16" s="1"/>
  <c r="ZQ2" i="16"/>
  <c r="ZQ3" i="16" s="1"/>
  <c r="ZP2" i="16"/>
  <c r="ZP3" i="16" s="1"/>
  <c r="ZO2" i="16"/>
  <c r="ZO3" i="16" s="1"/>
  <c r="ZN2" i="16"/>
  <c r="ZN3" i="16" s="1"/>
  <c r="ZM2" i="16"/>
  <c r="ZM3" i="16" s="1"/>
  <c r="ZL2" i="16"/>
  <c r="ZL3" i="16" s="1"/>
  <c r="ZK2" i="16"/>
  <c r="ZK3" i="16" s="1"/>
  <c r="ZJ2" i="16"/>
  <c r="ZJ3" i="16" s="1"/>
  <c r="ZI2" i="16"/>
  <c r="ZI3" i="16" s="1"/>
  <c r="ZH2" i="16"/>
  <c r="ZH3" i="16" s="1"/>
  <c r="ZG2" i="16"/>
  <c r="ZG3" i="16" s="1"/>
  <c r="ZF2" i="16"/>
  <c r="ZF3" i="16" s="1"/>
  <c r="ZE2" i="16"/>
  <c r="ZE3" i="16" s="1"/>
  <c r="ZD2" i="16"/>
  <c r="ZD3" i="16" s="1"/>
  <c r="ZC2" i="16"/>
  <c r="ZC3" i="16" s="1"/>
  <c r="ZB2" i="16"/>
  <c r="ZB3" i="16" s="1"/>
  <c r="ZA2" i="16"/>
  <c r="ZA3" i="16" s="1"/>
  <c r="YZ2" i="16"/>
  <c r="YZ3" i="16" s="1"/>
  <c r="YY2" i="16"/>
  <c r="YY3" i="16" s="1"/>
  <c r="YX2" i="16"/>
  <c r="YX3" i="16" s="1"/>
  <c r="YW2" i="16"/>
  <c r="YW3" i="16" s="1"/>
  <c r="YV2" i="16"/>
  <c r="YV3" i="16" s="1"/>
  <c r="YU2" i="16"/>
  <c r="YU3" i="16" s="1"/>
  <c r="YT2" i="16"/>
  <c r="YT3" i="16" s="1"/>
  <c r="YS2" i="16"/>
  <c r="YS3" i="16" s="1"/>
  <c r="YR2" i="16"/>
  <c r="YR3" i="16" s="1"/>
  <c r="YQ2" i="16"/>
  <c r="YQ3" i="16" s="1"/>
  <c r="YP2" i="16"/>
  <c r="YP3" i="16" s="1"/>
  <c r="YO2" i="16"/>
  <c r="YO3" i="16" s="1"/>
  <c r="YN2" i="16"/>
  <c r="YN3" i="16" s="1"/>
  <c r="YM2" i="16"/>
  <c r="YM3" i="16" s="1"/>
  <c r="YL2" i="16"/>
  <c r="YL3" i="16" s="1"/>
  <c r="YK2" i="16"/>
  <c r="YK3" i="16" s="1"/>
  <c r="YJ2" i="16"/>
  <c r="YJ3" i="16" s="1"/>
  <c r="YI2" i="16"/>
  <c r="YI3" i="16" s="1"/>
  <c r="YH2" i="16"/>
  <c r="YH3" i="16" s="1"/>
  <c r="YG2" i="16"/>
  <c r="YG3" i="16" s="1"/>
  <c r="YF2" i="16"/>
  <c r="YF3" i="16" s="1"/>
  <c r="YE2" i="16"/>
  <c r="YE3" i="16" s="1"/>
  <c r="YD2" i="16"/>
  <c r="YD3" i="16" s="1"/>
  <c r="YC2" i="16"/>
  <c r="YC3" i="16" s="1"/>
  <c r="YB2" i="16"/>
  <c r="YB3" i="16" s="1"/>
  <c r="YA2" i="16"/>
  <c r="YA3" i="16" s="1"/>
  <c r="XZ2" i="16"/>
  <c r="XZ3" i="16" s="1"/>
  <c r="XY2" i="16"/>
  <c r="XY3" i="16" s="1"/>
  <c r="XX2" i="16"/>
  <c r="XX3" i="16" s="1"/>
  <c r="XW2" i="16"/>
  <c r="XW3" i="16" s="1"/>
  <c r="XV2" i="16"/>
  <c r="XV3" i="16" s="1"/>
  <c r="XU2" i="16"/>
  <c r="XU3" i="16" s="1"/>
  <c r="XT2" i="16"/>
  <c r="XT3" i="16" s="1"/>
  <c r="XS2" i="16"/>
  <c r="XS3" i="16" s="1"/>
  <c r="XR2" i="16"/>
  <c r="XR3" i="16" s="1"/>
  <c r="XQ2" i="16"/>
  <c r="XQ3" i="16" s="1"/>
  <c r="XP2" i="16"/>
  <c r="XP3" i="16" s="1"/>
  <c r="XO2" i="16"/>
  <c r="XO3" i="16" s="1"/>
  <c r="XN2" i="16"/>
  <c r="XN3" i="16" s="1"/>
  <c r="XM2" i="16"/>
  <c r="XM3" i="16" s="1"/>
  <c r="XL2" i="16"/>
  <c r="XL3" i="16" s="1"/>
  <c r="XK2" i="16"/>
  <c r="XK3" i="16" s="1"/>
  <c r="XJ2" i="16"/>
  <c r="XJ3" i="16" s="1"/>
  <c r="XI2" i="16"/>
  <c r="XI3" i="16" s="1"/>
  <c r="XH2" i="16"/>
  <c r="XH3" i="16" s="1"/>
  <c r="XG2" i="16"/>
  <c r="XG3" i="16" s="1"/>
  <c r="XF2" i="16"/>
  <c r="XF3" i="16" s="1"/>
  <c r="XE2" i="16"/>
  <c r="XE3" i="16" s="1"/>
  <c r="XD2" i="16"/>
  <c r="XD3" i="16" s="1"/>
  <c r="XC2" i="16"/>
  <c r="XC3" i="16" s="1"/>
  <c r="XB2" i="16"/>
  <c r="XB3" i="16" s="1"/>
  <c r="XA2" i="16"/>
  <c r="XA3" i="16" s="1"/>
  <c r="WZ2" i="16"/>
  <c r="WZ3" i="16" s="1"/>
  <c r="WY2" i="16"/>
  <c r="WY3" i="16" s="1"/>
  <c r="WX2" i="16"/>
  <c r="WX3" i="16" s="1"/>
  <c r="WW2" i="16"/>
  <c r="WW3" i="16" s="1"/>
  <c r="WV2" i="16"/>
  <c r="WV3" i="16" s="1"/>
  <c r="WU2" i="16"/>
  <c r="WU3" i="16" s="1"/>
  <c r="WT2" i="16"/>
  <c r="WT3" i="16" s="1"/>
  <c r="WS2" i="16"/>
  <c r="WS3" i="16" s="1"/>
  <c r="WR2" i="16"/>
  <c r="WR3" i="16" s="1"/>
  <c r="WQ2" i="16"/>
  <c r="WQ3" i="16" s="1"/>
  <c r="WP2" i="16"/>
  <c r="WP3" i="16" s="1"/>
  <c r="WO2" i="16"/>
  <c r="WO3" i="16" s="1"/>
  <c r="WN2" i="16"/>
  <c r="WN3" i="16" s="1"/>
  <c r="WM2" i="16"/>
  <c r="WM3" i="16" s="1"/>
  <c r="WL2" i="16"/>
  <c r="WL3" i="16" s="1"/>
  <c r="WK2" i="16"/>
  <c r="WK3" i="16" s="1"/>
  <c r="WJ2" i="16"/>
  <c r="WJ3" i="16" s="1"/>
  <c r="WI2" i="16"/>
  <c r="WI3" i="16" s="1"/>
  <c r="WH2" i="16"/>
  <c r="WH3" i="16" s="1"/>
  <c r="WG2" i="16"/>
  <c r="WG3" i="16" s="1"/>
  <c r="WF2" i="16"/>
  <c r="WF3" i="16" s="1"/>
  <c r="WE2" i="16"/>
  <c r="WE3" i="16" s="1"/>
  <c r="WD2" i="16"/>
  <c r="WD3" i="16" s="1"/>
  <c r="WC2" i="16"/>
  <c r="WC3" i="16" s="1"/>
  <c r="WB2" i="16"/>
  <c r="WB3" i="16" s="1"/>
  <c r="WA2" i="16"/>
  <c r="WA3" i="16" s="1"/>
  <c r="VZ2" i="16"/>
  <c r="VZ3" i="16" s="1"/>
  <c r="VY2" i="16"/>
  <c r="VY3" i="16" s="1"/>
  <c r="VX2" i="16"/>
  <c r="VX3" i="16" s="1"/>
  <c r="VW2" i="16"/>
  <c r="VW3" i="16" s="1"/>
  <c r="VV2" i="16"/>
  <c r="VV3" i="16" s="1"/>
  <c r="VU2" i="16"/>
  <c r="VU3" i="16" s="1"/>
  <c r="VT2" i="16"/>
  <c r="VT3" i="16" s="1"/>
  <c r="VS2" i="16"/>
  <c r="VS3" i="16" s="1"/>
  <c r="VR2" i="16"/>
  <c r="VR3" i="16" s="1"/>
  <c r="VQ2" i="16"/>
  <c r="VQ3" i="16" s="1"/>
  <c r="VP2" i="16"/>
  <c r="VP3" i="16" s="1"/>
  <c r="VO2" i="16"/>
  <c r="VO3" i="16" s="1"/>
  <c r="VN2" i="16"/>
  <c r="VN3" i="16" s="1"/>
  <c r="VM2" i="16"/>
  <c r="VM3" i="16" s="1"/>
  <c r="VL2" i="16"/>
  <c r="VL3" i="16" s="1"/>
  <c r="VK2" i="16"/>
  <c r="VK3" i="16" s="1"/>
  <c r="VJ2" i="16"/>
  <c r="VJ3" i="16" s="1"/>
  <c r="VI2" i="16"/>
  <c r="VI3" i="16" s="1"/>
  <c r="VH2" i="16"/>
  <c r="VH3" i="16" s="1"/>
  <c r="VG2" i="16"/>
  <c r="VG3" i="16" s="1"/>
  <c r="VF2" i="16"/>
  <c r="VF3" i="16" s="1"/>
  <c r="VE2" i="16"/>
  <c r="VE3" i="16" s="1"/>
  <c r="VD2" i="16"/>
  <c r="VD3" i="16" s="1"/>
  <c r="VC2" i="16"/>
  <c r="VC3" i="16" s="1"/>
  <c r="VB2" i="16"/>
  <c r="VB3" i="16" s="1"/>
  <c r="VA2" i="16"/>
  <c r="VA3" i="16" s="1"/>
  <c r="UZ2" i="16"/>
  <c r="UZ3" i="16" s="1"/>
  <c r="UY2" i="16"/>
  <c r="UY3" i="16" s="1"/>
  <c r="UX2" i="16"/>
  <c r="UX3" i="16" s="1"/>
  <c r="UW2" i="16"/>
  <c r="UW3" i="16" s="1"/>
  <c r="UV2" i="16"/>
  <c r="UV3" i="16" s="1"/>
  <c r="UU2" i="16"/>
  <c r="UU3" i="16" s="1"/>
  <c r="UT2" i="16"/>
  <c r="UT3" i="16" s="1"/>
  <c r="US2" i="16"/>
  <c r="US3" i="16" s="1"/>
  <c r="UR2" i="16"/>
  <c r="UR3" i="16" s="1"/>
  <c r="UQ2" i="16"/>
  <c r="UQ3" i="16" s="1"/>
  <c r="UP2" i="16"/>
  <c r="UP3" i="16" s="1"/>
  <c r="UO2" i="16"/>
  <c r="UO3" i="16" s="1"/>
  <c r="UN2" i="16"/>
  <c r="UN3" i="16" s="1"/>
  <c r="UM2" i="16"/>
  <c r="UM3" i="16" s="1"/>
  <c r="UL2" i="16"/>
  <c r="UL3" i="16" s="1"/>
  <c r="UK2" i="16"/>
  <c r="UK3" i="16" s="1"/>
  <c r="UJ2" i="16"/>
  <c r="UJ3" i="16" s="1"/>
  <c r="UI2" i="16"/>
  <c r="UI3" i="16" s="1"/>
  <c r="UH2" i="16"/>
  <c r="UH3" i="16" s="1"/>
  <c r="UG2" i="16"/>
  <c r="UG3" i="16" s="1"/>
  <c r="UF2" i="16"/>
  <c r="UF3" i="16" s="1"/>
  <c r="UE2" i="16"/>
  <c r="UE3" i="16" s="1"/>
  <c r="UD2" i="16"/>
  <c r="UD3" i="16" s="1"/>
  <c r="UC2" i="16"/>
  <c r="UC3" i="16" s="1"/>
  <c r="UB2" i="16"/>
  <c r="UB3" i="16" s="1"/>
  <c r="UA2" i="16"/>
  <c r="UA3" i="16" s="1"/>
  <c r="TZ2" i="16"/>
  <c r="TZ3" i="16" s="1"/>
  <c r="TY2" i="16"/>
  <c r="TY3" i="16" s="1"/>
  <c r="TX2" i="16"/>
  <c r="TX3" i="16" s="1"/>
  <c r="TW2" i="16"/>
  <c r="TW3" i="16" s="1"/>
  <c r="TV2" i="16"/>
  <c r="TV3" i="16" s="1"/>
  <c r="TU2" i="16"/>
  <c r="TU3" i="16" s="1"/>
  <c r="TT2" i="16"/>
  <c r="TT3" i="16" s="1"/>
  <c r="TS2" i="16"/>
  <c r="TS3" i="16" s="1"/>
  <c r="TR2" i="16"/>
  <c r="TR3" i="16" s="1"/>
  <c r="TQ2" i="16"/>
  <c r="TQ3" i="16" s="1"/>
  <c r="TP2" i="16"/>
  <c r="TP3" i="16" s="1"/>
  <c r="TO2" i="16"/>
  <c r="TO3" i="16" s="1"/>
  <c r="TN2" i="16"/>
  <c r="TN3" i="16" s="1"/>
  <c r="TM2" i="16"/>
  <c r="TM3" i="16" s="1"/>
  <c r="TL2" i="16"/>
  <c r="TL3" i="16" s="1"/>
  <c r="TK2" i="16"/>
  <c r="TK3" i="16" s="1"/>
  <c r="TJ2" i="16"/>
  <c r="TJ3" i="16" s="1"/>
  <c r="TI2" i="16"/>
  <c r="TI3" i="16" s="1"/>
  <c r="TH2" i="16"/>
  <c r="TH3" i="16" s="1"/>
  <c r="TG2" i="16"/>
  <c r="TG3" i="16" s="1"/>
  <c r="TF2" i="16"/>
  <c r="TF3" i="16" s="1"/>
  <c r="TE2" i="16"/>
  <c r="TE3" i="16" s="1"/>
  <c r="TD2" i="16"/>
  <c r="TD3" i="16" s="1"/>
  <c r="TC2" i="16"/>
  <c r="TC3" i="16" s="1"/>
  <c r="TB2" i="16"/>
  <c r="TB3" i="16" s="1"/>
  <c r="TA2" i="16"/>
  <c r="TA3" i="16" s="1"/>
  <c r="SZ2" i="16"/>
  <c r="SZ3" i="16" s="1"/>
  <c r="SY2" i="16"/>
  <c r="SY3" i="16" s="1"/>
  <c r="SX2" i="16"/>
  <c r="SX3" i="16" s="1"/>
  <c r="SW2" i="16"/>
  <c r="SW3" i="16" s="1"/>
  <c r="SV2" i="16"/>
  <c r="SV3" i="16" s="1"/>
  <c r="SU2" i="16"/>
  <c r="SU3" i="16" s="1"/>
  <c r="ST2" i="16"/>
  <c r="ST3" i="16" s="1"/>
  <c r="SS2" i="16"/>
  <c r="SS3" i="16" s="1"/>
  <c r="SR2" i="16"/>
  <c r="SR3" i="16" s="1"/>
  <c r="SQ2" i="16"/>
  <c r="SQ3" i="16" s="1"/>
  <c r="SP2" i="16"/>
  <c r="SP3" i="16" s="1"/>
  <c r="SO2" i="16"/>
  <c r="SO3" i="16" s="1"/>
  <c r="SN2" i="16"/>
  <c r="SN3" i="16" s="1"/>
  <c r="SM2" i="16"/>
  <c r="SM3" i="16" s="1"/>
  <c r="SL2" i="16"/>
  <c r="SL3" i="16" s="1"/>
  <c r="SK2" i="16"/>
  <c r="SK3" i="16" s="1"/>
  <c r="SJ2" i="16"/>
  <c r="SJ3" i="16" s="1"/>
  <c r="SI2" i="16"/>
  <c r="SI3" i="16" s="1"/>
  <c r="SH2" i="16"/>
  <c r="SH3" i="16" s="1"/>
  <c r="SG2" i="16"/>
  <c r="SG3" i="16" s="1"/>
  <c r="SF2" i="16"/>
  <c r="SF3" i="16" s="1"/>
  <c r="SE2" i="16"/>
  <c r="SE3" i="16" s="1"/>
  <c r="SD2" i="16"/>
  <c r="SD3" i="16" s="1"/>
  <c r="SC2" i="16"/>
  <c r="SC3" i="16" s="1"/>
  <c r="SB2" i="16"/>
  <c r="SB3" i="16" s="1"/>
  <c r="SA2" i="16"/>
  <c r="SA3" i="16" s="1"/>
  <c r="RZ2" i="16"/>
  <c r="RZ3" i="16" s="1"/>
  <c r="RY2" i="16"/>
  <c r="RY3" i="16" s="1"/>
  <c r="RX2" i="16"/>
  <c r="RX3" i="16" s="1"/>
  <c r="RW2" i="16"/>
  <c r="RW3" i="16" s="1"/>
  <c r="RV2" i="16"/>
  <c r="RV3" i="16" s="1"/>
  <c r="RU2" i="16"/>
  <c r="RU3" i="16" s="1"/>
  <c r="RT2" i="16"/>
  <c r="RT3" i="16" s="1"/>
  <c r="RS2" i="16"/>
  <c r="RS3" i="16" s="1"/>
  <c r="RR2" i="16"/>
  <c r="RR3" i="16" s="1"/>
  <c r="RQ2" i="16"/>
  <c r="RQ3" i="16" s="1"/>
  <c r="RP2" i="16"/>
  <c r="RP3" i="16" s="1"/>
  <c r="RO2" i="16"/>
  <c r="RO3" i="16" s="1"/>
  <c r="RN2" i="16"/>
  <c r="RN3" i="16" s="1"/>
  <c r="RM2" i="16"/>
  <c r="RM3" i="16" s="1"/>
  <c r="RL2" i="16"/>
  <c r="RL3" i="16" s="1"/>
  <c r="RK2" i="16"/>
  <c r="RK3" i="16" s="1"/>
  <c r="RJ2" i="16"/>
  <c r="RJ3" i="16" s="1"/>
  <c r="RI2" i="16"/>
  <c r="RI3" i="16" s="1"/>
  <c r="RH2" i="16"/>
  <c r="RH3" i="16" s="1"/>
  <c r="RG2" i="16"/>
  <c r="RG3" i="16" s="1"/>
  <c r="RF2" i="16"/>
  <c r="RF3" i="16" s="1"/>
  <c r="RE2" i="16"/>
  <c r="RE3" i="16" s="1"/>
  <c r="RD2" i="16"/>
  <c r="RD3" i="16" s="1"/>
  <c r="RC2" i="16"/>
  <c r="RC3" i="16" s="1"/>
  <c r="RB2" i="16"/>
  <c r="RB3" i="16" s="1"/>
  <c r="RA2" i="16"/>
  <c r="RA3" i="16" s="1"/>
  <c r="QZ2" i="16"/>
  <c r="QZ3" i="16" s="1"/>
  <c r="QY2" i="16"/>
  <c r="QY3" i="16" s="1"/>
  <c r="QX2" i="16"/>
  <c r="QX3" i="16" s="1"/>
  <c r="QW2" i="16"/>
  <c r="QW3" i="16" s="1"/>
  <c r="QV2" i="16"/>
  <c r="QV3" i="16" s="1"/>
  <c r="QU2" i="16"/>
  <c r="QU3" i="16" s="1"/>
  <c r="QT2" i="16"/>
  <c r="QT3" i="16" s="1"/>
  <c r="QS2" i="16"/>
  <c r="QS3" i="16" s="1"/>
  <c r="QR2" i="16"/>
  <c r="QR3" i="16" s="1"/>
  <c r="QQ2" i="16"/>
  <c r="QQ3" i="16" s="1"/>
  <c r="QP2" i="16"/>
  <c r="QP3" i="16" s="1"/>
  <c r="QO2" i="16"/>
  <c r="QO3" i="16" s="1"/>
  <c r="QN2" i="16"/>
  <c r="QN3" i="16" s="1"/>
  <c r="QM2" i="16"/>
  <c r="QM3" i="16" s="1"/>
  <c r="QL2" i="16"/>
  <c r="QL3" i="16" s="1"/>
  <c r="QK2" i="16"/>
  <c r="QK3" i="16" s="1"/>
  <c r="QJ2" i="16"/>
  <c r="QJ3" i="16" s="1"/>
  <c r="QI2" i="16"/>
  <c r="QI3" i="16" s="1"/>
  <c r="QH2" i="16"/>
  <c r="QH3" i="16" s="1"/>
  <c r="QG2" i="16"/>
  <c r="QG3" i="16" s="1"/>
  <c r="QF2" i="16"/>
  <c r="QF3" i="16" s="1"/>
  <c r="QE2" i="16"/>
  <c r="QE3" i="16" s="1"/>
  <c r="QD2" i="16"/>
  <c r="QD3" i="16" s="1"/>
  <c r="QC2" i="16"/>
  <c r="QC3" i="16" s="1"/>
  <c r="QB2" i="16"/>
  <c r="QB3" i="16" s="1"/>
  <c r="QA2" i="16"/>
  <c r="QA3" i="16" s="1"/>
  <c r="PZ2" i="16"/>
  <c r="PZ3" i="16" s="1"/>
  <c r="PY2" i="16"/>
  <c r="PY3" i="16" s="1"/>
  <c r="PX2" i="16"/>
  <c r="PX3" i="16" s="1"/>
  <c r="PW2" i="16"/>
  <c r="PW3" i="16" s="1"/>
  <c r="PV2" i="16"/>
  <c r="PV3" i="16" s="1"/>
  <c r="PU2" i="16"/>
  <c r="PU3" i="16" s="1"/>
  <c r="PT2" i="16"/>
  <c r="PT3" i="16" s="1"/>
  <c r="PS2" i="16"/>
  <c r="PS3" i="16" s="1"/>
  <c r="PR2" i="16"/>
  <c r="PR3" i="16" s="1"/>
  <c r="PQ2" i="16"/>
  <c r="PQ3" i="16" s="1"/>
  <c r="PP2" i="16"/>
  <c r="PP3" i="16" s="1"/>
  <c r="PO2" i="16"/>
  <c r="PO3" i="16" s="1"/>
  <c r="PN2" i="16"/>
  <c r="PN3" i="16" s="1"/>
  <c r="PM2" i="16"/>
  <c r="PM3" i="16" s="1"/>
  <c r="PL2" i="16"/>
  <c r="PL3" i="16" s="1"/>
  <c r="PK2" i="16"/>
  <c r="PK3" i="16" s="1"/>
  <c r="PJ2" i="16"/>
  <c r="PJ3" i="16" s="1"/>
  <c r="PI2" i="16"/>
  <c r="PI3" i="16" s="1"/>
  <c r="PH2" i="16"/>
  <c r="PH3" i="16" s="1"/>
  <c r="PG2" i="16"/>
  <c r="PG3" i="16" s="1"/>
  <c r="PF2" i="16"/>
  <c r="PF3" i="16" s="1"/>
  <c r="PE2" i="16"/>
  <c r="PE3" i="16" s="1"/>
  <c r="PD2" i="16"/>
  <c r="PD3" i="16" s="1"/>
  <c r="PC2" i="16"/>
  <c r="PC3" i="16" s="1"/>
  <c r="PB2" i="16"/>
  <c r="PB3" i="16" s="1"/>
  <c r="PA2" i="16"/>
  <c r="PA3" i="16" s="1"/>
  <c r="OZ2" i="16"/>
  <c r="OZ3" i="16" s="1"/>
  <c r="OY2" i="16"/>
  <c r="OY3" i="16" s="1"/>
  <c r="OX2" i="16"/>
  <c r="OX3" i="16" s="1"/>
  <c r="OW2" i="16"/>
  <c r="OW3" i="16" s="1"/>
  <c r="OV2" i="16"/>
  <c r="OV3" i="16" s="1"/>
  <c r="OU2" i="16"/>
  <c r="OU3" i="16" s="1"/>
  <c r="OT2" i="16"/>
  <c r="OT3" i="16" s="1"/>
  <c r="OS2" i="16"/>
  <c r="OS3" i="16" s="1"/>
  <c r="OR2" i="16"/>
  <c r="OR3" i="16" s="1"/>
  <c r="OQ2" i="16"/>
  <c r="OQ3" i="16" s="1"/>
  <c r="OP2" i="16"/>
  <c r="OP3" i="16" s="1"/>
  <c r="OO2" i="16"/>
  <c r="OO3" i="16" s="1"/>
  <c r="ON2" i="16"/>
  <c r="ON3" i="16" s="1"/>
  <c r="OM2" i="16"/>
  <c r="OM3" i="16" s="1"/>
  <c r="OL2" i="16"/>
  <c r="OL3" i="16" s="1"/>
  <c r="OK2" i="16"/>
  <c r="OK3" i="16" s="1"/>
  <c r="OJ2" i="16"/>
  <c r="OJ3" i="16" s="1"/>
  <c r="OI2" i="16"/>
  <c r="OI3" i="16" s="1"/>
  <c r="OH2" i="16"/>
  <c r="OH3" i="16" s="1"/>
  <c r="OG2" i="16"/>
  <c r="OG3" i="16" s="1"/>
  <c r="OF2" i="16"/>
  <c r="OF3" i="16" s="1"/>
  <c r="OE2" i="16"/>
  <c r="OE3" i="16" s="1"/>
  <c r="OD2" i="16"/>
  <c r="OD3" i="16" s="1"/>
  <c r="OC2" i="16"/>
  <c r="OC3" i="16" s="1"/>
  <c r="OB2" i="16"/>
  <c r="OB3" i="16" s="1"/>
  <c r="OA2" i="16"/>
  <c r="OA3" i="16" s="1"/>
  <c r="NZ2" i="16"/>
  <c r="NZ3" i="16" s="1"/>
  <c r="NY2" i="16"/>
  <c r="NY3" i="16" s="1"/>
  <c r="NX2" i="16"/>
  <c r="NX3" i="16" s="1"/>
  <c r="NW2" i="16"/>
  <c r="NW3" i="16" s="1"/>
  <c r="NV2" i="16"/>
  <c r="NV3" i="16" s="1"/>
  <c r="NU2" i="16"/>
  <c r="NU3" i="16" s="1"/>
  <c r="NT2" i="16"/>
  <c r="NT3" i="16" s="1"/>
  <c r="NS2" i="16"/>
  <c r="NS3" i="16" s="1"/>
  <c r="NR2" i="16"/>
  <c r="NR3" i="16" s="1"/>
  <c r="NQ2" i="16"/>
  <c r="NQ3" i="16" s="1"/>
  <c r="NP2" i="16"/>
  <c r="NP3" i="16" s="1"/>
  <c r="NO2" i="16"/>
  <c r="NO3" i="16" s="1"/>
  <c r="NN2" i="16"/>
  <c r="NN3" i="16" s="1"/>
  <c r="NM2" i="16"/>
  <c r="NM3" i="16" s="1"/>
  <c r="NL2" i="16"/>
  <c r="NL3" i="16" s="1"/>
  <c r="NK2" i="16"/>
  <c r="NK3" i="16" s="1"/>
  <c r="NJ2" i="16"/>
  <c r="NJ3" i="16" s="1"/>
  <c r="NI2" i="16"/>
  <c r="NI3" i="16" s="1"/>
  <c r="NH2" i="16"/>
  <c r="NH3" i="16" s="1"/>
  <c r="NG2" i="16"/>
  <c r="NG3" i="16" s="1"/>
  <c r="NF2" i="16"/>
  <c r="NF3" i="16" s="1"/>
  <c r="NE2" i="16"/>
  <c r="NE3" i="16" s="1"/>
  <c r="ND2" i="16"/>
  <c r="ND3" i="16" s="1"/>
  <c r="NC2" i="16"/>
  <c r="NC3" i="16" s="1"/>
  <c r="NB2" i="16"/>
  <c r="NB3" i="16" s="1"/>
  <c r="NA2" i="16"/>
  <c r="NA3" i="16" s="1"/>
  <c r="MZ2" i="16"/>
  <c r="MZ3" i="16" s="1"/>
  <c r="MY2" i="16"/>
  <c r="MY3" i="16" s="1"/>
  <c r="MX2" i="16"/>
  <c r="MX3" i="16" s="1"/>
  <c r="MW2" i="16"/>
  <c r="MW3" i="16" s="1"/>
  <c r="MV2" i="16"/>
  <c r="MV3" i="16" s="1"/>
  <c r="MU2" i="16"/>
  <c r="MU3" i="16" s="1"/>
  <c r="MT2" i="16"/>
  <c r="MT3" i="16" s="1"/>
  <c r="MS2" i="16"/>
  <c r="MS3" i="16" s="1"/>
  <c r="MR2" i="16"/>
  <c r="MR3" i="16" s="1"/>
  <c r="MQ2" i="16"/>
  <c r="MQ3" i="16" s="1"/>
  <c r="MP2" i="16"/>
  <c r="MP3" i="16" s="1"/>
  <c r="MO2" i="16"/>
  <c r="MO3" i="16" s="1"/>
  <c r="MN2" i="16"/>
  <c r="MN3" i="16" s="1"/>
  <c r="MM2" i="16"/>
  <c r="MM3" i="16" s="1"/>
  <c r="ML2" i="16"/>
  <c r="ML3" i="16" s="1"/>
  <c r="MK2" i="16"/>
  <c r="MK3" i="16" s="1"/>
  <c r="MJ2" i="16"/>
  <c r="MJ3" i="16" s="1"/>
  <c r="MI2" i="16"/>
  <c r="MI3" i="16" s="1"/>
  <c r="MH2" i="16"/>
  <c r="MH3" i="16" s="1"/>
  <c r="MG2" i="16"/>
  <c r="MG3" i="16" s="1"/>
  <c r="MF2" i="16"/>
  <c r="MF3" i="16" s="1"/>
  <c r="ME2" i="16"/>
  <c r="ME3" i="16" s="1"/>
  <c r="MD2" i="16"/>
  <c r="MD3" i="16" s="1"/>
  <c r="MC2" i="16"/>
  <c r="MC3" i="16" s="1"/>
  <c r="MB2" i="16"/>
  <c r="MB3" i="16" s="1"/>
  <c r="MA2" i="16"/>
  <c r="MA3" i="16" s="1"/>
  <c r="LZ2" i="16"/>
  <c r="LZ3" i="16" s="1"/>
  <c r="LY2" i="16"/>
  <c r="LY3" i="16" s="1"/>
  <c r="LX2" i="16"/>
  <c r="LX3" i="16" s="1"/>
  <c r="LW2" i="16"/>
  <c r="LW3" i="16" s="1"/>
  <c r="LV2" i="16"/>
  <c r="LV3" i="16" s="1"/>
  <c r="LU2" i="16"/>
  <c r="LU3" i="16" s="1"/>
  <c r="LT2" i="16"/>
  <c r="LT3" i="16" s="1"/>
  <c r="LS2" i="16"/>
  <c r="LS3" i="16" s="1"/>
  <c r="LR2" i="16"/>
  <c r="LR3" i="16" s="1"/>
  <c r="LQ2" i="16"/>
  <c r="LQ3" i="16" s="1"/>
  <c r="LP2" i="16"/>
  <c r="LP3" i="16" s="1"/>
  <c r="LO2" i="16"/>
  <c r="LO3" i="16" s="1"/>
  <c r="LN2" i="16"/>
  <c r="LN3" i="16" s="1"/>
  <c r="LM2" i="16"/>
  <c r="LM3" i="16" s="1"/>
  <c r="LL2" i="16"/>
  <c r="LL3" i="16" s="1"/>
  <c r="LK2" i="16"/>
  <c r="LK3" i="16" s="1"/>
  <c r="LJ2" i="16"/>
  <c r="LJ3" i="16" s="1"/>
  <c r="LI2" i="16"/>
  <c r="LI3" i="16" s="1"/>
  <c r="LH2" i="16"/>
  <c r="LH3" i="16" s="1"/>
  <c r="LG2" i="16"/>
  <c r="LG3" i="16" s="1"/>
  <c r="LF2" i="16"/>
  <c r="LF3" i="16" s="1"/>
  <c r="LE2" i="16"/>
  <c r="LE3" i="16" s="1"/>
  <c r="LD2" i="16"/>
  <c r="LD3" i="16" s="1"/>
  <c r="LC2" i="16"/>
  <c r="LC3" i="16" s="1"/>
  <c r="LB2" i="16"/>
  <c r="LB3" i="16" s="1"/>
  <c r="LA2" i="16"/>
  <c r="LA3" i="16" s="1"/>
  <c r="KZ2" i="16"/>
  <c r="KZ3" i="16" s="1"/>
  <c r="KY2" i="16"/>
  <c r="KY3" i="16" s="1"/>
  <c r="KX2" i="16"/>
  <c r="KX3" i="16" s="1"/>
  <c r="KW2" i="16"/>
  <c r="KW3" i="16" s="1"/>
  <c r="KV2" i="16"/>
  <c r="KV3" i="16" s="1"/>
  <c r="KU2" i="16"/>
  <c r="KU3" i="16" s="1"/>
  <c r="KT2" i="16"/>
  <c r="KT3" i="16" s="1"/>
  <c r="KS2" i="16"/>
  <c r="KS3" i="16" s="1"/>
  <c r="KR2" i="16"/>
  <c r="KR3" i="16" s="1"/>
  <c r="KQ2" i="16"/>
  <c r="KQ3" i="16" s="1"/>
  <c r="KP2" i="16"/>
  <c r="KP3" i="16" s="1"/>
  <c r="KO2" i="16"/>
  <c r="KO3" i="16" s="1"/>
  <c r="KN2" i="16"/>
  <c r="KN3" i="16" s="1"/>
  <c r="KM2" i="16"/>
  <c r="KM3" i="16" s="1"/>
  <c r="KL2" i="16"/>
  <c r="KL3" i="16" s="1"/>
  <c r="KK2" i="16"/>
  <c r="KK3" i="16" s="1"/>
  <c r="KJ2" i="16"/>
  <c r="KJ3" i="16" s="1"/>
  <c r="KI2" i="16"/>
  <c r="KI3" i="16" s="1"/>
  <c r="KH2" i="16"/>
  <c r="KH3" i="16" s="1"/>
  <c r="KG2" i="16"/>
  <c r="KG3" i="16" s="1"/>
  <c r="KF2" i="16"/>
  <c r="KF3" i="16" s="1"/>
  <c r="KE2" i="16"/>
  <c r="KE3" i="16" s="1"/>
  <c r="KD2" i="16"/>
  <c r="KD3" i="16" s="1"/>
  <c r="KC2" i="16"/>
  <c r="KC3" i="16" s="1"/>
  <c r="KB2" i="16"/>
  <c r="KB3" i="16" s="1"/>
  <c r="KA2" i="16"/>
  <c r="KA3" i="16" s="1"/>
  <c r="JZ2" i="16"/>
  <c r="JZ3" i="16" s="1"/>
  <c r="JY2" i="16"/>
  <c r="JY3" i="16" s="1"/>
  <c r="JX2" i="16"/>
  <c r="JX3" i="16" s="1"/>
  <c r="JW2" i="16"/>
  <c r="JW3" i="16" s="1"/>
  <c r="JV2" i="16"/>
  <c r="JV3" i="16" s="1"/>
  <c r="JU2" i="16"/>
  <c r="JU3" i="16" s="1"/>
  <c r="JT2" i="16"/>
  <c r="JT3" i="16" s="1"/>
  <c r="JS2" i="16"/>
  <c r="JS3" i="16" s="1"/>
  <c r="JR2" i="16"/>
  <c r="JR3" i="16" s="1"/>
  <c r="JQ2" i="16"/>
  <c r="JQ3" i="16" s="1"/>
  <c r="JP2" i="16"/>
  <c r="JP3" i="16" s="1"/>
  <c r="JO2" i="16"/>
  <c r="JO3" i="16" s="1"/>
  <c r="JN2" i="16"/>
  <c r="JN3" i="16" s="1"/>
  <c r="JM2" i="16"/>
  <c r="JM3" i="16" s="1"/>
  <c r="JL2" i="16"/>
  <c r="JL3" i="16" s="1"/>
  <c r="JK2" i="16"/>
  <c r="JK3" i="16" s="1"/>
  <c r="JJ2" i="16"/>
  <c r="JJ3" i="16" s="1"/>
  <c r="JI2" i="16"/>
  <c r="JI3" i="16" s="1"/>
  <c r="JH2" i="16"/>
  <c r="JH3" i="16" s="1"/>
  <c r="JG2" i="16"/>
  <c r="JG3" i="16" s="1"/>
  <c r="JF2" i="16"/>
  <c r="JF3" i="16" s="1"/>
  <c r="JE2" i="16"/>
  <c r="JE3" i="16" s="1"/>
  <c r="JD2" i="16"/>
  <c r="JD3" i="16" s="1"/>
  <c r="JC2" i="16"/>
  <c r="JC3" i="16" s="1"/>
  <c r="JB2" i="16"/>
  <c r="JB3" i="16" s="1"/>
  <c r="JA2" i="16"/>
  <c r="JA3" i="16" s="1"/>
  <c r="IZ2" i="16"/>
  <c r="IZ3" i="16" s="1"/>
  <c r="IY2" i="16"/>
  <c r="IY3" i="16" s="1"/>
  <c r="IX2" i="16"/>
  <c r="IX3" i="16" s="1"/>
  <c r="IW2" i="16"/>
  <c r="IW3" i="16" s="1"/>
  <c r="IV2" i="16"/>
  <c r="IV3" i="16" s="1"/>
  <c r="IU2" i="16"/>
  <c r="IU3" i="16" s="1"/>
  <c r="IT2" i="16"/>
  <c r="IT3" i="16" s="1"/>
  <c r="IS2" i="16"/>
  <c r="IS3" i="16" s="1"/>
  <c r="IR2" i="16"/>
  <c r="IR3" i="16" s="1"/>
  <c r="IQ2" i="16"/>
  <c r="IQ3" i="16" s="1"/>
  <c r="IP2" i="16"/>
  <c r="IP3" i="16" s="1"/>
  <c r="IO2" i="16"/>
  <c r="IO3" i="16" s="1"/>
  <c r="IN2" i="16"/>
  <c r="IN3" i="16" s="1"/>
  <c r="IM2" i="16"/>
  <c r="IM3" i="16" s="1"/>
  <c r="IL2" i="16"/>
  <c r="IL3" i="16" s="1"/>
  <c r="IK2" i="16"/>
  <c r="IK3" i="16" s="1"/>
  <c r="IJ2" i="16"/>
  <c r="IJ3" i="16" s="1"/>
  <c r="II2" i="16"/>
  <c r="II3" i="16" s="1"/>
  <c r="IH2" i="16"/>
  <c r="IH3" i="16" s="1"/>
  <c r="IG2" i="16"/>
  <c r="IG3" i="16" s="1"/>
  <c r="IF2" i="16"/>
  <c r="IF3" i="16" s="1"/>
  <c r="IE2" i="16"/>
  <c r="IE3" i="16" s="1"/>
  <c r="ID2" i="16"/>
  <c r="ID3" i="16" s="1"/>
  <c r="IC2" i="16"/>
  <c r="IC3" i="16" s="1"/>
  <c r="IB2" i="16"/>
  <c r="IB3" i="16" s="1"/>
  <c r="IA2" i="16"/>
  <c r="IA3" i="16" s="1"/>
  <c r="HZ2" i="16"/>
  <c r="HZ3" i="16" s="1"/>
  <c r="HY2" i="16"/>
  <c r="HY3" i="16" s="1"/>
  <c r="HX2" i="16"/>
  <c r="HX3" i="16" s="1"/>
  <c r="HW2" i="16"/>
  <c r="HW3" i="16" s="1"/>
  <c r="HV2" i="16"/>
  <c r="HV3" i="16" s="1"/>
  <c r="HU2" i="16"/>
  <c r="HU3" i="16" s="1"/>
  <c r="HT2" i="16"/>
  <c r="HT3" i="16" s="1"/>
  <c r="HS2" i="16"/>
  <c r="HS3" i="16" s="1"/>
  <c r="HR2" i="16"/>
  <c r="HR3" i="16" s="1"/>
  <c r="HQ2" i="16"/>
  <c r="HQ3" i="16" s="1"/>
  <c r="HP2" i="16"/>
  <c r="HP3" i="16" s="1"/>
  <c r="HO2" i="16"/>
  <c r="HO3" i="16" s="1"/>
  <c r="HN2" i="16"/>
  <c r="HN3" i="16" s="1"/>
  <c r="HM2" i="16"/>
  <c r="HM3" i="16" s="1"/>
  <c r="HL2" i="16"/>
  <c r="HL3" i="16" s="1"/>
  <c r="HK2" i="16"/>
  <c r="HK3" i="16" s="1"/>
  <c r="HJ2" i="16"/>
  <c r="HJ3" i="16" s="1"/>
  <c r="HI2" i="16"/>
  <c r="HI3" i="16" s="1"/>
  <c r="HH2" i="16"/>
  <c r="HH3" i="16" s="1"/>
  <c r="HG2" i="16"/>
  <c r="HG3" i="16" s="1"/>
  <c r="HF2" i="16"/>
  <c r="HF3" i="16" s="1"/>
  <c r="HE2" i="16"/>
  <c r="HE3" i="16" s="1"/>
  <c r="HD2" i="16"/>
  <c r="HD3" i="16" s="1"/>
  <c r="HC2" i="16"/>
  <c r="HC3" i="16" s="1"/>
  <c r="HB2" i="16"/>
  <c r="HB3" i="16" s="1"/>
  <c r="HA2" i="16"/>
  <c r="HA3" i="16" s="1"/>
  <c r="GZ2" i="16"/>
  <c r="GZ3" i="16" s="1"/>
  <c r="GY2" i="16"/>
  <c r="GY3" i="16" s="1"/>
  <c r="GX2" i="16"/>
  <c r="GX3" i="16" s="1"/>
  <c r="GW2" i="16"/>
  <c r="GW3" i="16" s="1"/>
  <c r="GV2" i="16"/>
  <c r="GV3" i="16" s="1"/>
  <c r="GU2" i="16"/>
  <c r="GU3" i="16" s="1"/>
  <c r="GT2" i="16"/>
  <c r="GT3" i="16" s="1"/>
  <c r="GS2" i="16"/>
  <c r="GS3" i="16" s="1"/>
  <c r="GR2" i="16"/>
  <c r="GR3" i="16" s="1"/>
  <c r="GQ2" i="16"/>
  <c r="GQ3" i="16" s="1"/>
  <c r="GP2" i="16"/>
  <c r="GP3" i="16" s="1"/>
  <c r="GO2" i="16"/>
  <c r="GO3" i="16" s="1"/>
  <c r="GN2" i="16"/>
  <c r="GN3" i="16" s="1"/>
  <c r="GM2" i="16"/>
  <c r="GM3" i="16" s="1"/>
  <c r="GL2" i="16"/>
  <c r="GL3" i="16" s="1"/>
  <c r="GK2" i="16"/>
  <c r="GK3" i="16" s="1"/>
  <c r="GJ2" i="16"/>
  <c r="GJ3" i="16" s="1"/>
  <c r="GI2" i="16"/>
  <c r="GI3" i="16" s="1"/>
  <c r="GH2" i="16"/>
  <c r="GH3" i="16" s="1"/>
  <c r="GG2" i="16"/>
  <c r="GG3" i="16" s="1"/>
  <c r="GF2" i="16"/>
  <c r="GF3" i="16" s="1"/>
  <c r="GE2" i="16"/>
  <c r="GE3" i="16" s="1"/>
  <c r="GD2" i="16"/>
  <c r="GD3" i="16" s="1"/>
  <c r="GC2" i="16"/>
  <c r="GC3" i="16" s="1"/>
  <c r="GB2" i="16"/>
  <c r="GB3" i="16" s="1"/>
  <c r="GA2" i="16"/>
  <c r="GA3" i="16" s="1"/>
  <c r="FZ2" i="16"/>
  <c r="FZ3" i="16" s="1"/>
  <c r="FY2" i="16"/>
  <c r="FY3" i="16" s="1"/>
  <c r="FX2" i="16"/>
  <c r="FX3" i="16" s="1"/>
  <c r="FW2" i="16"/>
  <c r="FW3" i="16" s="1"/>
  <c r="FV2" i="16"/>
  <c r="FV3" i="16" s="1"/>
  <c r="FU2" i="16"/>
  <c r="FU3" i="16" s="1"/>
  <c r="FT2" i="16"/>
  <c r="FT3" i="16" s="1"/>
  <c r="FS2" i="16"/>
  <c r="FS3" i="16" s="1"/>
  <c r="FR2" i="16"/>
  <c r="FR3" i="16" s="1"/>
  <c r="FQ2" i="16"/>
  <c r="FQ3" i="16" s="1"/>
  <c r="FP2" i="16"/>
  <c r="FP3" i="16" s="1"/>
  <c r="FO2" i="16"/>
  <c r="FO3" i="16" s="1"/>
  <c r="FN2" i="16"/>
  <c r="FN3" i="16" s="1"/>
  <c r="FM2" i="16"/>
  <c r="FM3" i="16" s="1"/>
  <c r="FL2" i="16"/>
  <c r="FL3" i="16" s="1"/>
  <c r="FK2" i="16"/>
  <c r="FK3" i="16" s="1"/>
  <c r="FJ2" i="16"/>
  <c r="FJ3" i="16" s="1"/>
  <c r="FI2" i="16"/>
  <c r="FI3" i="16" s="1"/>
  <c r="FH2" i="16"/>
  <c r="FH3" i="16" s="1"/>
  <c r="FG2" i="16"/>
  <c r="FG3" i="16" s="1"/>
  <c r="FF2" i="16"/>
  <c r="FF3" i="16" s="1"/>
  <c r="FE2" i="16"/>
  <c r="FE3" i="16" s="1"/>
  <c r="FD2" i="16"/>
  <c r="FD3" i="16" s="1"/>
  <c r="FC2" i="16"/>
  <c r="FC3" i="16" s="1"/>
  <c r="FB2" i="16"/>
  <c r="FB3" i="16" s="1"/>
  <c r="FA2" i="16"/>
  <c r="FA3" i="16" s="1"/>
  <c r="EZ2" i="16"/>
  <c r="EZ3" i="16" s="1"/>
  <c r="EY2" i="16"/>
  <c r="EY3" i="16" s="1"/>
  <c r="EX2" i="16"/>
  <c r="EX3" i="16" s="1"/>
  <c r="EW2" i="16"/>
  <c r="EW3" i="16" s="1"/>
  <c r="EV2" i="16"/>
  <c r="EV3" i="16" s="1"/>
  <c r="EU2" i="16"/>
  <c r="EU3" i="16" s="1"/>
  <c r="ET2" i="16"/>
  <c r="ET3" i="16" s="1"/>
  <c r="ES2" i="16"/>
  <c r="ES3" i="16" s="1"/>
  <c r="ER2" i="16"/>
  <c r="ER3" i="16" s="1"/>
  <c r="EQ2" i="16"/>
  <c r="EQ3" i="16" s="1"/>
  <c r="EP2" i="16"/>
  <c r="EP3" i="16" s="1"/>
  <c r="EO2" i="16"/>
  <c r="EO3" i="16" s="1"/>
  <c r="EN2" i="16"/>
  <c r="EN3" i="16" s="1"/>
  <c r="EM2" i="16"/>
  <c r="EM3" i="16" s="1"/>
  <c r="EL2" i="16"/>
  <c r="EL3" i="16" s="1"/>
  <c r="EK2" i="16"/>
  <c r="EK3" i="16" s="1"/>
  <c r="EJ2" i="16"/>
  <c r="EJ3" i="16" s="1"/>
  <c r="EI2" i="16"/>
  <c r="EI3" i="16" s="1"/>
  <c r="EH2" i="16"/>
  <c r="EH3" i="16" s="1"/>
  <c r="EG2" i="16"/>
  <c r="EG3" i="16" s="1"/>
  <c r="EF2" i="16"/>
  <c r="EF3" i="16" s="1"/>
  <c r="EE2" i="16"/>
  <c r="EE3" i="16" s="1"/>
  <c r="ED2" i="16"/>
  <c r="ED3" i="16" s="1"/>
  <c r="EC2" i="16"/>
  <c r="EC3" i="16" s="1"/>
  <c r="EB2" i="16"/>
  <c r="EB3" i="16" s="1"/>
  <c r="EA2" i="16"/>
  <c r="EA3" i="16" s="1"/>
  <c r="DZ2" i="16"/>
  <c r="DZ3" i="16" s="1"/>
  <c r="DY2" i="16"/>
  <c r="DY3" i="16" s="1"/>
  <c r="DX2" i="16"/>
  <c r="DX3" i="16" s="1"/>
  <c r="DW2" i="16"/>
  <c r="DW3" i="16" s="1"/>
  <c r="DV2" i="16"/>
  <c r="DV3" i="16" s="1"/>
  <c r="DU2" i="16"/>
  <c r="DU3" i="16" s="1"/>
  <c r="DT2" i="16"/>
  <c r="DT3" i="16" s="1"/>
  <c r="DS2" i="16"/>
  <c r="DS3" i="16" s="1"/>
  <c r="DR2" i="16"/>
  <c r="DR3" i="16" s="1"/>
  <c r="DQ2" i="16"/>
  <c r="DQ3" i="16" s="1"/>
  <c r="DP2" i="16"/>
  <c r="DP3" i="16" s="1"/>
  <c r="DO2" i="16"/>
  <c r="DO3" i="16" s="1"/>
  <c r="DN2" i="16"/>
  <c r="DN3" i="16" s="1"/>
  <c r="DM2" i="16"/>
  <c r="DM3" i="16" s="1"/>
  <c r="DL2" i="16"/>
  <c r="DL3" i="16" s="1"/>
  <c r="DK2" i="16"/>
  <c r="DK3" i="16" s="1"/>
  <c r="DJ2" i="16"/>
  <c r="DJ3" i="16" s="1"/>
  <c r="DI2" i="16"/>
  <c r="DI3" i="16" s="1"/>
  <c r="DH2" i="16"/>
  <c r="DH3" i="16" s="1"/>
  <c r="DG2" i="16"/>
  <c r="DG3" i="16" s="1"/>
  <c r="DF2" i="16"/>
  <c r="DF3" i="16" s="1"/>
  <c r="DE2" i="16"/>
  <c r="DE3" i="16" s="1"/>
  <c r="DD2" i="16"/>
  <c r="DD3" i="16" s="1"/>
  <c r="DC2" i="16"/>
  <c r="DC3" i="16" s="1"/>
  <c r="DB2" i="16"/>
  <c r="DB3" i="16" s="1"/>
  <c r="DA2" i="16"/>
  <c r="DA3" i="16" s="1"/>
  <c r="CZ2" i="16"/>
  <c r="CZ3" i="16" s="1"/>
  <c r="CY2" i="16"/>
  <c r="CY3" i="16" s="1"/>
  <c r="CX2" i="16"/>
  <c r="CX3" i="16" s="1"/>
  <c r="CW2" i="16"/>
  <c r="CW3" i="16" s="1"/>
  <c r="CV2" i="16"/>
  <c r="CV3" i="16" s="1"/>
  <c r="CU2" i="16"/>
  <c r="CU3" i="16" s="1"/>
  <c r="CT2" i="16"/>
  <c r="CT3" i="16" s="1"/>
  <c r="CS2" i="16"/>
  <c r="CS3" i="16" s="1"/>
  <c r="CR2" i="16"/>
  <c r="CR3" i="16" s="1"/>
  <c r="CQ2" i="16"/>
  <c r="CQ3" i="16" s="1"/>
  <c r="CP2" i="16"/>
  <c r="CP3" i="16" s="1"/>
  <c r="CO2" i="16"/>
  <c r="CO3" i="16" s="1"/>
  <c r="CN2" i="16"/>
  <c r="CN3" i="16" s="1"/>
  <c r="CM2" i="16"/>
  <c r="CM3" i="16" s="1"/>
  <c r="CL2" i="16"/>
  <c r="CL3" i="16" s="1"/>
  <c r="CK2" i="16"/>
  <c r="CK3" i="16" s="1"/>
  <c r="CJ2" i="16"/>
  <c r="CJ3" i="16" s="1"/>
  <c r="CI2" i="16"/>
  <c r="CI3" i="16" s="1"/>
  <c r="CH2" i="16"/>
  <c r="CH3" i="16" s="1"/>
  <c r="CG2" i="16"/>
  <c r="CG3" i="16" s="1"/>
  <c r="CF2" i="16"/>
  <c r="CF3" i="16" s="1"/>
  <c r="CE2" i="16"/>
  <c r="CE3" i="16" s="1"/>
  <c r="CD2" i="16"/>
  <c r="CD3" i="16" s="1"/>
  <c r="CC2" i="16"/>
  <c r="CC3" i="16" s="1"/>
  <c r="CB2" i="16"/>
  <c r="CB3" i="16" s="1"/>
  <c r="CA2" i="16"/>
  <c r="CA3" i="16" s="1"/>
  <c r="BZ2" i="16"/>
  <c r="BZ3" i="16" s="1"/>
  <c r="BY2" i="16"/>
  <c r="BY3" i="16" s="1"/>
  <c r="BX2" i="16"/>
  <c r="BX3" i="16" s="1"/>
  <c r="BW2" i="16"/>
  <c r="BW3" i="16" s="1"/>
  <c r="BV2" i="16"/>
  <c r="BV3" i="16" s="1"/>
  <c r="BU2" i="16"/>
  <c r="BU3" i="16" s="1"/>
  <c r="BT2" i="16"/>
  <c r="BT3" i="16" s="1"/>
  <c r="BS2" i="16"/>
  <c r="BS3" i="16" s="1"/>
  <c r="BR2" i="16"/>
  <c r="BR3" i="16" s="1"/>
  <c r="BQ2" i="16"/>
  <c r="BQ3" i="16" s="1"/>
  <c r="BP2" i="16"/>
  <c r="BP3" i="16" s="1"/>
  <c r="BO2" i="16"/>
  <c r="BO3" i="16" s="1"/>
  <c r="BN2" i="16"/>
  <c r="BN3" i="16" s="1"/>
  <c r="BM2" i="16"/>
  <c r="BM3" i="16" s="1"/>
  <c r="BL2" i="16"/>
  <c r="BL3" i="16" s="1"/>
  <c r="BK2" i="16"/>
  <c r="BK3" i="16" s="1"/>
  <c r="BJ2" i="16"/>
  <c r="BJ3" i="16" s="1"/>
  <c r="BI2" i="16"/>
  <c r="BI3" i="16" s="1"/>
  <c r="BH2" i="16"/>
  <c r="BH3" i="16" s="1"/>
  <c r="BG2" i="16"/>
  <c r="BG3" i="16" s="1"/>
  <c r="BF2" i="16"/>
  <c r="BF3" i="16" s="1"/>
  <c r="BE2" i="16"/>
  <c r="BE3" i="16" s="1"/>
  <c r="BD2" i="16"/>
  <c r="BD3" i="16" s="1"/>
  <c r="BC2" i="16"/>
  <c r="BC3" i="16" s="1"/>
  <c r="BB2" i="16"/>
  <c r="BB3" i="16" s="1"/>
  <c r="BA2" i="16"/>
  <c r="BA3" i="16" s="1"/>
  <c r="AZ2" i="16"/>
  <c r="AZ3" i="16" s="1"/>
  <c r="AY2" i="16"/>
  <c r="AY3" i="16" s="1"/>
  <c r="AX2" i="16"/>
  <c r="AX3" i="16" s="1"/>
  <c r="AW2" i="16"/>
  <c r="AW3" i="16" s="1"/>
  <c r="AV2" i="16"/>
  <c r="AV3" i="16" s="1"/>
  <c r="AU2" i="16"/>
  <c r="AU3" i="16" s="1"/>
  <c r="AT2" i="16"/>
  <c r="AT3" i="16" s="1"/>
  <c r="AS2" i="16"/>
  <c r="AS3" i="16" s="1"/>
  <c r="AR2" i="16"/>
  <c r="AR3" i="16" s="1"/>
  <c r="AQ2" i="16"/>
  <c r="AQ3" i="16" s="1"/>
  <c r="AP2" i="16"/>
  <c r="AP3" i="16" s="1"/>
  <c r="AO2" i="16"/>
  <c r="AO3" i="16" s="1"/>
  <c r="AN2" i="16"/>
  <c r="AN3" i="16" s="1"/>
  <c r="AM2" i="16"/>
  <c r="AM3" i="16" s="1"/>
  <c r="AL2" i="16"/>
  <c r="AL3" i="16" s="1"/>
  <c r="AK2" i="16"/>
  <c r="AK3" i="16" s="1"/>
  <c r="AJ2" i="16"/>
  <c r="AJ3" i="16" s="1"/>
  <c r="AI2" i="16"/>
  <c r="AI3" i="16" s="1"/>
  <c r="AH2" i="16"/>
  <c r="AH3" i="16" s="1"/>
  <c r="AG2" i="16"/>
  <c r="AG3" i="16" s="1"/>
  <c r="AF2" i="16"/>
  <c r="AF3" i="16" s="1"/>
  <c r="AE2" i="16"/>
  <c r="AE3" i="16" s="1"/>
  <c r="AD2" i="16"/>
  <c r="AD3" i="16" s="1"/>
  <c r="AC2" i="16"/>
  <c r="AC3" i="16" s="1"/>
  <c r="AB2" i="16"/>
  <c r="AB3" i="16" s="1"/>
  <c r="AA2" i="16"/>
  <c r="AA3" i="16" s="1"/>
  <c r="Z2" i="16"/>
  <c r="Z3" i="16" s="1"/>
  <c r="Y2" i="16"/>
  <c r="Y3" i="16" s="1"/>
  <c r="X2" i="16"/>
  <c r="X3" i="16" s="1"/>
  <c r="W2" i="16"/>
  <c r="W3" i="16" s="1"/>
  <c r="V2" i="16"/>
  <c r="V3" i="16" s="1"/>
  <c r="U2" i="16"/>
  <c r="U3" i="16" s="1"/>
  <c r="T2" i="16"/>
  <c r="T3" i="16" s="1"/>
  <c r="S2" i="16"/>
  <c r="S3" i="16" s="1"/>
  <c r="R2" i="16"/>
  <c r="R3" i="16" s="1"/>
  <c r="Q2" i="16"/>
  <c r="Q3" i="16" s="1"/>
  <c r="P2" i="16"/>
  <c r="P3" i="16" s="1"/>
  <c r="O2" i="16"/>
  <c r="O3" i="16" s="1"/>
  <c r="N2" i="16"/>
  <c r="N3" i="16" s="1"/>
  <c r="M2" i="16"/>
  <c r="M3" i="16" s="1"/>
  <c r="L2" i="16"/>
  <c r="L3" i="16" s="1"/>
  <c r="K2" i="16"/>
  <c r="K3" i="16" s="1"/>
  <c r="J2" i="16"/>
  <c r="J3" i="16" s="1"/>
  <c r="I2" i="16"/>
  <c r="I3" i="16" s="1"/>
  <c r="H2" i="16"/>
  <c r="H3" i="16" s="1"/>
  <c r="G2" i="16"/>
  <c r="G3" i="16" s="1"/>
  <c r="F2" i="16"/>
  <c r="F3" i="16" s="1"/>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02" i="14"/>
  <c r="D203" i="14"/>
  <c r="D204" i="14"/>
  <c r="D205" i="14"/>
  <c r="D206" i="14"/>
  <c r="D207" i="14"/>
  <c r="D208" i="14"/>
  <c r="D209" i="14"/>
  <c r="D210" i="14"/>
  <c r="D211" i="14"/>
  <c r="D212" i="14"/>
  <c r="D213" i="14"/>
  <c r="D214" i="14"/>
  <c r="D215" i="14"/>
  <c r="D216" i="14"/>
  <c r="D217" i="14"/>
  <c r="D218" i="14"/>
  <c r="D219" i="14"/>
  <c r="D220" i="14"/>
  <c r="D221" i="14"/>
  <c r="D222" i="14"/>
  <c r="D223" i="14"/>
  <c r="D224" i="14"/>
  <c r="D225" i="14"/>
  <c r="D226" i="14"/>
  <c r="D227" i="14"/>
  <c r="D228" i="14"/>
  <c r="D229" i="14"/>
  <c r="D230" i="14"/>
  <c r="D231" i="14"/>
  <c r="D232" i="14"/>
  <c r="D233" i="14"/>
  <c r="D234" i="14"/>
  <c r="D235" i="14"/>
  <c r="D236" i="14"/>
  <c r="D237" i="14"/>
  <c r="D238" i="14"/>
  <c r="D239" i="14"/>
  <c r="D240" i="14"/>
  <c r="D241" i="14"/>
  <c r="D242" i="14"/>
  <c r="D243" i="14"/>
  <c r="D244" i="14"/>
  <c r="D245" i="14"/>
  <c r="D246" i="14"/>
  <c r="D247" i="14"/>
  <c r="D248" i="14"/>
  <c r="D249" i="14"/>
  <c r="D250" i="14"/>
  <c r="D251" i="14"/>
  <c r="D252" i="14"/>
  <c r="D253" i="14"/>
  <c r="D254" i="14"/>
  <c r="D255" i="14"/>
  <c r="D256" i="14"/>
  <c r="D257" i="14"/>
  <c r="D258" i="14"/>
  <c r="D259" i="14"/>
  <c r="D260" i="14"/>
  <c r="D261" i="14"/>
  <c r="D262" i="14"/>
  <c r="D263" i="14"/>
  <c r="D264" i="14"/>
  <c r="D265" i="14"/>
  <c r="D266" i="14"/>
  <c r="D267" i="14"/>
  <c r="D268" i="14"/>
  <c r="D269" i="14"/>
  <c r="D270" i="14"/>
  <c r="D271" i="14"/>
  <c r="D272" i="14"/>
  <c r="D273" i="14"/>
  <c r="D274" i="14"/>
  <c r="D275" i="14"/>
  <c r="D276" i="14"/>
  <c r="D277" i="14"/>
  <c r="D278" i="14"/>
  <c r="D279" i="14"/>
  <c r="D280" i="14"/>
  <c r="D281" i="14"/>
  <c r="D282" i="14"/>
  <c r="D283" i="14"/>
  <c r="D284" i="14"/>
  <c r="D285" i="14"/>
  <c r="D286" i="14"/>
  <c r="D287" i="14"/>
  <c r="D288" i="14"/>
  <c r="D289" i="14"/>
  <c r="D290" i="14"/>
  <c r="D291" i="14"/>
  <c r="D292" i="14"/>
  <c r="D293" i="14"/>
  <c r="D294" i="14"/>
  <c r="D295" i="14"/>
  <c r="D296" i="14"/>
  <c r="D297" i="14"/>
  <c r="D298" i="14"/>
  <c r="D299" i="14"/>
  <c r="D300" i="14"/>
  <c r="D301" i="14"/>
  <c r="D302" i="14"/>
  <c r="D303" i="14"/>
  <c r="D304" i="14"/>
  <c r="D305" i="14"/>
  <c r="D306" i="14"/>
  <c r="D307" i="14"/>
  <c r="D308" i="14"/>
  <c r="D309" i="14"/>
  <c r="D310" i="14"/>
  <c r="D311" i="14"/>
  <c r="D312" i="14"/>
  <c r="D313" i="14"/>
  <c r="D314" i="14"/>
  <c r="D315" i="14"/>
  <c r="D316" i="14"/>
  <c r="D317" i="14"/>
  <c r="D318" i="14"/>
  <c r="D319" i="14"/>
  <c r="D320" i="14"/>
  <c r="D321" i="14"/>
  <c r="D322" i="14"/>
  <c r="D323" i="14"/>
  <c r="D324" i="14"/>
  <c r="D325" i="14"/>
  <c r="D326" i="14"/>
  <c r="D327" i="14"/>
  <c r="D328" i="14"/>
  <c r="D329" i="14"/>
  <c r="D330" i="14"/>
  <c r="D331" i="14"/>
  <c r="D332" i="14"/>
  <c r="D333" i="14"/>
  <c r="D334" i="14"/>
  <c r="D335" i="14"/>
  <c r="D336" i="14"/>
  <c r="D337" i="14"/>
  <c r="D338" i="14"/>
  <c r="D339" i="14"/>
  <c r="D340" i="14"/>
  <c r="D341" i="14"/>
  <c r="D342" i="14"/>
  <c r="D343" i="14"/>
  <c r="D344" i="14"/>
  <c r="D345" i="14"/>
  <c r="D346" i="14"/>
  <c r="D347" i="14"/>
  <c r="D348" i="14"/>
  <c r="D349" i="14"/>
  <c r="D350" i="14"/>
  <c r="D351" i="14"/>
  <c r="D352" i="14"/>
  <c r="D353" i="14"/>
  <c r="D354" i="14"/>
  <c r="D355" i="14"/>
  <c r="D356" i="14"/>
  <c r="D357" i="14"/>
  <c r="D358" i="14"/>
  <c r="D359" i="14"/>
  <c r="D360" i="14"/>
  <c r="D361" i="14"/>
  <c r="D362" i="14"/>
  <c r="D363" i="14"/>
  <c r="D364" i="14"/>
  <c r="D365" i="14"/>
  <c r="D366" i="14"/>
  <c r="D367" i="14"/>
  <c r="D368" i="14"/>
  <c r="D369" i="14"/>
  <c r="D370" i="14"/>
  <c r="D371" i="14"/>
  <c r="D372" i="14"/>
  <c r="D373" i="14"/>
  <c r="D374" i="14"/>
  <c r="D375" i="14"/>
  <c r="D376" i="14"/>
  <c r="D377" i="14"/>
  <c r="D378" i="14"/>
  <c r="D379" i="14"/>
  <c r="D380" i="14"/>
  <c r="D381" i="14"/>
  <c r="D382" i="14"/>
  <c r="D383" i="14"/>
  <c r="D384" i="14"/>
  <c r="D385" i="14"/>
  <c r="D386" i="14"/>
  <c r="D387" i="14"/>
  <c r="D388" i="14"/>
  <c r="D389" i="14"/>
  <c r="D390" i="14"/>
  <c r="D391" i="14"/>
  <c r="D392" i="14"/>
  <c r="D393" i="14"/>
  <c r="D394" i="14"/>
  <c r="D395" i="14"/>
  <c r="D396" i="14"/>
  <c r="D397" i="14"/>
  <c r="D398" i="14"/>
  <c r="D399" i="14"/>
  <c r="D400" i="14"/>
  <c r="D401" i="14"/>
  <c r="D402" i="14"/>
  <c r="D403" i="14"/>
  <c r="D404" i="14"/>
  <c r="D405" i="14"/>
  <c r="D406" i="14"/>
  <c r="D407" i="14"/>
  <c r="D408" i="14"/>
  <c r="D409" i="14"/>
  <c r="D410" i="14"/>
  <c r="D411" i="14"/>
  <c r="D412" i="14"/>
  <c r="D413" i="14"/>
  <c r="D414" i="14"/>
  <c r="D415" i="14"/>
  <c r="D416" i="14"/>
  <c r="D417" i="14"/>
  <c r="D418" i="14"/>
  <c r="D419" i="14"/>
  <c r="D420" i="14"/>
  <c r="D421" i="14"/>
  <c r="D422" i="14"/>
  <c r="D423" i="14"/>
  <c r="D424" i="14"/>
  <c r="D425" i="14"/>
  <c r="D426" i="14"/>
  <c r="D427" i="14"/>
  <c r="D428" i="14"/>
  <c r="D429" i="14"/>
  <c r="D430" i="14"/>
  <c r="D431" i="14"/>
  <c r="D432" i="14"/>
  <c r="D433" i="14"/>
  <c r="D434" i="14"/>
  <c r="D435" i="14"/>
  <c r="D436" i="14"/>
  <c r="D437" i="14"/>
  <c r="D438" i="14"/>
  <c r="D439" i="14"/>
  <c r="D440" i="14"/>
  <c r="D441" i="14"/>
  <c r="D442" i="14"/>
  <c r="D443" i="14"/>
  <c r="D444" i="14"/>
  <c r="D445" i="14"/>
  <c r="D446" i="14"/>
  <c r="D447" i="14"/>
  <c r="D448" i="14"/>
  <c r="D449" i="14"/>
  <c r="D450" i="14"/>
  <c r="D451" i="14"/>
  <c r="D452" i="14"/>
  <c r="D453" i="14"/>
  <c r="D454" i="14"/>
  <c r="D455" i="14"/>
  <c r="D456" i="14"/>
  <c r="D457" i="14"/>
  <c r="D458" i="14"/>
  <c r="D459" i="14"/>
  <c r="D460" i="14"/>
  <c r="D461" i="14"/>
  <c r="D462" i="14"/>
  <c r="D463" i="14"/>
  <c r="D464" i="14"/>
  <c r="D465" i="14"/>
  <c r="D466" i="14"/>
  <c r="D467" i="14"/>
  <c r="D468" i="14"/>
  <c r="D469" i="14"/>
  <c r="D470" i="14"/>
  <c r="D471" i="14"/>
  <c r="D472" i="14"/>
  <c r="D473" i="14"/>
  <c r="D474" i="14"/>
  <c r="D475" i="14"/>
  <c r="D476" i="14"/>
  <c r="D477" i="14"/>
  <c r="D478" i="14"/>
  <c r="D479" i="14"/>
  <c r="D480" i="14"/>
  <c r="D481" i="14"/>
  <c r="D482" i="14"/>
  <c r="D483" i="14"/>
  <c r="D484" i="14"/>
  <c r="D485" i="14"/>
  <c r="D486" i="14"/>
  <c r="D487" i="14"/>
  <c r="D488" i="14"/>
  <c r="D489" i="14"/>
  <c r="D490" i="14"/>
  <c r="D491" i="14"/>
  <c r="D492" i="14"/>
  <c r="D493" i="14"/>
  <c r="D494" i="14"/>
  <c r="D495" i="14"/>
  <c r="D496" i="14"/>
  <c r="D497" i="14"/>
  <c r="D498" i="14"/>
  <c r="D499" i="14"/>
  <c r="D500" i="14"/>
  <c r="D501" i="14"/>
  <c r="D502" i="14"/>
  <c r="D503" i="14"/>
  <c r="D504" i="14"/>
  <c r="D505" i="14"/>
  <c r="D506" i="14"/>
  <c r="D507" i="14"/>
  <c r="D508" i="14"/>
  <c r="D509" i="14"/>
  <c r="D510" i="14"/>
  <c r="D511" i="14"/>
  <c r="D512" i="14"/>
  <c r="D513" i="14"/>
  <c r="D514" i="14"/>
  <c r="D515" i="14"/>
  <c r="D516" i="14"/>
  <c r="D517" i="14"/>
  <c r="D518" i="14"/>
  <c r="D519" i="14"/>
  <c r="D520" i="14"/>
  <c r="D521" i="14"/>
  <c r="D522" i="14"/>
  <c r="D523" i="14"/>
  <c r="D524" i="14"/>
  <c r="D525" i="14"/>
  <c r="D526" i="14"/>
  <c r="D527" i="14"/>
  <c r="D528" i="14"/>
  <c r="D529" i="14"/>
  <c r="D530" i="14"/>
  <c r="D531" i="14"/>
  <c r="D532" i="14"/>
  <c r="D533" i="14"/>
  <c r="D534" i="14"/>
  <c r="D535" i="14"/>
  <c r="D536" i="14"/>
  <c r="D537" i="14"/>
  <c r="D538" i="14"/>
  <c r="D539" i="14"/>
  <c r="D540" i="14"/>
  <c r="D541" i="14"/>
  <c r="D542" i="14"/>
  <c r="D543" i="14"/>
  <c r="D544" i="14"/>
  <c r="D545" i="14"/>
  <c r="D546" i="14"/>
  <c r="D547" i="14"/>
  <c r="D548" i="14"/>
  <c r="D549" i="14"/>
  <c r="D550" i="14"/>
  <c r="D551" i="14"/>
  <c r="D552" i="14"/>
  <c r="D553" i="14"/>
  <c r="D554" i="14"/>
  <c r="D555" i="14"/>
  <c r="D556" i="14"/>
  <c r="D557" i="14"/>
  <c r="D558" i="14"/>
  <c r="D559" i="14"/>
  <c r="D560" i="14"/>
  <c r="D561" i="14"/>
  <c r="D562" i="14"/>
  <c r="D563" i="14"/>
  <c r="D564" i="14"/>
  <c r="D565" i="14"/>
  <c r="D566" i="14"/>
  <c r="D567" i="14"/>
  <c r="D568" i="14"/>
  <c r="D569" i="14"/>
  <c r="D570" i="14"/>
  <c r="D571" i="14"/>
  <c r="D572" i="14"/>
  <c r="D573" i="14"/>
  <c r="D574" i="14"/>
  <c r="D575" i="14"/>
  <c r="D576" i="14"/>
  <c r="D577" i="14"/>
  <c r="D578" i="14"/>
  <c r="D579" i="14"/>
  <c r="D580" i="14"/>
  <c r="D581" i="14"/>
  <c r="D582" i="14"/>
  <c r="D583" i="14"/>
  <c r="D584" i="14"/>
  <c r="D585" i="14"/>
  <c r="D586" i="14"/>
  <c r="D587" i="14"/>
  <c r="D588" i="14"/>
  <c r="D589" i="14"/>
  <c r="D590" i="14"/>
  <c r="D591" i="14"/>
  <c r="D592" i="14"/>
  <c r="D593" i="14"/>
  <c r="D594" i="14"/>
  <c r="D595" i="14"/>
  <c r="D596" i="14"/>
  <c r="D597" i="14"/>
  <c r="D598" i="14"/>
  <c r="D599" i="14"/>
  <c r="D600" i="14"/>
  <c r="D601" i="14"/>
  <c r="D602" i="14"/>
  <c r="D603" i="14"/>
  <c r="D604" i="14"/>
  <c r="D605" i="14"/>
  <c r="D606" i="14"/>
  <c r="D607" i="14"/>
  <c r="D608" i="14"/>
  <c r="D609" i="14"/>
  <c r="D610" i="14"/>
  <c r="D611" i="14"/>
  <c r="D612" i="14"/>
  <c r="D613" i="14"/>
  <c r="D614" i="14"/>
  <c r="D615" i="14"/>
  <c r="D616" i="14"/>
  <c r="D617" i="14"/>
  <c r="D618" i="14"/>
  <c r="D619" i="14"/>
  <c r="D620" i="14"/>
  <c r="D621" i="14"/>
  <c r="D622" i="14"/>
  <c r="D623" i="14"/>
  <c r="D624" i="14"/>
  <c r="D625" i="14"/>
  <c r="D626" i="14"/>
  <c r="D627" i="14"/>
  <c r="D628" i="14"/>
  <c r="D629" i="14"/>
  <c r="D630" i="14"/>
  <c r="D631" i="14"/>
  <c r="D632" i="14"/>
  <c r="D633" i="14"/>
  <c r="D634" i="14"/>
  <c r="D635" i="14"/>
  <c r="D636" i="14"/>
  <c r="D637" i="14"/>
  <c r="D638" i="14"/>
  <c r="D639" i="14"/>
  <c r="D640" i="14"/>
  <c r="D641" i="14"/>
  <c r="D642" i="14"/>
  <c r="D643" i="14"/>
  <c r="D644" i="14"/>
  <c r="D645" i="14"/>
  <c r="D646" i="14"/>
  <c r="D647" i="14"/>
  <c r="D648" i="14"/>
  <c r="D649" i="14"/>
  <c r="D650" i="14"/>
  <c r="D651" i="14"/>
  <c r="D652" i="14"/>
  <c r="D653" i="14"/>
  <c r="D654" i="14"/>
  <c r="D655" i="14"/>
  <c r="D656" i="14"/>
  <c r="D657" i="14"/>
  <c r="D658" i="14"/>
  <c r="D659" i="14"/>
  <c r="D660" i="14"/>
  <c r="D661" i="14"/>
  <c r="D662" i="14"/>
  <c r="D663" i="14"/>
  <c r="D664" i="14"/>
  <c r="D665" i="14"/>
  <c r="D666" i="14"/>
  <c r="D667" i="14"/>
  <c r="D668" i="14"/>
  <c r="D669" i="14"/>
  <c r="D670" i="14"/>
  <c r="D671" i="14"/>
  <c r="D672" i="14"/>
  <c r="D673" i="14"/>
  <c r="D674" i="14"/>
  <c r="D675" i="14"/>
  <c r="D676" i="14"/>
  <c r="D677" i="14"/>
  <c r="D678" i="14"/>
  <c r="D679" i="14"/>
  <c r="D680" i="14"/>
  <c r="D681" i="14"/>
  <c r="D682" i="14"/>
  <c r="D683" i="14"/>
  <c r="D684" i="14"/>
  <c r="D685" i="14"/>
  <c r="D686" i="14"/>
  <c r="D687" i="14"/>
  <c r="D688" i="14"/>
  <c r="D689" i="14"/>
  <c r="D690" i="14"/>
  <c r="D691" i="14"/>
  <c r="D692" i="14"/>
  <c r="D693" i="14"/>
  <c r="D694" i="14"/>
  <c r="D695" i="14"/>
  <c r="D696" i="14"/>
  <c r="D697" i="14"/>
  <c r="D698" i="14"/>
  <c r="D699" i="14"/>
  <c r="D700" i="14"/>
  <c r="D701" i="14"/>
  <c r="D702" i="14"/>
  <c r="D703" i="14"/>
  <c r="D704" i="14"/>
  <c r="D705" i="14"/>
  <c r="D706" i="14"/>
  <c r="D707" i="14"/>
  <c r="D708" i="14"/>
  <c r="D709" i="14"/>
  <c r="D710" i="14"/>
  <c r="D711" i="14"/>
  <c r="D712" i="14"/>
  <c r="D713" i="14"/>
  <c r="D714" i="14"/>
  <c r="D715" i="14"/>
  <c r="D716" i="14"/>
  <c r="D717" i="14"/>
  <c r="D718" i="14"/>
  <c r="D719" i="14"/>
  <c r="D720" i="14"/>
  <c r="D721" i="14"/>
  <c r="D722" i="14"/>
  <c r="D723" i="14"/>
  <c r="D724" i="14"/>
  <c r="D725" i="14"/>
  <c r="D726" i="14"/>
  <c r="D727" i="14"/>
  <c r="D728" i="14"/>
  <c r="D729" i="14"/>
  <c r="D730" i="14"/>
  <c r="D731" i="14"/>
  <c r="D732" i="14"/>
  <c r="D733" i="14"/>
  <c r="D734" i="14"/>
  <c r="D735" i="14"/>
  <c r="D736" i="14"/>
  <c r="D737" i="14"/>
  <c r="D738" i="14"/>
  <c r="D739" i="14"/>
  <c r="D740" i="14"/>
  <c r="D741" i="14"/>
  <c r="D742" i="14"/>
  <c r="D743" i="14"/>
  <c r="D744" i="14"/>
  <c r="D745" i="14"/>
  <c r="D746" i="14"/>
  <c r="D747" i="14"/>
  <c r="D748" i="14"/>
  <c r="D749" i="14"/>
  <c r="D750" i="14"/>
  <c r="D751" i="14"/>
  <c r="D752" i="14"/>
  <c r="D753" i="14"/>
  <c r="D754" i="14"/>
  <c r="D755" i="14"/>
  <c r="D756" i="14"/>
  <c r="D757" i="14"/>
  <c r="D758" i="14"/>
  <c r="D759" i="14"/>
  <c r="D760" i="14"/>
  <c r="D761" i="14"/>
  <c r="D762" i="14"/>
  <c r="D763" i="14"/>
  <c r="D764" i="14"/>
  <c r="D765" i="14"/>
  <c r="D766" i="14"/>
  <c r="D767" i="14"/>
  <c r="D768" i="14"/>
  <c r="D769" i="14"/>
  <c r="D770" i="14"/>
  <c r="D771" i="14"/>
  <c r="D772" i="14"/>
  <c r="D773" i="14"/>
  <c r="D774" i="14"/>
  <c r="D775" i="14"/>
  <c r="D776" i="14"/>
  <c r="D777" i="14"/>
  <c r="D778" i="14"/>
  <c r="D779" i="14"/>
  <c r="D780" i="14"/>
  <c r="D781" i="14"/>
  <c r="D782" i="14"/>
  <c r="D783" i="14"/>
  <c r="D784" i="14"/>
  <c r="D785" i="14"/>
  <c r="D786" i="14"/>
  <c r="D787" i="14"/>
  <c r="D788" i="14"/>
  <c r="D789" i="14"/>
  <c r="D790" i="14"/>
  <c r="D791" i="14"/>
  <c r="D792" i="14"/>
  <c r="D793" i="14"/>
  <c r="D794" i="14"/>
  <c r="D795" i="14"/>
  <c r="D796" i="14"/>
  <c r="D797" i="14"/>
  <c r="D798" i="14"/>
  <c r="D2" i="14"/>
  <c r="F2" i="12"/>
  <c r="F3" i="12" s="1"/>
  <c r="G2" i="12"/>
  <c r="G3" i="12" s="1"/>
  <c r="H2" i="12"/>
  <c r="H3" i="12" s="1"/>
  <c r="I2" i="12"/>
  <c r="I3" i="12" s="1"/>
  <c r="J2" i="12"/>
  <c r="J3" i="12" s="1"/>
  <c r="K2" i="12"/>
  <c r="K3" i="12" s="1"/>
  <c r="L2" i="12"/>
  <c r="L3" i="12" s="1"/>
  <c r="M2" i="12"/>
  <c r="M3" i="12" s="1"/>
  <c r="N2" i="12"/>
  <c r="N3" i="12" s="1"/>
  <c r="O2" i="12"/>
  <c r="O3" i="12" s="1"/>
  <c r="P2" i="12"/>
  <c r="P3" i="12" s="1"/>
  <c r="Q2" i="12"/>
  <c r="Q3" i="12" s="1"/>
  <c r="R2" i="12"/>
  <c r="R3" i="12" s="1"/>
  <c r="S2" i="12"/>
  <c r="S3" i="12" s="1"/>
  <c r="T2" i="12"/>
  <c r="T3" i="12" s="1"/>
  <c r="U2" i="12"/>
  <c r="U3" i="12" s="1"/>
  <c r="V2" i="12"/>
  <c r="V3" i="12" s="1"/>
  <c r="W2" i="12"/>
  <c r="W3" i="12" s="1"/>
  <c r="X2" i="12"/>
  <c r="X3" i="12" s="1"/>
  <c r="Y2" i="12"/>
  <c r="Y3" i="12" s="1"/>
  <c r="Z2" i="12"/>
  <c r="Z3" i="12" s="1"/>
  <c r="AA2" i="12"/>
  <c r="AA3" i="12" s="1"/>
  <c r="AB2" i="12"/>
  <c r="AB3" i="12" s="1"/>
  <c r="AC2" i="12"/>
  <c r="AC3" i="12" s="1"/>
  <c r="AD2" i="12"/>
  <c r="AD3" i="12" s="1"/>
  <c r="AE2" i="12"/>
  <c r="AE3" i="12" s="1"/>
  <c r="AF2" i="12"/>
  <c r="AF3" i="12" s="1"/>
  <c r="AG2" i="12"/>
  <c r="AG3" i="12" s="1"/>
  <c r="AH2" i="12"/>
  <c r="AH3" i="12" s="1"/>
  <c r="AI2" i="12"/>
  <c r="AI3" i="12" s="1"/>
  <c r="AJ2" i="12"/>
  <c r="AJ3" i="12" s="1"/>
  <c r="AK2" i="12"/>
  <c r="AK3" i="12" s="1"/>
  <c r="AL2" i="12"/>
  <c r="AL3" i="12" s="1"/>
  <c r="AM2" i="12"/>
  <c r="AM3" i="12" s="1"/>
  <c r="AN2" i="12"/>
  <c r="AN3" i="12" s="1"/>
  <c r="AO2" i="12"/>
  <c r="AO3" i="12" s="1"/>
  <c r="AP2" i="12"/>
  <c r="AP3" i="12" s="1"/>
  <c r="AQ2" i="12"/>
  <c r="AQ3" i="12" s="1"/>
  <c r="AR2" i="12"/>
  <c r="AR3" i="12" s="1"/>
  <c r="AS2" i="12"/>
  <c r="AS3" i="12" s="1"/>
  <c r="AT2" i="12"/>
  <c r="AT3" i="12" s="1"/>
  <c r="AU2" i="12"/>
  <c r="AU3" i="12" s="1"/>
  <c r="AV2" i="12"/>
  <c r="AV3" i="12" s="1"/>
  <c r="AW2" i="12"/>
  <c r="AW3" i="12" s="1"/>
  <c r="AX2" i="12"/>
  <c r="AX3" i="12" s="1"/>
  <c r="AY2" i="12"/>
  <c r="AY3" i="12" s="1"/>
  <c r="AZ2" i="12"/>
  <c r="AZ3" i="12" s="1"/>
  <c r="BA2" i="12"/>
  <c r="BA3" i="12" s="1"/>
  <c r="BB2" i="12"/>
  <c r="BB3" i="12" s="1"/>
  <c r="BC2" i="12"/>
  <c r="BC3" i="12" s="1"/>
  <c r="BD2" i="12"/>
  <c r="BD3" i="12" s="1"/>
  <c r="BE2" i="12"/>
  <c r="BE3" i="12" s="1"/>
  <c r="BF2" i="12"/>
  <c r="BF3" i="12" s="1"/>
  <c r="BG2" i="12"/>
  <c r="BG3" i="12" s="1"/>
  <c r="BH2" i="12"/>
  <c r="BH3" i="12" s="1"/>
  <c r="BI2" i="12"/>
  <c r="BI3" i="12" s="1"/>
  <c r="BJ2" i="12"/>
  <c r="BJ3" i="12" s="1"/>
  <c r="BK2" i="12"/>
  <c r="BK3" i="12" s="1"/>
  <c r="BL2" i="12"/>
  <c r="BL3" i="12" s="1"/>
  <c r="BM2" i="12"/>
  <c r="BM3" i="12" s="1"/>
  <c r="BN2" i="12"/>
  <c r="BN3" i="12" s="1"/>
  <c r="BO2" i="12"/>
  <c r="BO3" i="12" s="1"/>
  <c r="BP2" i="12"/>
  <c r="BP3" i="12" s="1"/>
  <c r="BQ2" i="12"/>
  <c r="BQ3" i="12" s="1"/>
  <c r="BR2" i="12"/>
  <c r="BR3" i="12" s="1"/>
  <c r="BS2" i="12"/>
  <c r="BS3" i="12" s="1"/>
  <c r="BT2" i="12"/>
  <c r="BT3" i="12" s="1"/>
  <c r="BU2" i="12"/>
  <c r="BU3" i="12" s="1"/>
  <c r="BV2" i="12"/>
  <c r="BV3" i="12" s="1"/>
  <c r="BW2" i="12"/>
  <c r="BW3" i="12" s="1"/>
  <c r="BX2" i="12"/>
  <c r="BX3" i="12" s="1"/>
  <c r="BY2" i="12"/>
  <c r="BY3" i="12" s="1"/>
  <c r="BZ2" i="12"/>
  <c r="BZ3" i="12" s="1"/>
  <c r="CA2" i="12"/>
  <c r="CA3" i="12" s="1"/>
  <c r="CB2" i="12"/>
  <c r="CB3" i="12" s="1"/>
  <c r="CC2" i="12"/>
  <c r="CC3" i="12" s="1"/>
  <c r="CD2" i="12"/>
  <c r="CD3" i="12" s="1"/>
  <c r="CE2" i="12"/>
  <c r="CE3" i="12" s="1"/>
  <c r="CF2" i="12"/>
  <c r="CF3" i="12" s="1"/>
  <c r="CG2" i="12"/>
  <c r="CG3" i="12" s="1"/>
  <c r="CH2" i="12"/>
  <c r="CH3" i="12" s="1"/>
  <c r="CI2" i="12"/>
  <c r="CI3" i="12" s="1"/>
  <c r="CJ2" i="12"/>
  <c r="CJ3" i="12" s="1"/>
  <c r="CK2" i="12"/>
  <c r="CK3" i="12" s="1"/>
  <c r="CL2" i="12"/>
  <c r="CL3" i="12" s="1"/>
  <c r="CM2" i="12"/>
  <c r="CM3" i="12" s="1"/>
  <c r="CN2" i="12"/>
  <c r="CN3" i="12" s="1"/>
  <c r="CO2" i="12"/>
  <c r="CO3" i="12" s="1"/>
  <c r="CP2" i="12"/>
  <c r="CP3" i="12" s="1"/>
  <c r="CQ2" i="12"/>
  <c r="CQ3" i="12" s="1"/>
  <c r="CR2" i="12"/>
  <c r="CR3" i="12" s="1"/>
  <c r="CS2" i="12"/>
  <c r="CS3" i="12" s="1"/>
  <c r="CT2" i="12"/>
  <c r="CT3" i="12" s="1"/>
  <c r="CU2" i="12"/>
  <c r="CU3" i="12" s="1"/>
  <c r="CV2" i="12"/>
  <c r="CV3" i="12" s="1"/>
  <c r="CW2" i="12"/>
  <c r="CW3" i="12" s="1"/>
  <c r="CX2" i="12"/>
  <c r="CX3" i="12" s="1"/>
  <c r="CY2" i="12"/>
  <c r="CY3" i="12" s="1"/>
  <c r="CZ2" i="12"/>
  <c r="CZ3" i="12" s="1"/>
  <c r="DA2" i="12"/>
  <c r="DA3" i="12" s="1"/>
  <c r="DB2" i="12"/>
  <c r="DB3" i="12" s="1"/>
  <c r="DC2" i="12"/>
  <c r="DC3" i="12" s="1"/>
  <c r="DD2" i="12"/>
  <c r="DD3" i="12" s="1"/>
  <c r="DE2" i="12"/>
  <c r="DE3" i="12" s="1"/>
  <c r="DF2" i="12"/>
  <c r="DF3" i="12" s="1"/>
  <c r="DG2" i="12"/>
  <c r="DG3" i="12" s="1"/>
  <c r="DH2" i="12"/>
  <c r="DH3" i="12" s="1"/>
  <c r="DI2" i="12"/>
  <c r="DI3" i="12" s="1"/>
  <c r="DJ2" i="12"/>
  <c r="DJ3" i="12" s="1"/>
  <c r="DK2" i="12"/>
  <c r="DK3" i="12" s="1"/>
  <c r="DL2" i="12"/>
  <c r="DL3" i="12" s="1"/>
  <c r="DM2" i="12"/>
  <c r="DM3" i="12" s="1"/>
  <c r="DN2" i="12"/>
  <c r="DN3" i="12" s="1"/>
  <c r="DO2" i="12"/>
  <c r="DO3" i="12" s="1"/>
  <c r="DP2" i="12"/>
  <c r="DP3" i="12" s="1"/>
  <c r="DQ2" i="12"/>
  <c r="DQ3" i="12" s="1"/>
  <c r="DR2" i="12"/>
  <c r="DR3" i="12" s="1"/>
  <c r="DS2" i="12"/>
  <c r="DS3" i="12" s="1"/>
  <c r="DT2" i="12"/>
  <c r="DT3" i="12" s="1"/>
  <c r="DU2" i="12"/>
  <c r="DU3" i="12" s="1"/>
  <c r="DV2" i="12"/>
  <c r="DV3" i="12" s="1"/>
  <c r="DW2" i="12"/>
  <c r="DW3" i="12" s="1"/>
  <c r="DX2" i="12"/>
  <c r="DX3" i="12" s="1"/>
  <c r="DY2" i="12"/>
  <c r="DY3" i="12" s="1"/>
  <c r="DZ2" i="12"/>
  <c r="DZ3" i="12" s="1"/>
  <c r="EA2" i="12"/>
  <c r="EA3" i="12" s="1"/>
  <c r="EB2" i="12"/>
  <c r="EB3" i="12" s="1"/>
  <c r="EC2" i="12"/>
  <c r="EC3" i="12" s="1"/>
  <c r="ED2" i="12"/>
  <c r="ED3" i="12" s="1"/>
  <c r="EE2" i="12"/>
  <c r="EE3" i="12" s="1"/>
  <c r="EF2" i="12"/>
  <c r="EF3" i="12" s="1"/>
  <c r="EG2" i="12"/>
  <c r="EG3" i="12" s="1"/>
  <c r="EH2" i="12"/>
  <c r="EH3" i="12" s="1"/>
  <c r="EI2" i="12"/>
  <c r="EI3" i="12" s="1"/>
  <c r="EJ2" i="12"/>
  <c r="EJ3" i="12" s="1"/>
  <c r="EK2" i="12"/>
  <c r="EK3" i="12" s="1"/>
  <c r="EL2" i="12"/>
  <c r="EL3" i="12" s="1"/>
  <c r="EM2" i="12"/>
  <c r="EM3" i="12" s="1"/>
  <c r="EN2" i="12"/>
  <c r="EN3" i="12" s="1"/>
  <c r="EO2" i="12"/>
  <c r="EO3" i="12" s="1"/>
  <c r="EP2" i="12"/>
  <c r="EP3" i="12" s="1"/>
  <c r="EQ2" i="12"/>
  <c r="EQ3" i="12" s="1"/>
  <c r="ER2" i="12"/>
  <c r="ER3" i="12" s="1"/>
  <c r="ES2" i="12"/>
  <c r="ES3" i="12" s="1"/>
  <c r="ET2" i="12"/>
  <c r="ET3" i="12" s="1"/>
  <c r="EU2" i="12"/>
  <c r="EU3" i="12" s="1"/>
  <c r="EV2" i="12"/>
  <c r="EV3" i="12" s="1"/>
  <c r="EW2" i="12"/>
  <c r="EW3" i="12" s="1"/>
  <c r="EX2" i="12"/>
  <c r="EX3" i="12" s="1"/>
  <c r="EY2" i="12"/>
  <c r="EY3" i="12" s="1"/>
  <c r="EZ2" i="12"/>
  <c r="EZ3" i="12" s="1"/>
  <c r="FA2" i="12"/>
  <c r="FA3" i="12" s="1"/>
  <c r="FB2" i="12"/>
  <c r="FB3" i="12" s="1"/>
  <c r="FC2" i="12"/>
  <c r="FC3" i="12" s="1"/>
  <c r="FD2" i="12"/>
  <c r="FD3" i="12" s="1"/>
  <c r="FE2" i="12"/>
  <c r="FE3" i="12" s="1"/>
  <c r="FF2" i="12"/>
  <c r="FF3" i="12" s="1"/>
  <c r="FG2" i="12"/>
  <c r="FG3" i="12" s="1"/>
  <c r="FH2" i="12"/>
  <c r="FH3" i="12" s="1"/>
  <c r="FI2" i="12"/>
  <c r="FI3" i="12" s="1"/>
  <c r="FJ2" i="12"/>
  <c r="FJ3" i="12" s="1"/>
  <c r="FK2" i="12"/>
  <c r="FK3" i="12" s="1"/>
  <c r="FL2" i="12"/>
  <c r="FL3" i="12" s="1"/>
  <c r="FM2" i="12"/>
  <c r="FM3" i="12" s="1"/>
  <c r="FN2" i="12"/>
  <c r="FN3" i="12" s="1"/>
  <c r="FO2" i="12"/>
  <c r="FO3" i="12" s="1"/>
  <c r="FP2" i="12"/>
  <c r="FP3" i="12" s="1"/>
  <c r="FQ2" i="12"/>
  <c r="FQ3" i="12" s="1"/>
  <c r="FR2" i="12"/>
  <c r="FR3" i="12" s="1"/>
  <c r="FS2" i="12"/>
  <c r="FS3" i="12" s="1"/>
  <c r="FT2" i="12"/>
  <c r="FT3" i="12" s="1"/>
  <c r="FU2" i="12"/>
  <c r="FU3" i="12" s="1"/>
  <c r="FV2" i="12"/>
  <c r="FV3" i="12" s="1"/>
  <c r="FW2" i="12"/>
  <c r="FW3" i="12" s="1"/>
  <c r="FX2" i="12"/>
  <c r="FX3" i="12" s="1"/>
  <c r="FY2" i="12"/>
  <c r="FY3" i="12" s="1"/>
  <c r="FZ2" i="12"/>
  <c r="FZ3" i="12" s="1"/>
  <c r="GA2" i="12"/>
  <c r="GA3" i="12" s="1"/>
  <c r="GB2" i="12"/>
  <c r="GB3" i="12" s="1"/>
  <c r="GC2" i="12"/>
  <c r="GC3" i="12" s="1"/>
  <c r="GD2" i="12"/>
  <c r="GD3" i="12" s="1"/>
  <c r="GE2" i="12"/>
  <c r="GE3" i="12" s="1"/>
  <c r="GF2" i="12"/>
  <c r="GF3" i="12" s="1"/>
  <c r="GG2" i="12"/>
  <c r="GG3" i="12" s="1"/>
  <c r="GH2" i="12"/>
  <c r="GH3" i="12" s="1"/>
  <c r="GI2" i="12"/>
  <c r="GI3" i="12" s="1"/>
  <c r="GJ2" i="12"/>
  <c r="GJ3" i="12" s="1"/>
  <c r="GK2" i="12"/>
  <c r="GK3" i="12" s="1"/>
  <c r="GL2" i="12"/>
  <c r="GL3" i="12" s="1"/>
  <c r="GM2" i="12"/>
  <c r="GM3" i="12" s="1"/>
  <c r="GN2" i="12"/>
  <c r="GN3" i="12" s="1"/>
  <c r="GO2" i="12"/>
  <c r="GO3" i="12" s="1"/>
  <c r="GP2" i="12"/>
  <c r="GP3" i="12" s="1"/>
  <c r="GQ2" i="12"/>
  <c r="GQ3" i="12" s="1"/>
  <c r="GR2" i="12"/>
  <c r="GR3" i="12" s="1"/>
  <c r="GS2" i="12"/>
  <c r="GS3" i="12" s="1"/>
  <c r="GT2" i="12"/>
  <c r="GT3" i="12" s="1"/>
  <c r="GU2" i="12"/>
  <c r="GU3" i="12" s="1"/>
  <c r="GV2" i="12"/>
  <c r="GV3" i="12" s="1"/>
  <c r="GW2" i="12"/>
  <c r="GW3" i="12" s="1"/>
  <c r="GX2" i="12"/>
  <c r="GX3" i="12" s="1"/>
  <c r="GY2" i="12"/>
  <c r="GY3" i="12" s="1"/>
  <c r="GZ2" i="12"/>
  <c r="GZ3" i="12" s="1"/>
  <c r="HA2" i="12"/>
  <c r="HA3" i="12" s="1"/>
  <c r="HB2" i="12"/>
  <c r="HB3" i="12" s="1"/>
  <c r="HC2" i="12"/>
  <c r="HC3" i="12" s="1"/>
  <c r="HD2" i="12"/>
  <c r="HD3" i="12" s="1"/>
  <c r="HE2" i="12"/>
  <c r="HE3" i="12" s="1"/>
  <c r="HF2" i="12"/>
  <c r="HF3" i="12" s="1"/>
  <c r="HG2" i="12"/>
  <c r="HG3" i="12" s="1"/>
  <c r="HH2" i="12"/>
  <c r="HH3" i="12" s="1"/>
  <c r="HI2" i="12"/>
  <c r="HI3" i="12" s="1"/>
  <c r="HJ2" i="12"/>
  <c r="HJ3" i="12" s="1"/>
  <c r="HK2" i="12"/>
  <c r="HK3" i="12" s="1"/>
  <c r="HL2" i="12"/>
  <c r="HL3" i="12" s="1"/>
  <c r="HM2" i="12"/>
  <c r="HM3" i="12" s="1"/>
  <c r="HN2" i="12"/>
  <c r="HN3" i="12" s="1"/>
  <c r="HO2" i="12"/>
  <c r="HO3" i="12" s="1"/>
  <c r="HP2" i="12"/>
  <c r="HP3" i="12" s="1"/>
  <c r="HQ2" i="12"/>
  <c r="HQ3" i="12" s="1"/>
  <c r="HR2" i="12"/>
  <c r="HR3" i="12" s="1"/>
  <c r="HS2" i="12"/>
  <c r="HS3" i="12" s="1"/>
  <c r="HT2" i="12"/>
  <c r="HT3" i="12" s="1"/>
  <c r="HU2" i="12"/>
  <c r="HU3" i="12" s="1"/>
  <c r="HV2" i="12"/>
  <c r="HV3" i="12" s="1"/>
  <c r="HW2" i="12"/>
  <c r="HW3" i="12" s="1"/>
  <c r="HX2" i="12"/>
  <c r="HX3" i="12" s="1"/>
  <c r="HY2" i="12"/>
  <c r="HY3" i="12" s="1"/>
  <c r="HZ2" i="12"/>
  <c r="HZ3" i="12" s="1"/>
  <c r="IA2" i="12"/>
  <c r="IA3" i="12" s="1"/>
  <c r="IB2" i="12"/>
  <c r="IB3" i="12" s="1"/>
  <c r="IC2" i="12"/>
  <c r="IC3" i="12" s="1"/>
  <c r="ID2" i="12"/>
  <c r="ID3" i="12" s="1"/>
  <c r="IE2" i="12"/>
  <c r="IE3" i="12" s="1"/>
  <c r="IF2" i="12"/>
  <c r="IF3" i="12" s="1"/>
  <c r="IG2" i="12"/>
  <c r="IG3" i="12" s="1"/>
  <c r="IH2" i="12"/>
  <c r="IH3" i="12" s="1"/>
  <c r="II2" i="12"/>
  <c r="II3" i="12" s="1"/>
  <c r="IJ2" i="12"/>
  <c r="IJ3" i="12" s="1"/>
  <c r="IK2" i="12"/>
  <c r="IK3" i="12" s="1"/>
  <c r="IL2" i="12"/>
  <c r="IL3" i="12" s="1"/>
  <c r="IM2" i="12"/>
  <c r="IM3" i="12" s="1"/>
  <c r="IN2" i="12"/>
  <c r="IN3" i="12" s="1"/>
  <c r="IO2" i="12"/>
  <c r="IO3" i="12" s="1"/>
  <c r="IP2" i="12"/>
  <c r="IP3" i="12" s="1"/>
  <c r="IQ2" i="12"/>
  <c r="IQ3" i="12" s="1"/>
  <c r="IR2" i="12"/>
  <c r="IR3" i="12" s="1"/>
  <c r="IS2" i="12"/>
  <c r="IS3" i="12" s="1"/>
  <c r="IT2" i="12"/>
  <c r="IT3" i="12" s="1"/>
  <c r="IU2" i="12"/>
  <c r="IU3" i="12" s="1"/>
  <c r="IV2" i="12"/>
  <c r="IV3" i="12" s="1"/>
  <c r="IW2" i="12"/>
  <c r="IW3" i="12" s="1"/>
  <c r="IX2" i="12"/>
  <c r="IX3" i="12" s="1"/>
  <c r="IY2" i="12"/>
  <c r="IY3" i="12" s="1"/>
  <c r="IZ2" i="12"/>
  <c r="IZ3" i="12" s="1"/>
  <c r="JA2" i="12"/>
  <c r="JA3" i="12" s="1"/>
  <c r="JB2" i="12"/>
  <c r="JB3" i="12" s="1"/>
  <c r="JC2" i="12"/>
  <c r="JC3" i="12" s="1"/>
  <c r="JD2" i="12"/>
  <c r="JD3" i="12" s="1"/>
  <c r="JE2" i="12"/>
  <c r="JE3" i="12" s="1"/>
  <c r="JF2" i="12"/>
  <c r="JF3" i="12" s="1"/>
  <c r="JG2" i="12"/>
  <c r="JG3" i="12" s="1"/>
  <c r="JH2" i="12"/>
  <c r="JH3" i="12" s="1"/>
  <c r="JI2" i="12"/>
  <c r="JI3" i="12" s="1"/>
  <c r="JJ2" i="12"/>
  <c r="JJ3" i="12" s="1"/>
  <c r="JK2" i="12"/>
  <c r="JK3" i="12" s="1"/>
  <c r="JL2" i="12"/>
  <c r="JL3" i="12" s="1"/>
  <c r="JM2" i="12"/>
  <c r="JM3" i="12" s="1"/>
  <c r="JN2" i="12"/>
  <c r="JN3" i="12" s="1"/>
  <c r="JO2" i="12"/>
  <c r="JO3" i="12" s="1"/>
  <c r="JP2" i="12"/>
  <c r="JP3" i="12" s="1"/>
  <c r="JQ2" i="12"/>
  <c r="JQ3" i="12" s="1"/>
  <c r="JR2" i="12"/>
  <c r="JR3" i="12" s="1"/>
  <c r="JS2" i="12"/>
  <c r="JS3" i="12" s="1"/>
  <c r="JT2" i="12"/>
  <c r="JT3" i="12" s="1"/>
  <c r="JU2" i="12"/>
  <c r="JU3" i="12" s="1"/>
  <c r="JV2" i="12"/>
  <c r="JV3" i="12" s="1"/>
  <c r="JW2" i="12"/>
  <c r="JW3" i="12" s="1"/>
  <c r="JX2" i="12"/>
  <c r="JX3" i="12" s="1"/>
  <c r="JY2" i="12"/>
  <c r="JY3" i="12" s="1"/>
  <c r="JZ2" i="12"/>
  <c r="JZ3" i="12" s="1"/>
  <c r="KA2" i="12"/>
  <c r="KA3" i="12" s="1"/>
  <c r="KB2" i="12"/>
  <c r="KB3" i="12" s="1"/>
  <c r="KC2" i="12"/>
  <c r="KC3" i="12" s="1"/>
  <c r="KD2" i="12"/>
  <c r="KD3" i="12" s="1"/>
  <c r="KE2" i="12"/>
  <c r="KE3" i="12" s="1"/>
  <c r="KF2" i="12"/>
  <c r="KF3" i="12" s="1"/>
  <c r="KG2" i="12"/>
  <c r="KG3" i="12" s="1"/>
  <c r="KH2" i="12"/>
  <c r="KH3" i="12" s="1"/>
  <c r="KI2" i="12"/>
  <c r="KI3" i="12" s="1"/>
  <c r="KJ2" i="12"/>
  <c r="KJ3" i="12" s="1"/>
  <c r="KK2" i="12"/>
  <c r="KK3" i="12" s="1"/>
  <c r="KL2" i="12"/>
  <c r="KL3" i="12" s="1"/>
  <c r="KM2" i="12"/>
  <c r="KM3" i="12" s="1"/>
  <c r="KN2" i="12"/>
  <c r="KN3" i="12" s="1"/>
  <c r="KO2" i="12"/>
  <c r="KO3" i="12" s="1"/>
  <c r="KP2" i="12"/>
  <c r="KP3" i="12" s="1"/>
  <c r="KQ2" i="12"/>
  <c r="KQ3" i="12" s="1"/>
  <c r="KR2" i="12"/>
  <c r="KR3" i="12" s="1"/>
  <c r="KS2" i="12"/>
  <c r="KS3" i="12" s="1"/>
  <c r="KT2" i="12"/>
  <c r="KT3" i="12" s="1"/>
  <c r="KU2" i="12"/>
  <c r="KU3" i="12" s="1"/>
  <c r="KV2" i="12"/>
  <c r="KV3" i="12" s="1"/>
  <c r="KW2" i="12"/>
  <c r="KW3" i="12" s="1"/>
  <c r="KX2" i="12"/>
  <c r="KX3" i="12" s="1"/>
  <c r="KY2" i="12"/>
  <c r="KY3" i="12" s="1"/>
  <c r="KZ2" i="12"/>
  <c r="KZ3" i="12" s="1"/>
  <c r="LA2" i="12"/>
  <c r="LA3" i="12" s="1"/>
  <c r="LB2" i="12"/>
  <c r="LB3" i="12" s="1"/>
  <c r="LC2" i="12"/>
  <c r="LC3" i="12" s="1"/>
  <c r="LD2" i="12"/>
  <c r="LD3" i="12" s="1"/>
  <c r="LE2" i="12"/>
  <c r="LE3" i="12" s="1"/>
  <c r="LF2" i="12"/>
  <c r="LF3" i="12" s="1"/>
  <c r="LG2" i="12"/>
  <c r="LG3" i="12" s="1"/>
  <c r="LH2" i="12"/>
  <c r="LH3" i="12" s="1"/>
  <c r="LI2" i="12"/>
  <c r="LI3" i="12" s="1"/>
  <c r="LJ2" i="12"/>
  <c r="LJ3" i="12" s="1"/>
  <c r="LK2" i="12"/>
  <c r="LK3" i="12" s="1"/>
  <c r="LL2" i="12"/>
  <c r="LL3" i="12" s="1"/>
  <c r="LM2" i="12"/>
  <c r="LM3" i="12" s="1"/>
  <c r="LN2" i="12"/>
  <c r="LN3" i="12" s="1"/>
  <c r="LO2" i="12"/>
  <c r="LO3" i="12" s="1"/>
  <c r="LP2" i="12"/>
  <c r="LP3" i="12" s="1"/>
  <c r="LQ2" i="12"/>
  <c r="LQ3" i="12" s="1"/>
  <c r="LR2" i="12"/>
  <c r="LR3" i="12" s="1"/>
  <c r="LS2" i="12"/>
  <c r="LS3" i="12" s="1"/>
  <c r="LT2" i="12"/>
  <c r="LT3" i="12" s="1"/>
  <c r="LU2" i="12"/>
  <c r="LU3" i="12" s="1"/>
  <c r="LV2" i="12"/>
  <c r="LV3" i="12" s="1"/>
  <c r="LW2" i="12"/>
  <c r="LW3" i="12" s="1"/>
  <c r="LX2" i="12"/>
  <c r="LX3" i="12" s="1"/>
  <c r="LY2" i="12"/>
  <c r="LY3" i="12" s="1"/>
  <c r="LZ2" i="12"/>
  <c r="LZ3" i="12" s="1"/>
  <c r="MA2" i="12"/>
  <c r="MA3" i="12" s="1"/>
  <c r="MB2" i="12"/>
  <c r="MB3" i="12" s="1"/>
  <c r="MC2" i="12"/>
  <c r="MC3" i="12" s="1"/>
  <c r="MD2" i="12"/>
  <c r="MD3" i="12" s="1"/>
  <c r="ME2" i="12"/>
  <c r="ME3" i="12" s="1"/>
  <c r="MF2" i="12"/>
  <c r="MF3" i="12" s="1"/>
  <c r="MG2" i="12"/>
  <c r="MG3" i="12" s="1"/>
  <c r="MH2" i="12"/>
  <c r="MH3" i="12" s="1"/>
  <c r="MI2" i="12"/>
  <c r="MI3" i="12" s="1"/>
  <c r="MJ2" i="12"/>
  <c r="MJ3" i="12" s="1"/>
  <c r="MK2" i="12"/>
  <c r="MK3" i="12" s="1"/>
  <c r="ML2" i="12"/>
  <c r="ML3" i="12" s="1"/>
  <c r="MM2" i="12"/>
  <c r="MM3" i="12" s="1"/>
  <c r="MN2" i="12"/>
  <c r="MN3" i="12" s="1"/>
  <c r="MO2" i="12"/>
  <c r="MO3" i="12" s="1"/>
  <c r="MP2" i="12"/>
  <c r="MP3" i="12" s="1"/>
  <c r="MQ2" i="12"/>
  <c r="MQ3" i="12" s="1"/>
  <c r="MR2" i="12"/>
  <c r="MR3" i="12" s="1"/>
  <c r="MS2" i="12"/>
  <c r="MS3" i="12" s="1"/>
  <c r="MT2" i="12"/>
  <c r="MT3" i="12" s="1"/>
  <c r="MU2" i="12"/>
  <c r="MU3" i="12" s="1"/>
  <c r="MV2" i="12"/>
  <c r="MV3" i="12" s="1"/>
  <c r="MW2" i="12"/>
  <c r="MW3" i="12" s="1"/>
  <c r="MX2" i="12"/>
  <c r="MX3" i="12" s="1"/>
  <c r="MY2" i="12"/>
  <c r="MY3" i="12" s="1"/>
  <c r="MZ2" i="12"/>
  <c r="MZ3" i="12" s="1"/>
  <c r="NA2" i="12"/>
  <c r="NA3" i="12" s="1"/>
  <c r="NB2" i="12"/>
  <c r="NB3" i="12" s="1"/>
  <c r="NC2" i="12"/>
  <c r="NC3" i="12" s="1"/>
  <c r="ND2" i="12"/>
  <c r="ND3" i="12" s="1"/>
  <c r="NE2" i="12"/>
  <c r="NE3" i="12" s="1"/>
  <c r="NF2" i="12"/>
  <c r="NF3" i="12" s="1"/>
  <c r="NG2" i="12"/>
  <c r="NG3" i="12" s="1"/>
  <c r="NH2" i="12"/>
  <c r="NH3" i="12" s="1"/>
  <c r="NI2" i="12"/>
  <c r="NI3" i="12" s="1"/>
  <c r="NJ2" i="12"/>
  <c r="NJ3" i="12" s="1"/>
  <c r="NK2" i="12"/>
  <c r="NK3" i="12" s="1"/>
  <c r="NL2" i="12"/>
  <c r="NL3" i="12" s="1"/>
  <c r="NM2" i="12"/>
  <c r="NM3" i="12" s="1"/>
  <c r="NN2" i="12"/>
  <c r="NN3" i="12" s="1"/>
  <c r="NO2" i="12"/>
  <c r="NO3" i="12" s="1"/>
  <c r="NP2" i="12"/>
  <c r="NP3" i="12" s="1"/>
  <c r="NQ2" i="12"/>
  <c r="NQ3" i="12" s="1"/>
  <c r="NR2" i="12"/>
  <c r="NR3" i="12" s="1"/>
  <c r="NS2" i="12"/>
  <c r="NS3" i="12" s="1"/>
  <c r="NT2" i="12"/>
  <c r="NT3" i="12" s="1"/>
  <c r="NU2" i="12"/>
  <c r="NU3" i="12" s="1"/>
  <c r="NV2" i="12"/>
  <c r="NV3" i="12" s="1"/>
  <c r="NW2" i="12"/>
  <c r="NW3" i="12" s="1"/>
  <c r="NX2" i="12"/>
  <c r="NX3" i="12" s="1"/>
  <c r="NY2" i="12"/>
  <c r="NY3" i="12" s="1"/>
  <c r="NZ2" i="12"/>
  <c r="NZ3" i="12" s="1"/>
  <c r="OA2" i="12"/>
  <c r="OA3" i="12" s="1"/>
  <c r="OB2" i="12"/>
  <c r="OB3" i="12" s="1"/>
  <c r="OC2" i="12"/>
  <c r="OC3" i="12" s="1"/>
  <c r="OD2" i="12"/>
  <c r="OD3" i="12" s="1"/>
  <c r="OE2" i="12"/>
  <c r="OE3" i="12" s="1"/>
  <c r="OF2" i="12"/>
  <c r="OF3" i="12" s="1"/>
  <c r="OG2" i="12"/>
  <c r="OG3" i="12" s="1"/>
  <c r="OH2" i="12"/>
  <c r="OH3" i="12" s="1"/>
  <c r="OI2" i="12"/>
  <c r="OI3" i="12" s="1"/>
  <c r="OJ2" i="12"/>
  <c r="OJ3" i="12" s="1"/>
  <c r="OK2" i="12"/>
  <c r="OK3" i="12" s="1"/>
  <c r="OL2" i="12"/>
  <c r="OL3" i="12" s="1"/>
  <c r="OM2" i="12"/>
  <c r="OM3" i="12" s="1"/>
  <c r="ON2" i="12"/>
  <c r="ON3" i="12" s="1"/>
  <c r="OO2" i="12"/>
  <c r="OO3" i="12" s="1"/>
  <c r="OP2" i="12"/>
  <c r="OP3" i="12" s="1"/>
  <c r="OQ2" i="12"/>
  <c r="OQ3" i="12" s="1"/>
  <c r="OR2" i="12"/>
  <c r="OR3" i="12" s="1"/>
  <c r="OS2" i="12"/>
  <c r="OS3" i="12" s="1"/>
  <c r="OT2" i="12"/>
  <c r="OT3" i="12" s="1"/>
  <c r="OU2" i="12"/>
  <c r="OU3" i="12" s="1"/>
  <c r="OV2" i="12"/>
  <c r="OV3" i="12" s="1"/>
  <c r="OW2" i="12"/>
  <c r="OW3" i="12" s="1"/>
  <c r="OX2" i="12"/>
  <c r="OX3" i="12" s="1"/>
  <c r="OY2" i="12"/>
  <c r="OY3" i="12" s="1"/>
  <c r="OZ2" i="12"/>
  <c r="OZ3" i="12" s="1"/>
  <c r="PA2" i="12"/>
  <c r="PA3" i="12" s="1"/>
  <c r="PB2" i="12"/>
  <c r="PB3" i="12" s="1"/>
  <c r="PC2" i="12"/>
  <c r="PC3" i="12" s="1"/>
  <c r="PD2" i="12"/>
  <c r="PD3" i="12" s="1"/>
  <c r="PE2" i="12"/>
  <c r="PE3" i="12" s="1"/>
  <c r="PF2" i="12"/>
  <c r="PF3" i="12" s="1"/>
  <c r="PG2" i="12"/>
  <c r="PG3" i="12" s="1"/>
  <c r="PH2" i="12"/>
  <c r="PH3" i="12" s="1"/>
  <c r="PI2" i="12"/>
  <c r="PI3" i="12" s="1"/>
  <c r="PJ2" i="12"/>
  <c r="PJ3" i="12" s="1"/>
  <c r="PK2" i="12"/>
  <c r="PK3" i="12" s="1"/>
  <c r="PL2" i="12"/>
  <c r="PL3" i="12" s="1"/>
  <c r="PM2" i="12"/>
  <c r="PM3" i="12" s="1"/>
  <c r="PN2" i="12"/>
  <c r="PN3" i="12" s="1"/>
  <c r="PO2" i="12"/>
  <c r="PO3" i="12" s="1"/>
  <c r="PP2" i="12"/>
  <c r="PP3" i="12" s="1"/>
  <c r="PQ2" i="12"/>
  <c r="PQ3" i="12" s="1"/>
  <c r="PR2" i="12"/>
  <c r="PR3" i="12" s="1"/>
  <c r="PS2" i="12"/>
  <c r="PS3" i="12" s="1"/>
  <c r="PT2" i="12"/>
  <c r="PT3" i="12" s="1"/>
  <c r="PU2" i="12"/>
  <c r="PU3" i="12" s="1"/>
  <c r="PV2" i="12"/>
  <c r="PV3" i="12" s="1"/>
  <c r="PW2" i="12"/>
  <c r="PW3" i="12" s="1"/>
  <c r="PX2" i="12"/>
  <c r="PX3" i="12" s="1"/>
  <c r="PY2" i="12"/>
  <c r="PY3" i="12" s="1"/>
  <c r="PZ2" i="12"/>
  <c r="PZ3" i="12" s="1"/>
  <c r="QA2" i="12"/>
  <c r="QA3" i="12" s="1"/>
  <c r="QB2" i="12"/>
  <c r="QB3" i="12" s="1"/>
  <c r="QC2" i="12"/>
  <c r="QC3" i="12" s="1"/>
  <c r="QD2" i="12"/>
  <c r="QD3" i="12" s="1"/>
  <c r="QE2" i="12"/>
  <c r="QE3" i="12" s="1"/>
  <c r="QF2" i="12"/>
  <c r="QF3" i="12" s="1"/>
  <c r="QG2" i="12"/>
  <c r="QG3" i="12" s="1"/>
  <c r="QH2" i="12"/>
  <c r="QH3" i="12" s="1"/>
  <c r="QI2" i="12"/>
  <c r="QI3" i="12" s="1"/>
  <c r="QJ2" i="12"/>
  <c r="QJ3" i="12" s="1"/>
  <c r="QK2" i="12"/>
  <c r="QK3" i="12" s="1"/>
  <c r="QL2" i="12"/>
  <c r="QL3" i="12" s="1"/>
  <c r="QM2" i="12"/>
  <c r="QM3" i="12" s="1"/>
  <c r="QN2" i="12"/>
  <c r="QN3" i="12" s="1"/>
  <c r="QO2" i="12"/>
  <c r="QO3" i="12" s="1"/>
  <c r="QP2" i="12"/>
  <c r="QP3" i="12" s="1"/>
  <c r="QQ2" i="12"/>
  <c r="QQ3" i="12" s="1"/>
  <c r="QR2" i="12"/>
  <c r="QR3" i="12" s="1"/>
  <c r="QS2" i="12"/>
  <c r="QS3" i="12" s="1"/>
  <c r="QT2" i="12"/>
  <c r="QT3" i="12" s="1"/>
  <c r="QU2" i="12"/>
  <c r="QU3" i="12" s="1"/>
  <c r="QV2" i="12"/>
  <c r="QV3" i="12" s="1"/>
  <c r="QW2" i="12"/>
  <c r="QW3" i="12" s="1"/>
  <c r="QX2" i="12"/>
  <c r="QX3" i="12" s="1"/>
  <c r="QY2" i="12"/>
  <c r="QY3" i="12" s="1"/>
  <c r="QZ2" i="12"/>
  <c r="QZ3" i="12" s="1"/>
  <c r="RA2" i="12"/>
  <c r="RA3" i="12" s="1"/>
  <c r="RB2" i="12"/>
  <c r="RB3" i="12" s="1"/>
  <c r="RC2" i="12"/>
  <c r="RC3" i="12" s="1"/>
  <c r="RD2" i="12"/>
  <c r="RD3" i="12" s="1"/>
  <c r="RE2" i="12"/>
  <c r="RE3" i="12" s="1"/>
  <c r="RF2" i="12"/>
  <c r="RF3" i="12" s="1"/>
  <c r="RG2" i="12"/>
  <c r="RG3" i="12" s="1"/>
  <c r="RH2" i="12"/>
  <c r="RH3" i="12" s="1"/>
  <c r="RI2" i="12"/>
  <c r="RI3" i="12" s="1"/>
  <c r="RJ2" i="12"/>
  <c r="RJ3" i="12" s="1"/>
  <c r="RK2" i="12"/>
  <c r="RK3" i="12" s="1"/>
  <c r="RL2" i="12"/>
  <c r="RL3" i="12" s="1"/>
  <c r="RM2" i="12"/>
  <c r="RM3" i="12" s="1"/>
  <c r="RN2" i="12"/>
  <c r="RN3" i="12" s="1"/>
  <c r="RO2" i="12"/>
  <c r="RO3" i="12" s="1"/>
  <c r="RP2" i="12"/>
  <c r="RP3" i="12" s="1"/>
  <c r="RQ2" i="12"/>
  <c r="RQ3" i="12" s="1"/>
  <c r="RR2" i="12"/>
  <c r="RR3" i="12" s="1"/>
  <c r="RS2" i="12"/>
  <c r="RS3" i="12" s="1"/>
  <c r="RT2" i="12"/>
  <c r="RT3" i="12" s="1"/>
  <c r="RU2" i="12"/>
  <c r="RU3" i="12" s="1"/>
  <c r="RV2" i="12"/>
  <c r="RV3" i="12" s="1"/>
  <c r="RW2" i="12"/>
  <c r="RW3" i="12" s="1"/>
  <c r="RX2" i="12"/>
  <c r="RX3" i="12" s="1"/>
  <c r="RY2" i="12"/>
  <c r="RY3" i="12" s="1"/>
  <c r="RZ2" i="12"/>
  <c r="RZ3" i="12" s="1"/>
  <c r="SA2" i="12"/>
  <c r="SA3" i="12" s="1"/>
  <c r="SB2" i="12"/>
  <c r="SB3" i="12" s="1"/>
  <c r="SC2" i="12"/>
  <c r="SC3" i="12" s="1"/>
  <c r="SD2" i="12"/>
  <c r="SD3" i="12" s="1"/>
  <c r="SE2" i="12"/>
  <c r="SE3" i="12" s="1"/>
  <c r="SF2" i="12"/>
  <c r="SF3" i="12" s="1"/>
  <c r="SG2" i="12"/>
  <c r="SG3" i="12" s="1"/>
  <c r="SH2" i="12"/>
  <c r="SH3" i="12" s="1"/>
  <c r="SI2" i="12"/>
  <c r="SI3" i="12" s="1"/>
  <c r="SJ2" i="12"/>
  <c r="SJ3" i="12" s="1"/>
  <c r="SK2" i="12"/>
  <c r="SK3" i="12" s="1"/>
  <c r="SL2" i="12"/>
  <c r="SL3" i="12" s="1"/>
  <c r="SM2" i="12"/>
  <c r="SM3" i="12" s="1"/>
  <c r="SN2" i="12"/>
  <c r="SN3" i="12" s="1"/>
  <c r="SO2" i="12"/>
  <c r="SO3" i="12" s="1"/>
  <c r="SP2" i="12"/>
  <c r="SP3" i="12" s="1"/>
  <c r="SQ2" i="12"/>
  <c r="SQ3" i="12" s="1"/>
  <c r="SR2" i="12"/>
  <c r="SR3" i="12" s="1"/>
  <c r="SS2" i="12"/>
  <c r="SS3" i="12" s="1"/>
  <c r="ST2" i="12"/>
  <c r="ST3" i="12" s="1"/>
  <c r="SU2" i="12"/>
  <c r="SU3" i="12" s="1"/>
  <c r="SV2" i="12"/>
  <c r="SV3" i="12" s="1"/>
  <c r="SW2" i="12"/>
  <c r="SW3" i="12" s="1"/>
  <c r="SX2" i="12"/>
  <c r="SX3" i="12" s="1"/>
  <c r="SY2" i="12"/>
  <c r="SY3" i="12" s="1"/>
  <c r="SZ2" i="12"/>
  <c r="SZ3" i="12" s="1"/>
  <c r="TA2" i="12"/>
  <c r="TA3" i="12" s="1"/>
  <c r="TB2" i="12"/>
  <c r="TB3" i="12" s="1"/>
  <c r="TC2" i="12"/>
  <c r="TC3" i="12" s="1"/>
  <c r="TD2" i="12"/>
  <c r="TD3" i="12" s="1"/>
  <c r="TE2" i="12"/>
  <c r="TE3" i="12" s="1"/>
  <c r="TF2" i="12"/>
  <c r="TF3" i="12" s="1"/>
  <c r="TG2" i="12"/>
  <c r="TG3" i="12" s="1"/>
  <c r="TH2" i="12"/>
  <c r="TH3" i="12" s="1"/>
  <c r="TI2" i="12"/>
  <c r="TI3" i="12" s="1"/>
  <c r="TJ2" i="12"/>
  <c r="TJ3" i="12" s="1"/>
  <c r="TK2" i="12"/>
  <c r="TK3" i="12" s="1"/>
  <c r="TL2" i="12"/>
  <c r="TL3" i="12" s="1"/>
  <c r="TM2" i="12"/>
  <c r="TM3" i="12" s="1"/>
  <c r="TN2" i="12"/>
  <c r="TN3" i="12" s="1"/>
  <c r="TO2" i="12"/>
  <c r="TO3" i="12" s="1"/>
  <c r="TP2" i="12"/>
  <c r="TP3" i="12" s="1"/>
  <c r="TQ2" i="12"/>
  <c r="TQ3" i="12" s="1"/>
  <c r="TR2" i="12"/>
  <c r="TR3" i="12" s="1"/>
  <c r="TS2" i="12"/>
  <c r="TS3" i="12" s="1"/>
  <c r="TT2" i="12"/>
  <c r="TT3" i="12" s="1"/>
  <c r="TU2" i="12"/>
  <c r="TU3" i="12" s="1"/>
  <c r="TV2" i="12"/>
  <c r="TV3" i="12" s="1"/>
  <c r="TW2" i="12"/>
  <c r="TW3" i="12" s="1"/>
  <c r="TX2" i="12"/>
  <c r="TX3" i="12" s="1"/>
  <c r="TY2" i="12"/>
  <c r="TY3" i="12" s="1"/>
  <c r="TZ2" i="12"/>
  <c r="TZ3" i="12" s="1"/>
  <c r="UA2" i="12"/>
  <c r="UA3" i="12" s="1"/>
  <c r="UB2" i="12"/>
  <c r="UB3" i="12" s="1"/>
  <c r="UC2" i="12"/>
  <c r="UC3" i="12" s="1"/>
  <c r="UD2" i="12"/>
  <c r="UD3" i="12" s="1"/>
  <c r="UE2" i="12"/>
  <c r="UE3" i="12" s="1"/>
  <c r="UF2" i="12"/>
  <c r="UF3" i="12" s="1"/>
  <c r="UG2" i="12"/>
  <c r="UG3" i="12" s="1"/>
  <c r="UH2" i="12"/>
  <c r="UH3" i="12" s="1"/>
  <c r="UI2" i="12"/>
  <c r="UI3" i="12" s="1"/>
  <c r="UJ2" i="12"/>
  <c r="UJ3" i="12" s="1"/>
  <c r="UK2" i="12"/>
  <c r="UK3" i="12" s="1"/>
  <c r="UL2" i="12"/>
  <c r="UL3" i="12" s="1"/>
  <c r="UM2" i="12"/>
  <c r="UM3" i="12" s="1"/>
  <c r="UN2" i="12"/>
  <c r="UN3" i="12" s="1"/>
  <c r="UO2" i="12"/>
  <c r="UO3" i="12" s="1"/>
  <c r="UP2" i="12"/>
  <c r="UP3" i="12" s="1"/>
  <c r="UQ2" i="12"/>
  <c r="UQ3" i="12" s="1"/>
  <c r="UR2" i="12"/>
  <c r="UR3" i="12" s="1"/>
  <c r="US2" i="12"/>
  <c r="US3" i="12" s="1"/>
  <c r="UT2" i="12"/>
  <c r="UT3" i="12" s="1"/>
  <c r="UU2" i="12"/>
  <c r="UU3" i="12" s="1"/>
  <c r="UV2" i="12"/>
  <c r="UV3" i="12" s="1"/>
  <c r="UW2" i="12"/>
  <c r="UW3" i="12" s="1"/>
  <c r="UX2" i="12"/>
  <c r="UX3" i="12" s="1"/>
  <c r="UY2" i="12"/>
  <c r="UY3" i="12" s="1"/>
  <c r="UZ2" i="12"/>
  <c r="UZ3" i="12" s="1"/>
  <c r="VA2" i="12"/>
  <c r="VA3" i="12" s="1"/>
  <c r="VB2" i="12"/>
  <c r="VB3" i="12" s="1"/>
  <c r="VC2" i="12"/>
  <c r="VC3" i="12" s="1"/>
  <c r="VD2" i="12"/>
  <c r="VD3" i="12" s="1"/>
  <c r="VE2" i="12"/>
  <c r="VE3" i="12" s="1"/>
  <c r="VF2" i="12"/>
  <c r="VF3" i="12" s="1"/>
  <c r="VG2" i="12"/>
  <c r="VG3" i="12" s="1"/>
  <c r="VH2" i="12"/>
  <c r="VH3" i="12" s="1"/>
  <c r="VI2" i="12"/>
  <c r="VI3" i="12" s="1"/>
  <c r="VJ2" i="12"/>
  <c r="VJ3" i="12" s="1"/>
  <c r="VK2" i="12"/>
  <c r="VK3" i="12" s="1"/>
  <c r="VL2" i="12"/>
  <c r="VL3" i="12" s="1"/>
  <c r="VM2" i="12"/>
  <c r="VM3" i="12" s="1"/>
  <c r="VN2" i="12"/>
  <c r="VN3" i="12" s="1"/>
  <c r="VO2" i="12"/>
  <c r="VO3" i="12" s="1"/>
  <c r="VP2" i="12"/>
  <c r="VP3" i="12" s="1"/>
  <c r="VQ2" i="12"/>
  <c r="VQ3" i="12" s="1"/>
  <c r="VR2" i="12"/>
  <c r="VR3" i="12" s="1"/>
  <c r="VS2" i="12"/>
  <c r="VS3" i="12" s="1"/>
  <c r="VT2" i="12"/>
  <c r="VT3" i="12" s="1"/>
  <c r="VU2" i="12"/>
  <c r="VU3" i="12" s="1"/>
  <c r="VV2" i="12"/>
  <c r="VV3" i="12" s="1"/>
  <c r="VW2" i="12"/>
  <c r="VW3" i="12" s="1"/>
  <c r="VX2" i="12"/>
  <c r="VX3" i="12" s="1"/>
  <c r="VY2" i="12"/>
  <c r="VY3" i="12" s="1"/>
  <c r="VZ2" i="12"/>
  <c r="VZ3" i="12" s="1"/>
  <c r="WA2" i="12"/>
  <c r="WA3" i="12" s="1"/>
  <c r="WB2" i="12"/>
  <c r="WB3" i="12" s="1"/>
  <c r="WC2" i="12"/>
  <c r="WC3" i="12" s="1"/>
  <c r="WD2" i="12"/>
  <c r="WD3" i="12" s="1"/>
  <c r="WE2" i="12"/>
  <c r="WE3" i="12" s="1"/>
  <c r="WF2" i="12"/>
  <c r="WF3" i="12" s="1"/>
  <c r="WG2" i="12"/>
  <c r="WG3" i="12" s="1"/>
  <c r="WH2" i="12"/>
  <c r="WH3" i="12" s="1"/>
  <c r="WI2" i="12"/>
  <c r="WI3" i="12" s="1"/>
  <c r="WJ2" i="12"/>
  <c r="WJ3" i="12" s="1"/>
  <c r="WK2" i="12"/>
  <c r="WK3" i="12" s="1"/>
  <c r="WL2" i="12"/>
  <c r="WL3" i="12" s="1"/>
  <c r="WM2" i="12"/>
  <c r="WM3" i="12" s="1"/>
  <c r="WN2" i="12"/>
  <c r="WN3" i="12" s="1"/>
  <c r="WO2" i="12"/>
  <c r="WO3" i="12" s="1"/>
  <c r="WP2" i="12"/>
  <c r="WP3" i="12" s="1"/>
  <c r="WQ2" i="12"/>
  <c r="WQ3" i="12" s="1"/>
  <c r="WR2" i="12"/>
  <c r="WR3" i="12" s="1"/>
  <c r="WS2" i="12"/>
  <c r="WS3" i="12" s="1"/>
  <c r="WT2" i="12"/>
  <c r="WT3" i="12" s="1"/>
  <c r="WU2" i="12"/>
  <c r="WU3" i="12" s="1"/>
  <c r="WV2" i="12"/>
  <c r="WV3" i="12" s="1"/>
  <c r="WW2" i="12"/>
  <c r="WW3" i="12" s="1"/>
  <c r="WX2" i="12"/>
  <c r="WX3" i="12" s="1"/>
  <c r="WY2" i="12"/>
  <c r="WY3" i="12" s="1"/>
  <c r="WZ2" i="12"/>
  <c r="WZ3" i="12" s="1"/>
  <c r="XA2" i="12"/>
  <c r="XA3" i="12" s="1"/>
  <c r="XB2" i="12"/>
  <c r="XB3" i="12" s="1"/>
  <c r="XC2" i="12"/>
  <c r="XC3" i="12" s="1"/>
  <c r="XD2" i="12"/>
  <c r="XD3" i="12" s="1"/>
  <c r="XE2" i="12"/>
  <c r="XE3" i="12" s="1"/>
  <c r="XF2" i="12"/>
  <c r="XF3" i="12" s="1"/>
  <c r="XG2" i="12"/>
  <c r="XG3" i="12" s="1"/>
  <c r="XH2" i="12"/>
  <c r="XH3" i="12" s="1"/>
  <c r="XI2" i="12"/>
  <c r="XI3" i="12" s="1"/>
  <c r="XJ2" i="12"/>
  <c r="XJ3" i="12" s="1"/>
  <c r="XK2" i="12"/>
  <c r="XK3" i="12" s="1"/>
  <c r="XL2" i="12"/>
  <c r="XL3" i="12" s="1"/>
  <c r="XM2" i="12"/>
  <c r="XM3" i="12" s="1"/>
  <c r="XN2" i="12"/>
  <c r="XN3" i="12" s="1"/>
  <c r="XO2" i="12"/>
  <c r="XO3" i="12" s="1"/>
  <c r="XP2" i="12"/>
  <c r="XP3" i="12" s="1"/>
  <c r="XQ2" i="12"/>
  <c r="XQ3" i="12" s="1"/>
  <c r="XR2" i="12"/>
  <c r="XR3" i="12" s="1"/>
  <c r="XS2" i="12"/>
  <c r="XS3" i="12" s="1"/>
  <c r="XT2" i="12"/>
  <c r="XT3" i="12" s="1"/>
  <c r="XU2" i="12"/>
  <c r="XU3" i="12" s="1"/>
  <c r="XV2" i="12"/>
  <c r="XV3" i="12" s="1"/>
  <c r="XW2" i="12"/>
  <c r="XW3" i="12" s="1"/>
  <c r="XX2" i="12"/>
  <c r="XX3" i="12" s="1"/>
  <c r="XY2" i="12"/>
  <c r="XY3" i="12" s="1"/>
  <c r="XZ2" i="12"/>
  <c r="XZ3" i="12" s="1"/>
  <c r="YA2" i="12"/>
  <c r="YA3" i="12" s="1"/>
  <c r="YB2" i="12"/>
  <c r="YB3" i="12" s="1"/>
  <c r="YC2" i="12"/>
  <c r="YC3" i="12" s="1"/>
  <c r="YD2" i="12"/>
  <c r="YD3" i="12" s="1"/>
  <c r="YE2" i="12"/>
  <c r="YE3" i="12" s="1"/>
  <c r="YF2" i="12"/>
  <c r="YF3" i="12" s="1"/>
  <c r="YG2" i="12"/>
  <c r="YG3" i="12" s="1"/>
  <c r="YH2" i="12"/>
  <c r="YH3" i="12" s="1"/>
  <c r="YI2" i="12"/>
  <c r="YI3" i="12" s="1"/>
  <c r="YJ2" i="12"/>
  <c r="YJ3" i="12" s="1"/>
  <c r="YK2" i="12"/>
  <c r="YK3" i="12" s="1"/>
  <c r="YL2" i="12"/>
  <c r="YL3" i="12" s="1"/>
  <c r="YM2" i="12"/>
  <c r="YM3" i="12" s="1"/>
  <c r="YN2" i="12"/>
  <c r="YN3" i="12" s="1"/>
  <c r="YO2" i="12"/>
  <c r="YO3" i="12" s="1"/>
  <c r="YP2" i="12"/>
  <c r="YP3" i="12" s="1"/>
  <c r="YQ2" i="12"/>
  <c r="YQ3" i="12" s="1"/>
  <c r="YR2" i="12"/>
  <c r="YR3" i="12" s="1"/>
  <c r="YS2" i="12"/>
  <c r="YS3" i="12" s="1"/>
  <c r="YT2" i="12"/>
  <c r="YT3" i="12" s="1"/>
  <c r="YU2" i="12"/>
  <c r="YU3" i="12" s="1"/>
  <c r="YV2" i="12"/>
  <c r="YV3" i="12" s="1"/>
  <c r="YW2" i="12"/>
  <c r="YW3" i="12" s="1"/>
  <c r="YX2" i="12"/>
  <c r="YX3" i="12" s="1"/>
  <c r="YY2" i="12"/>
  <c r="YY3" i="12" s="1"/>
  <c r="YZ2" i="12"/>
  <c r="YZ3" i="12" s="1"/>
  <c r="ZA2" i="12"/>
  <c r="ZA3" i="12" s="1"/>
  <c r="ZB2" i="12"/>
  <c r="ZB3" i="12" s="1"/>
  <c r="ZC2" i="12"/>
  <c r="ZC3" i="12" s="1"/>
  <c r="ZD2" i="12"/>
  <c r="ZD3" i="12" s="1"/>
  <c r="ZE2" i="12"/>
  <c r="ZE3" i="12" s="1"/>
  <c r="ZF2" i="12"/>
  <c r="ZF3" i="12" s="1"/>
  <c r="ZG2" i="12"/>
  <c r="ZG3" i="12" s="1"/>
  <c r="ZH2" i="12"/>
  <c r="ZH3" i="12" s="1"/>
  <c r="ZI2" i="12"/>
  <c r="ZI3" i="12" s="1"/>
  <c r="ZJ2" i="12"/>
  <c r="ZJ3" i="12" s="1"/>
  <c r="ZK2" i="12"/>
  <c r="ZK3" i="12" s="1"/>
  <c r="ZL2" i="12"/>
  <c r="ZL3" i="12" s="1"/>
  <c r="ZM2" i="12"/>
  <c r="ZM3" i="12" s="1"/>
  <c r="ZN2" i="12"/>
  <c r="ZN3" i="12" s="1"/>
  <c r="ZO2" i="12"/>
  <c r="ZO3" i="12" s="1"/>
  <c r="ZP2" i="12"/>
  <c r="ZP3" i="12" s="1"/>
  <c r="ZQ2" i="12"/>
  <c r="ZQ3" i="12" s="1"/>
  <c r="ZR2" i="12"/>
  <c r="ZR3" i="12" s="1"/>
  <c r="ZS2" i="12"/>
  <c r="ZS3" i="12" s="1"/>
  <c r="ZT2" i="12"/>
  <c r="ZT3" i="12" s="1"/>
  <c r="ZU2" i="12"/>
  <c r="ZU3" i="12" s="1"/>
  <c r="ZV2" i="12"/>
  <c r="ZV3" i="12" s="1"/>
  <c r="ZW2" i="12"/>
  <c r="ZW3" i="12" s="1"/>
  <c r="ZX2" i="12"/>
  <c r="ZX3" i="12" s="1"/>
  <c r="ZY2" i="12"/>
  <c r="ZY3" i="12" s="1"/>
  <c r="ZZ2" i="12"/>
  <c r="ZZ3" i="12" s="1"/>
  <c r="AAA2" i="12"/>
  <c r="AAA3" i="12" s="1"/>
  <c r="AAB2" i="12"/>
  <c r="AAB3" i="12" s="1"/>
  <c r="AAC2" i="12"/>
  <c r="AAC3" i="12" s="1"/>
  <c r="AAD2" i="12"/>
  <c r="AAD3" i="12" s="1"/>
  <c r="AAE2" i="12"/>
  <c r="AAE3" i="12" s="1"/>
  <c r="AAF2" i="12"/>
  <c r="AAF3" i="12" s="1"/>
  <c r="AAG2" i="12"/>
  <c r="AAG3" i="12" s="1"/>
  <c r="AAH2" i="12"/>
  <c r="AAH3" i="12" s="1"/>
  <c r="AAI2" i="12"/>
  <c r="AAI3" i="12" s="1"/>
  <c r="AAJ2" i="12"/>
  <c r="AAJ3" i="12" s="1"/>
  <c r="AAK2" i="12"/>
  <c r="AAK3" i="12" s="1"/>
  <c r="AAL2" i="12"/>
  <c r="AAL3" i="12" s="1"/>
  <c r="AAM2" i="12"/>
  <c r="AAM3" i="12" s="1"/>
  <c r="AAN2" i="12"/>
  <c r="AAN3" i="12" s="1"/>
  <c r="AAO2" i="12"/>
  <c r="AAO3" i="12" s="1"/>
  <c r="AAP2" i="12"/>
  <c r="AAP3" i="12" s="1"/>
  <c r="AAQ2" i="12"/>
  <c r="AAQ3" i="12" s="1"/>
  <c r="AAR2" i="12"/>
  <c r="AAR3" i="12" s="1"/>
  <c r="AAS2" i="12"/>
  <c r="AAS3" i="12" s="1"/>
  <c r="AAT2" i="12"/>
  <c r="AAT3" i="12" s="1"/>
  <c r="AAU2" i="12"/>
  <c r="AAU3" i="12" s="1"/>
  <c r="AAV2" i="12"/>
  <c r="AAV3" i="12" s="1"/>
  <c r="AAW2" i="12"/>
  <c r="AAW3" i="12" s="1"/>
  <c r="AAX2" i="12"/>
  <c r="AAX3" i="12" s="1"/>
  <c r="AAY2" i="12"/>
  <c r="AAY3" i="12" s="1"/>
  <c r="AAZ2" i="12"/>
  <c r="AAZ3" i="12" s="1"/>
  <c r="ABA2" i="12"/>
  <c r="ABA3" i="12" s="1"/>
  <c r="ABB2" i="12"/>
  <c r="ABB3" i="12" s="1"/>
  <c r="ABC2" i="12"/>
  <c r="ABC3" i="12" s="1"/>
  <c r="ABD2" i="12"/>
  <c r="ABD3" i="12" s="1"/>
  <c r="ABE2" i="12"/>
  <c r="ABE3" i="12" s="1"/>
  <c r="ABF2" i="12"/>
  <c r="ABF3" i="12" s="1"/>
  <c r="ABG2" i="12"/>
  <c r="ABG3" i="12" s="1"/>
  <c r="ABH2" i="12"/>
  <c r="ABH3" i="12" s="1"/>
  <c r="ABI2" i="12"/>
  <c r="ABI3" i="12" s="1"/>
  <c r="ABJ2" i="12"/>
  <c r="ABJ3" i="12" s="1"/>
  <c r="ABK2" i="12"/>
  <c r="ABK3" i="12" s="1"/>
  <c r="ABL2" i="12"/>
  <c r="ABL3" i="12" s="1"/>
  <c r="ABM2" i="12"/>
  <c r="ABM3" i="12" s="1"/>
  <c r="ABN2" i="12"/>
  <c r="ABN3" i="12" s="1"/>
  <c r="ABO2" i="12"/>
  <c r="ABO3" i="12" s="1"/>
  <c r="ABP2" i="12"/>
  <c r="ABP3" i="12" s="1"/>
  <c r="ABQ2" i="12"/>
  <c r="ABQ3" i="12" s="1"/>
  <c r="ABR2" i="12"/>
  <c r="ABR3" i="12" s="1"/>
  <c r="ABS2" i="12"/>
  <c r="ABS3" i="12" s="1"/>
  <c r="ABT2" i="12"/>
  <c r="ABT3" i="12" s="1"/>
  <c r="ABU2" i="12"/>
  <c r="ABU3" i="12" s="1"/>
  <c r="ABV2" i="12"/>
  <c r="ABV3" i="12" s="1"/>
  <c r="ABW2" i="12"/>
  <c r="ABW3" i="12" s="1"/>
  <c r="ABX2" i="12"/>
  <c r="ABX3" i="12" s="1"/>
  <c r="ABY2" i="12"/>
  <c r="ABY3" i="12" s="1"/>
  <c r="ABZ2" i="12"/>
  <c r="ABZ3" i="12" s="1"/>
  <c r="ACA2" i="12"/>
  <c r="ACA3" i="12" s="1"/>
  <c r="ACB2" i="12"/>
  <c r="ACB3" i="12" s="1"/>
  <c r="ACC2" i="12"/>
  <c r="ACC3" i="12" s="1"/>
  <c r="ACD2" i="12"/>
  <c r="ACD3" i="12" s="1"/>
  <c r="ACE2" i="12"/>
  <c r="ACE3" i="12" s="1"/>
  <c r="ACF2" i="12"/>
  <c r="ACF3" i="12" s="1"/>
  <c r="ACG2" i="12"/>
  <c r="ACG3" i="12" s="1"/>
  <c r="ACH2" i="12"/>
  <c r="ACH3" i="12" s="1"/>
  <c r="ACI2" i="12"/>
  <c r="ACI3" i="12" s="1"/>
  <c r="ACJ2" i="12"/>
  <c r="ACJ3" i="12" s="1"/>
  <c r="ACK2" i="12"/>
  <c r="ACK3" i="12" s="1"/>
  <c r="ACL2" i="12"/>
  <c r="ACL3" i="12" s="1"/>
  <c r="ACM2" i="12"/>
  <c r="ACM3" i="12" s="1"/>
  <c r="ACN2" i="12"/>
  <c r="ACN3" i="12" s="1"/>
  <c r="ACO2" i="12"/>
  <c r="ACO3" i="12" s="1"/>
  <c r="ACP2" i="12"/>
  <c r="ACP3" i="12" s="1"/>
  <c r="ACQ2" i="12"/>
  <c r="ACQ3" i="12" s="1"/>
  <c r="ACR2" i="12"/>
  <c r="ACR3" i="12" s="1"/>
  <c r="ACS2" i="12"/>
  <c r="ACS3" i="12" s="1"/>
  <c r="ACT2" i="12"/>
  <c r="ACT3" i="12" s="1"/>
  <c r="ACU2" i="12"/>
  <c r="ACU3" i="12" s="1"/>
  <c r="ACV2" i="12"/>
  <c r="ACV3" i="12" s="1"/>
  <c r="ACW2" i="12"/>
  <c r="ACW3" i="12" s="1"/>
  <c r="ACX2" i="12"/>
  <c r="ACX3" i="12" s="1"/>
  <c r="ACY2" i="12"/>
  <c r="ACY3" i="12" s="1"/>
  <c r="ACZ2" i="12"/>
  <c r="ACZ3" i="12" s="1"/>
  <c r="ADA2" i="12"/>
  <c r="ADA3" i="12" s="1"/>
  <c r="ADB2" i="12"/>
  <c r="ADB3" i="12" s="1"/>
  <c r="ADC2" i="12"/>
  <c r="ADC3" i="12" s="1"/>
  <c r="ADD2" i="12"/>
  <c r="ADD3" i="12" s="1"/>
  <c r="ADE2" i="12"/>
  <c r="ADE3" i="12" s="1"/>
  <c r="ADF2" i="12"/>
  <c r="ADF3" i="12" s="1"/>
  <c r="ADG2" i="12"/>
  <c r="ADG3" i="12" s="1"/>
  <c r="ADH2" i="12"/>
  <c r="ADH3" i="12" s="1"/>
  <c r="ADI2" i="12"/>
  <c r="ADI3" i="12" s="1"/>
  <c r="ADJ2" i="12"/>
  <c r="ADJ3" i="12" s="1"/>
  <c r="ADK2" i="12"/>
  <c r="ADK3" i="12" s="1"/>
  <c r="ADL2" i="12"/>
  <c r="ADL3" i="12" s="1"/>
  <c r="ADM2" i="12"/>
  <c r="ADM3" i="12" s="1"/>
  <c r="ADN2" i="12"/>
  <c r="ADN3" i="12" s="1"/>
  <c r="ADO2" i="12"/>
  <c r="ADO3" i="12" s="1"/>
  <c r="ADP2" i="12"/>
  <c r="ADP3" i="12" s="1"/>
  <c r="ADQ2" i="12"/>
  <c r="ADQ3" i="12" s="1"/>
  <c r="ADR2" i="12"/>
  <c r="ADR3" i="12" s="1"/>
  <c r="ADS2" i="12"/>
  <c r="ADS3" i="12" s="1"/>
  <c r="ADT2" i="12"/>
  <c r="ADT3" i="12" s="1"/>
  <c r="ADU2" i="12"/>
  <c r="ADU3" i="12" s="1"/>
  <c r="E2" i="12"/>
  <c r="E3" i="12" s="1"/>
  <c r="ZL208" i="12"/>
  <c r="ZL207" i="12"/>
  <c r="RF164" i="12"/>
  <c r="QE119" i="12"/>
  <c r="QE118" i="12"/>
  <c r="QE117" i="12"/>
  <c r="QE116" i="12"/>
  <c r="QE112" i="12"/>
  <c r="QE111" i="12"/>
  <c r="QE110" i="12"/>
  <c r="QE109" i="12"/>
  <c r="QE108" i="12"/>
  <c r="QE107" i="12"/>
  <c r="QE106" i="12"/>
  <c r="XR210" i="7"/>
  <c r="HF81" i="8"/>
  <c r="XR209" i="7"/>
  <c r="HF76" i="8"/>
  <c r="HF75" i="8"/>
  <c r="HF74" i="8"/>
  <c r="HF71" i="8"/>
  <c r="HF70" i="8"/>
  <c r="HF69" i="8"/>
  <c r="HF68" i="8"/>
  <c r="HF67" i="8"/>
  <c r="HF65" i="8"/>
  <c r="HF64" i="8"/>
  <c r="HF63" i="8"/>
  <c r="HF62" i="8"/>
  <c r="HF61" i="8"/>
  <c r="HF59" i="8"/>
  <c r="HF57" i="8"/>
  <c r="HF53" i="8"/>
  <c r="HF51" i="8"/>
  <c r="HF50" i="8"/>
  <c r="HF49" i="8"/>
  <c r="HF48" i="8"/>
  <c r="HF47" i="8"/>
  <c r="HF46" i="8"/>
  <c r="ES41" i="8"/>
  <c r="RG166" i="7"/>
  <c r="HF18" i="8"/>
  <c r="TM140" i="7"/>
  <c r="HF10" i="8"/>
  <c r="HF9" i="8"/>
  <c r="HF8" i="8"/>
  <c r="HF6" i="8"/>
  <c r="HF5" i="8"/>
  <c r="HF3" i="8"/>
  <c r="HJ82" i="2"/>
  <c r="JW47" i="5"/>
  <c r="JW44" i="5"/>
  <c r="QF118" i="7"/>
  <c r="IY35" i="5"/>
  <c r="IX31" i="5"/>
  <c r="F29" i="5"/>
  <c r="G29" i="5"/>
  <c r="H29" i="5"/>
  <c r="I29" i="5"/>
  <c r="J29" i="5"/>
  <c r="K29" i="5"/>
  <c r="L29" i="5"/>
  <c r="M29" i="5"/>
  <c r="N29" i="5"/>
  <c r="O29" i="5"/>
  <c r="P29" i="5"/>
  <c r="Q29" i="5"/>
  <c r="R29" i="5"/>
  <c r="U29" i="5"/>
  <c r="V29" i="5"/>
  <c r="Y29" i="5"/>
  <c r="Z29" i="5"/>
  <c r="AA29" i="5"/>
  <c r="AB29" i="5"/>
  <c r="AC29" i="5"/>
  <c r="AD29" i="5"/>
  <c r="AE29" i="5"/>
  <c r="AF29" i="5"/>
  <c r="AG29" i="5"/>
  <c r="AH29" i="5"/>
  <c r="AI29" i="5"/>
  <c r="AJ29" i="5"/>
  <c r="AK29" i="5"/>
  <c r="AL29" i="5"/>
  <c r="AM29" i="5"/>
  <c r="AN29" i="5"/>
  <c r="AO29" i="5"/>
  <c r="AP29" i="5"/>
  <c r="AQ29" i="5"/>
  <c r="AR29" i="5"/>
  <c r="AS29" i="5"/>
  <c r="AT29" i="5"/>
  <c r="AU29" i="5"/>
  <c r="AV29" i="5"/>
  <c r="AW29" i="5"/>
  <c r="AX29" i="5"/>
  <c r="AY29" i="5"/>
  <c r="AZ29" i="5"/>
  <c r="BA29" i="5"/>
  <c r="BB29" i="5"/>
  <c r="BC29" i="5"/>
  <c r="BD29" i="5"/>
  <c r="BE29" i="5"/>
  <c r="BF29" i="5"/>
  <c r="BG29" i="5"/>
  <c r="BH29" i="5"/>
  <c r="BI29" i="5"/>
  <c r="BJ29" i="5"/>
  <c r="BK29" i="5"/>
  <c r="BL29" i="5"/>
  <c r="BM29" i="5"/>
  <c r="BN29" i="5"/>
  <c r="BO29" i="5"/>
  <c r="BP29" i="5"/>
  <c r="BQ29" i="5"/>
  <c r="BR29" i="5"/>
  <c r="BS29" i="5"/>
  <c r="BT29" i="5"/>
  <c r="BU29" i="5"/>
  <c r="BV29" i="5"/>
  <c r="BW29" i="5"/>
  <c r="BX29" i="5"/>
  <c r="BY29" i="5"/>
  <c r="BZ29" i="5"/>
  <c r="CA29" i="5"/>
  <c r="CB29" i="5"/>
  <c r="CC29" i="5"/>
  <c r="CD29" i="5"/>
  <c r="CE29" i="5"/>
  <c r="CF29" i="5"/>
  <c r="CG29" i="5"/>
  <c r="CH29" i="5"/>
  <c r="CI29" i="5"/>
  <c r="CJ29" i="5"/>
  <c r="CK29" i="5"/>
  <c r="CL29" i="5"/>
  <c r="CM29" i="5"/>
  <c r="CN29" i="5"/>
  <c r="CO29" i="5"/>
  <c r="CP29" i="5"/>
  <c r="CQ29" i="5"/>
  <c r="CR29" i="5"/>
  <c r="CS29" i="5"/>
  <c r="CT29" i="5"/>
  <c r="CU29" i="5"/>
  <c r="CV29" i="5"/>
  <c r="CW29" i="5"/>
  <c r="CX29" i="5"/>
  <c r="CY29" i="5"/>
  <c r="CZ29" i="5"/>
  <c r="DA29" i="5"/>
  <c r="DB29" i="5"/>
  <c r="DC29" i="5"/>
  <c r="DD29" i="5"/>
  <c r="DE29" i="5"/>
  <c r="DF29" i="5"/>
  <c r="DG29" i="5"/>
  <c r="DH29" i="5"/>
  <c r="DI29" i="5"/>
  <c r="DJ29" i="5"/>
  <c r="DK29" i="5"/>
  <c r="DL29" i="5"/>
  <c r="DM29" i="5"/>
  <c r="DN29" i="5"/>
  <c r="DO29" i="5"/>
  <c r="DP29" i="5"/>
  <c r="DQ29" i="5"/>
  <c r="DR29" i="5"/>
  <c r="DS29" i="5"/>
  <c r="DT29" i="5"/>
  <c r="DU29" i="5"/>
  <c r="DV29" i="5"/>
  <c r="DW29" i="5"/>
  <c r="DX29" i="5"/>
  <c r="DY29" i="5"/>
  <c r="DZ29" i="5"/>
  <c r="EA29" i="5"/>
  <c r="EB29" i="5"/>
  <c r="EC29" i="5"/>
  <c r="ED29" i="5"/>
  <c r="EE29" i="5"/>
  <c r="EF29" i="5"/>
  <c r="EG29" i="5"/>
  <c r="EH29" i="5"/>
  <c r="EI29" i="5"/>
  <c r="EJ29" i="5"/>
  <c r="EK29" i="5"/>
  <c r="EL29" i="5"/>
  <c r="EM29" i="5"/>
  <c r="EN29" i="5"/>
  <c r="EO29" i="5"/>
  <c r="EP29" i="5"/>
  <c r="EQ29" i="5"/>
  <c r="ER29" i="5"/>
  <c r="ES29" i="5"/>
  <c r="ET29" i="5"/>
  <c r="EU29" i="5"/>
  <c r="EV29" i="5"/>
  <c r="EW29" i="5"/>
  <c r="EX29" i="5"/>
  <c r="EY29" i="5"/>
  <c r="EZ29" i="5"/>
  <c r="FA29" i="5"/>
  <c r="FB29" i="5"/>
  <c r="FC29" i="5"/>
  <c r="FD29" i="5"/>
  <c r="FE29" i="5"/>
  <c r="FF29" i="5"/>
  <c r="FG29" i="5"/>
  <c r="FH29" i="5"/>
  <c r="FI29" i="5"/>
  <c r="FJ29" i="5"/>
  <c r="FK29" i="5"/>
  <c r="FL29" i="5"/>
  <c r="FM29" i="5"/>
  <c r="FN29" i="5"/>
  <c r="FO29" i="5"/>
  <c r="FP29" i="5"/>
  <c r="FQ29" i="5"/>
  <c r="FS29" i="5"/>
  <c r="FT29" i="5"/>
  <c r="FU29" i="5"/>
  <c r="FV29" i="5"/>
  <c r="FZ29" i="5"/>
  <c r="GA29" i="5"/>
  <c r="GE29" i="5"/>
  <c r="GF29" i="5"/>
  <c r="GG29" i="5"/>
  <c r="GH29" i="5"/>
  <c r="GI29" i="5"/>
  <c r="GJ29" i="5"/>
  <c r="GK29" i="5"/>
  <c r="GL29" i="5"/>
  <c r="GM29" i="5"/>
  <c r="GN29" i="5"/>
  <c r="GO29" i="5"/>
  <c r="GP29" i="5"/>
  <c r="GQ29" i="5"/>
  <c r="GR29" i="5"/>
  <c r="GS29" i="5"/>
  <c r="GT29" i="5"/>
  <c r="GU29" i="5"/>
  <c r="GV29" i="5"/>
  <c r="GW29" i="5"/>
  <c r="GY29" i="5"/>
  <c r="GZ29" i="5"/>
  <c r="HA29" i="5"/>
  <c r="HB29" i="5"/>
  <c r="HC29" i="5"/>
  <c r="HE29" i="5"/>
  <c r="HF29" i="5"/>
  <c r="HG29" i="5"/>
  <c r="HH29" i="5"/>
  <c r="HI29" i="5"/>
  <c r="HJ29" i="5"/>
  <c r="HK29" i="5"/>
  <c r="HL29" i="5"/>
  <c r="HP29" i="5"/>
  <c r="HQ29" i="5"/>
  <c r="HR29" i="5"/>
  <c r="HS29" i="5"/>
  <c r="HT29" i="5"/>
  <c r="HU29" i="5"/>
  <c r="HV29" i="5"/>
  <c r="HW29" i="5"/>
  <c r="HX29" i="5"/>
  <c r="HY29" i="5"/>
  <c r="HZ29" i="5"/>
  <c r="IA29" i="5"/>
  <c r="IB29" i="5"/>
  <c r="IC29" i="5"/>
  <c r="ID29" i="5"/>
  <c r="IE29" i="5"/>
  <c r="IF29" i="5"/>
  <c r="IG29" i="5"/>
  <c r="IH29" i="5"/>
  <c r="II29" i="5"/>
  <c r="IJ29" i="5"/>
  <c r="IK29" i="5"/>
  <c r="IL29" i="5"/>
  <c r="IM29" i="5"/>
  <c r="IN29" i="5"/>
  <c r="IO29" i="5"/>
  <c r="IP29" i="5"/>
  <c r="IQ29" i="5"/>
  <c r="IR29" i="5"/>
  <c r="IS29" i="5"/>
  <c r="IT29" i="5"/>
  <c r="IU29" i="5"/>
  <c r="IV29" i="5"/>
  <c r="IW29" i="5"/>
  <c r="E29" i="5"/>
  <c r="IX28" i="5"/>
  <c r="QF108" i="7"/>
  <c r="IX26" i="5"/>
  <c r="C147" i="12" a="1"/>
  <c r="C17" i="12" a="1"/>
  <c r="C228" i="12" a="1"/>
  <c r="C231" i="12" a="1"/>
  <c r="C54" i="12" a="1"/>
  <c r="C183" i="12" a="1"/>
  <c r="C184" i="12" a="1"/>
  <c r="C9" i="12" a="1"/>
  <c r="C66" i="12" a="1"/>
  <c r="C242" i="12" a="1"/>
  <c r="C245" i="12" a="1"/>
  <c r="C69" i="12" a="1"/>
  <c r="C75" i="12" a="1"/>
  <c r="C226" i="12" a="1"/>
  <c r="C207" i="12" a="1"/>
  <c r="C216" i="12" a="1"/>
  <c r="C239" i="12" a="1"/>
  <c r="C209" i="12" a="1"/>
  <c r="C101" i="12" a="1"/>
  <c r="C225" i="12" a="1"/>
  <c r="C139" i="12" a="1"/>
  <c r="C15" i="12" a="1"/>
  <c r="C174" i="12" a="1"/>
  <c r="C141" i="12" a="1"/>
  <c r="C195" i="12" a="1"/>
  <c r="C22" i="12" a="1"/>
  <c r="C91" i="12" a="1"/>
  <c r="C200" i="12" a="1"/>
  <c r="C222" i="12" a="1"/>
  <c r="C99" i="12" a="1"/>
  <c r="C219" i="12" a="1"/>
  <c r="C206" i="12" a="1"/>
  <c r="C11" i="12" a="1"/>
  <c r="C143" i="12" a="1"/>
  <c r="C176" i="12" a="1"/>
  <c r="C137" i="12" a="1"/>
  <c r="C79" i="12" a="1"/>
  <c r="C33" i="12" a="1"/>
  <c r="C38" i="12" a="1"/>
  <c r="C90" i="12" a="1"/>
  <c r="C152" i="12" a="1"/>
  <c r="C202" i="12" a="1"/>
  <c r="C204" i="12" a="1"/>
  <c r="C37" i="12" a="1"/>
  <c r="C122" i="12" a="1"/>
  <c r="C26" i="12" a="1"/>
  <c r="C117" i="12" a="1"/>
  <c r="C149" i="12" a="1"/>
  <c r="C92" i="12" a="1"/>
  <c r="C227" i="12" a="1"/>
  <c r="C84" i="12" a="1"/>
  <c r="C80" i="12" a="1"/>
  <c r="C43" i="12" a="1"/>
  <c r="C16" i="12" a="1"/>
  <c r="C30" i="12" a="1"/>
  <c r="C45" i="12" a="1"/>
  <c r="C178" i="12" a="1"/>
  <c r="C194" i="12" a="1"/>
  <c r="C110" i="12" a="1"/>
  <c r="C203" i="12" a="1"/>
  <c r="C162" i="12" a="1"/>
  <c r="C36" i="12" a="1"/>
  <c r="C159" i="12" a="1"/>
  <c r="C175" i="12" a="1"/>
  <c r="C189" i="12" a="1"/>
  <c r="C50" i="12" a="1"/>
  <c r="C192" i="12" a="1"/>
  <c r="C47" i="12" a="1"/>
  <c r="C208" i="12" a="1"/>
  <c r="C105" i="12" a="1"/>
  <c r="C121" i="12" a="1"/>
  <c r="C156" i="12" a="1"/>
  <c r="C115" i="12" a="1"/>
  <c r="C55" i="12" a="1"/>
  <c r="C160" i="12" a="1"/>
  <c r="C29" i="12" a="1"/>
  <c r="C116" i="12" a="1"/>
  <c r="C65" i="12" a="1"/>
  <c r="C188" i="12" a="1"/>
  <c r="C83" i="12" a="1"/>
  <c r="C233" i="12" a="1"/>
  <c r="C199" i="12" a="1"/>
  <c r="C118" i="12" a="1"/>
  <c r="C57" i="12" a="1"/>
  <c r="C21" i="12" a="1"/>
  <c r="C95" i="12" a="1"/>
  <c r="C201" i="12" a="1"/>
  <c r="C166" i="12" a="1"/>
  <c r="C82" i="12" a="1"/>
  <c r="C168" i="12" a="1"/>
  <c r="C236" i="12" a="1"/>
  <c r="C144" i="12" a="1"/>
  <c r="C172" i="12" a="1"/>
  <c r="C230" i="12" a="1"/>
  <c r="C220" i="12" a="1"/>
  <c r="C25" i="12" a="1"/>
  <c r="C113" i="12" a="1"/>
  <c r="C8" i="12" a="1"/>
  <c r="C128" i="12" a="1"/>
  <c r="C182" i="12" a="1"/>
  <c r="C31" i="12" a="1"/>
  <c r="C68" i="12" a="1"/>
  <c r="C100" i="12" a="1"/>
  <c r="C7" i="12" a="1"/>
  <c r="C210" i="12" a="1"/>
  <c r="C39" i="12" a="1"/>
  <c r="C138" i="12" a="1"/>
  <c r="C52" i="12" a="1"/>
  <c r="C120" i="12" a="1"/>
  <c r="C76" i="12" a="1"/>
  <c r="C53" i="12" a="1"/>
  <c r="C35" i="12" a="1"/>
  <c r="C93" i="12" a="1"/>
  <c r="C87" i="12" a="1"/>
  <c r="C181" i="12" a="1"/>
  <c r="C133" i="12" a="1"/>
  <c r="C127" i="12" a="1"/>
  <c r="C212" i="12" a="1"/>
  <c r="C185" i="12" a="1"/>
  <c r="C89" i="12" a="1"/>
  <c r="C71" i="12" a="1"/>
  <c r="C18" i="12" a="1"/>
  <c r="C229" i="12" a="1"/>
  <c r="C23" i="12" a="1"/>
  <c r="C12" i="12" a="1"/>
  <c r="C244" i="12" a="1"/>
  <c r="C173" i="12" a="1"/>
  <c r="C86" i="12" a="1"/>
  <c r="C150" i="12" a="1"/>
  <c r="C155" i="12" a="1"/>
  <c r="C104" i="12" a="1"/>
  <c r="C135" i="12" a="1"/>
  <c r="C77" i="12" a="1"/>
  <c r="C63" i="12" a="1"/>
  <c r="C48" i="12" a="1"/>
  <c r="C62" i="12" a="1"/>
  <c r="C161" i="12" a="1"/>
  <c r="C247" i="12" a="1"/>
  <c r="C169" i="12" a="1"/>
  <c r="C224" i="12" a="1"/>
  <c r="C196" i="12" a="1"/>
  <c r="C10" i="12" a="1"/>
  <c r="C214" i="12" a="1"/>
  <c r="C157" i="12" a="1"/>
  <c r="C126" i="12" a="1"/>
  <c r="C170" i="12" a="1"/>
  <c r="C112" i="12" a="1"/>
  <c r="C237" i="12" a="1"/>
  <c r="C132" i="12" a="1"/>
  <c r="C248" i="12" a="1"/>
  <c r="C180" i="12" a="1"/>
  <c r="C217" i="12" a="1"/>
  <c r="C19" i="12" a="1"/>
  <c r="C211" i="12" a="1"/>
  <c r="C27" i="12" a="1"/>
  <c r="C190" i="12" a="1"/>
  <c r="C98" i="12" a="1"/>
  <c r="C153" i="12" a="1"/>
  <c r="C234" i="12" a="1"/>
  <c r="C238" i="12" a="1"/>
  <c r="C106" i="12" a="1"/>
  <c r="C124" i="12" a="1"/>
  <c r="C213" i="12" a="1"/>
  <c r="C129" i="12" a="1"/>
  <c r="C186" i="12" a="1"/>
  <c r="C34" i="12" a="1"/>
  <c r="C40" i="12" a="1"/>
  <c r="C164" i="12" a="1"/>
  <c r="C145" i="12" a="1"/>
  <c r="C111" i="12" a="1"/>
  <c r="C171" i="12" a="1"/>
  <c r="C125" i="12" a="1"/>
  <c r="C13" i="12" a="1"/>
  <c r="C94" i="12" a="1"/>
  <c r="C14" i="12" a="1"/>
  <c r="C241" i="12" a="1"/>
  <c r="C70" i="12" a="1"/>
  <c r="C88" i="12" a="1"/>
  <c r="C221" i="12" a="1"/>
  <c r="C134" i="12" a="1"/>
  <c r="C20" i="12" a="1"/>
  <c r="C198" i="12" a="1"/>
  <c r="C5" i="12" a="1"/>
  <c r="C165" i="12" a="1"/>
  <c r="C74" i="12" a="1"/>
  <c r="C81" i="12" a="1"/>
  <c r="C119" i="12" a="1"/>
  <c r="C73" i="12" a="1"/>
  <c r="C240" i="12" a="1"/>
  <c r="C243" i="12" a="1"/>
  <c r="C42" i="12" a="1"/>
  <c r="C205" i="12" a="1"/>
  <c r="C102" i="12" a="1"/>
  <c r="C96" i="12" a="1"/>
  <c r="C114" i="12" a="1"/>
  <c r="C107" i="12" a="1"/>
  <c r="C193" i="12" a="1"/>
  <c r="C179" i="12" a="1"/>
  <c r="C109" i="12" a="1"/>
  <c r="C85" i="12" a="1"/>
  <c r="C142" i="12" a="1"/>
  <c r="C56" i="12" a="1"/>
  <c r="C60" i="12" a="1"/>
  <c r="C136" i="12" a="1"/>
  <c r="C41" i="12" a="1"/>
  <c r="C32" i="12" a="1"/>
  <c r="C167" i="12" a="1"/>
  <c r="C223" i="12" a="1"/>
  <c r="C44" i="12" a="1"/>
  <c r="C67" i="12" a="1"/>
  <c r="C215" i="12" a="1"/>
  <c r="C59" i="12" a="1"/>
  <c r="C235" i="12" a="1"/>
  <c r="C146" i="12" a="1"/>
  <c r="C123" i="12" a="1"/>
  <c r="C103" i="12" a="1"/>
  <c r="C64" i="12" a="1"/>
  <c r="C130" i="12" a="1"/>
  <c r="C24" i="12" a="1"/>
  <c r="C177" i="12" a="1"/>
  <c r="C108" i="12" a="1"/>
  <c r="C249" i="12" a="1"/>
  <c r="C197" i="12" a="1"/>
  <c r="C191" i="12" a="1"/>
  <c r="C61" i="12" a="1"/>
  <c r="C28" i="12" a="1"/>
  <c r="C78" i="12" a="1"/>
  <c r="C4" i="12" a="1"/>
  <c r="C163" i="12" a="1"/>
  <c r="C6" i="12" a="1"/>
  <c r="C187" i="12" a="1"/>
  <c r="C97" i="12" a="1"/>
  <c r="C151" i="12" a="1"/>
  <c r="C46" i="12" a="1"/>
  <c r="C154" i="12" a="1"/>
  <c r="C158" i="12" a="1"/>
  <c r="C218" i="12" a="1"/>
  <c r="C232" i="12" a="1"/>
  <c r="C58" i="12" a="1"/>
  <c r="C140" i="12" a="1"/>
  <c r="C72" i="12" a="1"/>
  <c r="C49" i="12" a="1"/>
  <c r="C51" i="12" a="1"/>
  <c r="C131" i="12" a="1"/>
  <c r="C246" i="12" a="1"/>
  <c r="C148" i="12" a="1"/>
  <c r="G38" i="3" a="1"/>
  <c r="G41" i="3" a="1"/>
  <c r="G23" i="3" a="1"/>
  <c r="G36" i="3" a="1"/>
  <c r="G28" i="3" a="1"/>
  <c r="G50" i="3" a="1"/>
  <c r="C223" i="16" a="1"/>
  <c r="C162" i="16" a="1"/>
  <c r="C93" i="16" a="1"/>
  <c r="C29" i="16" a="1"/>
  <c r="C214" i="16" a="1"/>
  <c r="C145" i="16" a="1"/>
  <c r="C84" i="16" a="1"/>
  <c r="C20" i="16" a="1"/>
  <c r="C245" i="16" a="1"/>
  <c r="C183" i="16" a="1"/>
  <c r="C120" i="16" a="1"/>
  <c r="C51" i="16" a="1"/>
  <c r="C187" i="16" a="1"/>
  <c r="C47" i="16" a="1"/>
  <c r="C147" i="16" a="1"/>
  <c r="C220" i="16" a="1"/>
  <c r="C159" i="16" a="1"/>
  <c r="C98" i="16" a="1"/>
  <c r="C34" i="16" a="1"/>
  <c r="C197" i="16" a="1"/>
  <c r="C134" i="16" a="1"/>
  <c r="C73" i="16" a="1"/>
  <c r="C9" i="16" a="1"/>
  <c r="C233" i="16" a="1"/>
  <c r="C38" i="16" a="1"/>
  <c r="C226" i="16" a="1"/>
  <c r="C157" i="16" a="1"/>
  <c r="C96" i="16" a="1"/>
  <c r="C32" i="16" a="1"/>
  <c r="C7" i="16" a="1"/>
  <c r="C14" i="16" a="1"/>
  <c r="C225" i="16" a="1"/>
  <c r="C72" i="16" a="1"/>
  <c r="C185" i="16" a="1"/>
  <c r="C107" i="16" a="1"/>
  <c r="C75" i="16" a="1"/>
  <c r="C30" i="16" a="1"/>
  <c r="C86" i="16" a="1"/>
  <c r="C33" i="16" a="1"/>
  <c r="C188" i="16" a="1"/>
  <c r="G10" i="3" a="1"/>
  <c r="G22" i="3" a="1"/>
  <c r="C117" i="16" a="1"/>
  <c r="C161" i="16" a="1"/>
  <c r="C36" i="16" a="1"/>
  <c r="C136" i="16" a="1"/>
  <c r="C203" i="16" a="1"/>
  <c r="C178" i="16" a="1"/>
  <c r="C236" i="16" a="1"/>
  <c r="C50" i="16" a="1"/>
  <c r="C22" i="16" a="1"/>
  <c r="C150" i="16" a="1"/>
  <c r="C25" i="16" a="1"/>
  <c r="C242" i="16" a="1"/>
  <c r="C48" i="16" a="1"/>
  <c r="G26" i="3" a="1"/>
  <c r="G51" i="3" a="1"/>
  <c r="G34" i="3" a="1"/>
  <c r="C169" i="16" a="1"/>
  <c r="C37" i="16" a="1"/>
  <c r="C222" i="16" a="1"/>
  <c r="C28" i="16" a="1"/>
  <c r="C191" i="16" a="1"/>
  <c r="C195" i="16" a="1"/>
  <c r="C163" i="16" a="1"/>
  <c r="C166" i="16" a="1"/>
  <c r="C142" i="16" a="1"/>
  <c r="C17" i="16" a="1"/>
  <c r="C172" i="16" a="1"/>
  <c r="C46" i="16" a="1"/>
  <c r="G9" i="3" a="1"/>
  <c r="G45" i="3" a="1"/>
  <c r="G27" i="3" a="1"/>
  <c r="G18" i="3" a="1"/>
  <c r="G32" i="3" a="1"/>
  <c r="G7" i="3" a="1"/>
  <c r="C215" i="16" a="1"/>
  <c r="C154" i="16" a="1"/>
  <c r="C85" i="16" a="1"/>
  <c r="C21" i="16" a="1"/>
  <c r="C200" i="16" a="1"/>
  <c r="C137" i="16" a="1"/>
  <c r="C76" i="16" a="1"/>
  <c r="C12" i="16" a="1"/>
  <c r="C164" i="16" a="1"/>
  <c r="C237" i="16" a="1"/>
  <c r="C175" i="16" a="1"/>
  <c r="C116" i="16" a="1"/>
  <c r="C43" i="16" a="1"/>
  <c r="C179" i="16" a="1"/>
  <c r="C23" i="16" a="1"/>
  <c r="C123" i="16" a="1"/>
  <c r="C212" i="16" a="1"/>
  <c r="C151" i="16" a="1"/>
  <c r="C90" i="16" a="1"/>
  <c r="C26" i="16" a="1"/>
  <c r="C189" i="16" a="1"/>
  <c r="C126" i="16" a="1"/>
  <c r="C65" i="16" a="1"/>
  <c r="C118" i="16" a="1"/>
  <c r="C218" i="16" a="1"/>
  <c r="C149" i="16" a="1"/>
  <c r="C88" i="16" a="1"/>
  <c r="C24" i="16" a="1"/>
  <c r="C224" i="16" a="1"/>
  <c r="G14" i="3" a="1"/>
  <c r="C69" i="16" a="1"/>
  <c r="C124" i="16" a="1"/>
  <c r="C184" i="16" a="1"/>
  <c r="C60" i="16" a="1"/>
  <c r="C221" i="16" a="1"/>
  <c r="C91" i="16" a="1"/>
  <c r="C156" i="16" a="1"/>
  <c r="C216" i="16" a="1"/>
  <c r="C198" i="16" a="1"/>
  <c r="C74" i="16" a="1"/>
  <c r="C235" i="16" a="1"/>
  <c r="C114" i="16" a="1"/>
  <c r="C49" i="16" a="1"/>
  <c r="C55" i="16" a="1"/>
  <c r="C133" i="16" a="1"/>
  <c r="C241" i="16" a="1"/>
  <c r="G13" i="3" a="1"/>
  <c r="G11" i="3" a="1"/>
  <c r="G43" i="3" a="1"/>
  <c r="G12" i="3" a="1"/>
  <c r="C247" i="16" a="1"/>
  <c r="C53" i="16" a="1"/>
  <c r="C238" i="16" a="1"/>
  <c r="C44" i="16" a="1"/>
  <c r="C144" i="16" a="1"/>
  <c r="C209" i="16" a="1"/>
  <c r="C186" i="16" a="1"/>
  <c r="C182" i="16" a="1"/>
  <c r="C58" i="16" a="1"/>
  <c r="C219" i="16" a="1"/>
  <c r="C97" i="16" a="1"/>
  <c r="C139" i="16" a="1"/>
  <c r="C56" i="16" a="1"/>
  <c r="C108" i="16" a="1"/>
  <c r="G33" i="3" a="1"/>
  <c r="G47" i="3" a="1"/>
  <c r="G20" i="3" a="1"/>
  <c r="C239" i="16" a="1"/>
  <c r="C177" i="16" a="1"/>
  <c r="C45" i="16" a="1"/>
  <c r="C230" i="16" a="1"/>
  <c r="C100" i="16" a="1"/>
  <c r="C199" i="16" a="1"/>
  <c r="C67" i="16" a="1"/>
  <c r="C95" i="16" a="1"/>
  <c r="C6" i="16" a="1"/>
  <c r="C174" i="16" a="1"/>
  <c r="C110" i="16" a="1"/>
  <c r="C211" i="16" a="1"/>
  <c r="C89" i="16" a="1"/>
  <c r="C102" i="16" a="1"/>
  <c r="C180" i="16" a="1"/>
  <c r="C109" i="16" a="1"/>
  <c r="C71" i="16" a="1"/>
  <c r="C78" i="16" a="1"/>
  <c r="G37" i="3" a="1"/>
  <c r="G19" i="3" a="1"/>
  <c r="G24" i="3" a="1"/>
  <c r="C231" i="16" a="1"/>
  <c r="C101" i="16" a="1"/>
  <c r="C153" i="16" a="1"/>
  <c r="C92" i="16" a="1"/>
  <c r="C128" i="16" a="1"/>
  <c r="C59" i="16" a="1"/>
  <c r="C79" i="16" a="1"/>
  <c r="C228" i="16" a="1"/>
  <c r="C106" i="16" a="1"/>
  <c r="C205" i="16" a="1"/>
  <c r="C81" i="16" a="1"/>
  <c r="C70" i="16" a="1"/>
  <c r="C104" i="16" a="1"/>
  <c r="G17" i="3" a="1"/>
  <c r="G49" i="3" a="1"/>
  <c r="G31" i="3" a="1"/>
  <c r="G30" i="3" a="1"/>
  <c r="G40" i="3" a="1"/>
  <c r="G16" i="3" a="1"/>
  <c r="C208" i="16" a="1"/>
  <c r="C146" i="16" a="1"/>
  <c r="C77" i="16" a="1"/>
  <c r="C13" i="16" a="1"/>
  <c r="C192" i="16" a="1"/>
  <c r="C129" i="16" a="1"/>
  <c r="C68" i="16" a="1"/>
  <c r="C4" i="16" a="1"/>
  <c r="C202" i="16" a="1"/>
  <c r="C229" i="16" a="1"/>
  <c r="C167" i="16" a="1"/>
  <c r="C99" i="16" a="1"/>
  <c r="C35" i="16" a="1"/>
  <c r="C171" i="16" a="1"/>
  <c r="C112" i="16" a="1"/>
  <c r="C206" i="16" a="1"/>
  <c r="C143" i="16" a="1"/>
  <c r="C82" i="16" a="1"/>
  <c r="C18" i="16" a="1"/>
  <c r="C243" i="16" a="1"/>
  <c r="C181" i="16" a="1"/>
  <c r="C119" i="16" a="1"/>
  <c r="C57" i="16" a="1"/>
  <c r="C87" i="16" a="1"/>
  <c r="C210" i="16" a="1"/>
  <c r="C141" i="16" a="1"/>
  <c r="C80" i="16" a="1"/>
  <c r="C16" i="16" a="1"/>
  <c r="C170" i="16" a="1"/>
  <c r="G21" i="3" a="1"/>
  <c r="G35" i="3" a="1"/>
  <c r="G46" i="3" a="1"/>
  <c r="G44" i="3" a="1"/>
  <c r="C249" i="16" a="1"/>
  <c r="C201" i="16" a="1"/>
  <c r="C138" i="16" a="1"/>
  <c r="C5" i="16" a="1"/>
  <c r="C121" i="16" a="1"/>
  <c r="C160" i="16" a="1"/>
  <c r="C27" i="16" a="1"/>
  <c r="C94" i="16" a="1"/>
  <c r="C135" i="16" a="1"/>
  <c r="C10" i="16" a="1"/>
  <c r="C173" i="16" a="1"/>
  <c r="C204" i="16" a="1"/>
  <c r="C8" i="16" a="1"/>
  <c r="C155" i="16" a="1"/>
  <c r="G25" i="3" a="1"/>
  <c r="G42" i="3" a="1"/>
  <c r="G39" i="3" a="1"/>
  <c r="G8" i="3" a="1"/>
  <c r="G48" i="3" a="1"/>
  <c r="C248" i="16" a="1"/>
  <c r="C193" i="16" a="1"/>
  <c r="C130" i="16" a="1"/>
  <c r="C61" i="16" a="1"/>
  <c r="C246" i="16" a="1"/>
  <c r="C176" i="16" a="1"/>
  <c r="C111" i="16" a="1"/>
  <c r="C52" i="16" a="1"/>
  <c r="C213" i="16" a="1"/>
  <c r="C152" i="16" a="1"/>
  <c r="C83" i="16" a="1"/>
  <c r="C19" i="16" a="1"/>
  <c r="C217" i="16" a="1"/>
  <c r="C140" i="16" a="1"/>
  <c r="C194" i="16" a="1"/>
  <c r="C62" i="16" a="1"/>
  <c r="C190" i="16" a="1"/>
  <c r="C127" i="16" a="1"/>
  <c r="C66" i="16" a="1"/>
  <c r="C63" i="16" a="1"/>
  <c r="C240" i="16" a="1"/>
  <c r="C227" i="16" a="1"/>
  <c r="C165" i="16" a="1"/>
  <c r="C105" i="16" a="1"/>
  <c r="C41" i="16" a="1"/>
  <c r="C31" i="16" a="1"/>
  <c r="C232" i="16" a="1"/>
  <c r="C196" i="16" a="1"/>
  <c r="C125" i="16" a="1"/>
  <c r="C64" i="16" a="1"/>
  <c r="C148" i="16" a="1"/>
  <c r="C131" i="16" a="1"/>
  <c r="G29" i="3" a="1"/>
  <c r="G52" i="3" a="1"/>
  <c r="C122" i="16" a="1"/>
  <c r="C54" i="16" a="1"/>
  <c r="C168" i="16" a="1"/>
  <c r="C207" i="16" a="1"/>
  <c r="C11" i="16" a="1"/>
  <c r="C132" i="16" a="1"/>
  <c r="C244" i="16" a="1"/>
  <c r="C115" i="16" a="1"/>
  <c r="C15" i="16" a="1"/>
  <c r="C158" i="16" a="1"/>
  <c r="C113" i="16" a="1"/>
  <c r="C103" i="16" a="1"/>
  <c r="G15" i="3" a="1"/>
  <c r="C42" i="16" a="1"/>
  <c r="C234" i="16" a="1"/>
  <c r="C40" i="16" a="1"/>
  <c r="C39" i="16" a="1"/>
  <c r="C14" i="16" l="1"/>
  <c r="C46" i="16"/>
  <c r="C78" i="16"/>
  <c r="C108" i="16"/>
  <c r="C131" i="16"/>
  <c r="C155" i="16"/>
  <c r="C170" i="16"/>
  <c r="C224" i="16"/>
  <c r="C7" i="16"/>
  <c r="C39" i="16"/>
  <c r="C71" i="16"/>
  <c r="C103" i="16"/>
  <c r="C148" i="16"/>
  <c r="C241" i="16"/>
  <c r="C8" i="16"/>
  <c r="C16" i="16"/>
  <c r="C24" i="16"/>
  <c r="C32" i="16"/>
  <c r="C40" i="16"/>
  <c r="C48" i="16"/>
  <c r="C56" i="16"/>
  <c r="C64" i="16"/>
  <c r="C72" i="16"/>
  <c r="C80" i="16"/>
  <c r="C88" i="16"/>
  <c r="C96" i="16"/>
  <c r="C104" i="16"/>
  <c r="C109" i="16"/>
  <c r="C113" i="16"/>
  <c r="C125" i="16"/>
  <c r="C133" i="16"/>
  <c r="C141" i="16"/>
  <c r="C149" i="16"/>
  <c r="C157" i="16"/>
  <c r="C172" i="16"/>
  <c r="C180" i="16"/>
  <c r="C188" i="16"/>
  <c r="C196" i="16"/>
  <c r="C204" i="16"/>
  <c r="C210" i="16"/>
  <c r="C218" i="16"/>
  <c r="C226" i="16"/>
  <c r="C234" i="16"/>
  <c r="C242" i="16"/>
  <c r="C38" i="16"/>
  <c r="C70" i="16"/>
  <c r="C102" i="16"/>
  <c r="C139" i="16"/>
  <c r="C232" i="16"/>
  <c r="C31" i="16"/>
  <c r="C55" i="16"/>
  <c r="C87" i="16"/>
  <c r="C118" i="16"/>
  <c r="C233" i="16"/>
  <c r="C9" i="16"/>
  <c r="C17" i="16"/>
  <c r="C25" i="16"/>
  <c r="C33" i="16"/>
  <c r="C41" i="16"/>
  <c r="C49" i="16"/>
  <c r="C57" i="16"/>
  <c r="C65" i="16"/>
  <c r="C73" i="16"/>
  <c r="C81" i="16"/>
  <c r="C89" i="16"/>
  <c r="C97" i="16"/>
  <c r="C105" i="16"/>
  <c r="C114" i="16"/>
  <c r="C119" i="16"/>
  <c r="C126" i="16"/>
  <c r="C134" i="16"/>
  <c r="C142" i="16"/>
  <c r="C150" i="16"/>
  <c r="C158" i="16"/>
  <c r="C165" i="16"/>
  <c r="C173" i="16"/>
  <c r="C181" i="16"/>
  <c r="C189" i="16"/>
  <c r="C197" i="16"/>
  <c r="C205" i="16"/>
  <c r="C211" i="16"/>
  <c r="C219" i="16"/>
  <c r="C227" i="16"/>
  <c r="C235" i="16"/>
  <c r="C243" i="16"/>
  <c r="C22" i="16"/>
  <c r="C86" i="16"/>
  <c r="C240" i="16"/>
  <c r="C15" i="16"/>
  <c r="C63" i="16"/>
  <c r="C225" i="16"/>
  <c r="C10" i="16"/>
  <c r="C18" i="16"/>
  <c r="C26" i="16"/>
  <c r="C34" i="16"/>
  <c r="C42" i="16"/>
  <c r="C50" i="16"/>
  <c r="C58" i="16"/>
  <c r="C66" i="16"/>
  <c r="C74" i="16"/>
  <c r="C82" i="16"/>
  <c r="C90" i="16"/>
  <c r="C98" i="16"/>
  <c r="C106" i="16"/>
  <c r="C110" i="16"/>
  <c r="C115" i="16"/>
  <c r="C127" i="16"/>
  <c r="C135" i="16"/>
  <c r="C143" i="16"/>
  <c r="C151" i="16"/>
  <c r="C159" i="16"/>
  <c r="C166" i="16"/>
  <c r="C174" i="16"/>
  <c r="C182" i="16"/>
  <c r="C190" i="16"/>
  <c r="C198" i="16"/>
  <c r="C206" i="16"/>
  <c r="C212" i="16"/>
  <c r="C220" i="16"/>
  <c r="C228" i="16"/>
  <c r="C236" i="16"/>
  <c r="C244" i="16"/>
  <c r="C6" i="16"/>
  <c r="C30" i="16"/>
  <c r="C62" i="16"/>
  <c r="C94" i="16"/>
  <c r="C112" i="16"/>
  <c r="C123" i="16"/>
  <c r="C147" i="16"/>
  <c r="C163" i="16"/>
  <c r="C178" i="16"/>
  <c r="C186" i="16"/>
  <c r="C194" i="16"/>
  <c r="C216" i="16"/>
  <c r="C23" i="16"/>
  <c r="C47" i="16"/>
  <c r="C79" i="16"/>
  <c r="C95" i="16"/>
  <c r="C132" i="16"/>
  <c r="C140" i="16"/>
  <c r="C156" i="16"/>
  <c r="C171" i="16"/>
  <c r="C179" i="16"/>
  <c r="C187" i="16"/>
  <c r="C195" i="16"/>
  <c r="C203" i="16"/>
  <c r="C209" i="16"/>
  <c r="C217" i="16"/>
  <c r="C11" i="16"/>
  <c r="C19" i="16"/>
  <c r="C27" i="16"/>
  <c r="C35" i="16"/>
  <c r="C43" i="16"/>
  <c r="C51" i="16"/>
  <c r="C59" i="16"/>
  <c r="C67" i="16"/>
  <c r="C75" i="16"/>
  <c r="C83" i="16"/>
  <c r="C91" i="16"/>
  <c r="C99" i="16"/>
  <c r="C116" i="16"/>
  <c r="C120" i="16"/>
  <c r="C128" i="16"/>
  <c r="C136" i="16"/>
  <c r="C144" i="16"/>
  <c r="C152" i="16"/>
  <c r="C160" i="16"/>
  <c r="C167" i="16"/>
  <c r="C175" i="16"/>
  <c r="C183" i="16"/>
  <c r="C191" i="16"/>
  <c r="C199" i="16"/>
  <c r="C207" i="16"/>
  <c r="C213" i="16"/>
  <c r="C221" i="16"/>
  <c r="C229" i="16"/>
  <c r="C237" i="16"/>
  <c r="C245" i="16"/>
  <c r="C202" i="16"/>
  <c r="C164" i="16"/>
  <c r="C4" i="16"/>
  <c r="C12" i="16"/>
  <c r="C20" i="16"/>
  <c r="C28" i="16"/>
  <c r="C36" i="16"/>
  <c r="C44" i="16"/>
  <c r="C52" i="16"/>
  <c r="C60" i="16"/>
  <c r="C68" i="16"/>
  <c r="C76" i="16"/>
  <c r="C84" i="16"/>
  <c r="C92" i="16"/>
  <c r="C100" i="16"/>
  <c r="C107" i="16"/>
  <c r="C111" i="16"/>
  <c r="C121" i="16"/>
  <c r="C129" i="16"/>
  <c r="C137" i="16"/>
  <c r="C145" i="16"/>
  <c r="C153" i="16"/>
  <c r="C161" i="16"/>
  <c r="C168" i="16"/>
  <c r="C176" i="16"/>
  <c r="C184" i="16"/>
  <c r="C192" i="16"/>
  <c r="C200" i="16"/>
  <c r="C214" i="16"/>
  <c r="C222" i="16"/>
  <c r="C230" i="16"/>
  <c r="C238" i="16"/>
  <c r="C246" i="16"/>
  <c r="C54" i="16"/>
  <c r="C124" i="16"/>
  <c r="C5" i="16"/>
  <c r="C13" i="16"/>
  <c r="C21" i="16"/>
  <c r="C29" i="16"/>
  <c r="C37" i="16"/>
  <c r="C45" i="16"/>
  <c r="C53" i="16"/>
  <c r="C61" i="16"/>
  <c r="C69" i="16"/>
  <c r="C77" i="16"/>
  <c r="C85" i="16"/>
  <c r="C93" i="16"/>
  <c r="C101" i="16"/>
  <c r="C117" i="16"/>
  <c r="C122" i="16"/>
  <c r="C130" i="16"/>
  <c r="C138" i="16"/>
  <c r="C146" i="16"/>
  <c r="C154" i="16"/>
  <c r="C162" i="16"/>
  <c r="C169" i="16"/>
  <c r="C177" i="16"/>
  <c r="C185" i="16"/>
  <c r="C193" i="16"/>
  <c r="C201" i="16"/>
  <c r="C208" i="16"/>
  <c r="C215" i="16"/>
  <c r="C223" i="16"/>
  <c r="C231" i="16"/>
  <c r="C239" i="16"/>
  <c r="C247" i="16"/>
  <c r="C248" i="16"/>
  <c r="C249" i="16"/>
  <c r="C248" i="12"/>
  <c r="C220" i="12"/>
  <c r="C228" i="12"/>
  <c r="C224" i="12"/>
  <c r="C244" i="12"/>
  <c r="C216" i="12"/>
  <c r="C240" i="12"/>
  <c r="C212" i="12"/>
  <c r="C236" i="12"/>
  <c r="C208" i="12"/>
  <c r="C232" i="12"/>
  <c r="C242" i="12"/>
  <c r="C222" i="12"/>
  <c r="C194" i="12"/>
  <c r="C241" i="12"/>
  <c r="C181" i="12"/>
  <c r="C204" i="12"/>
  <c r="C200" i="12"/>
  <c r="C196" i="12"/>
  <c r="C192" i="12"/>
  <c r="C188" i="12"/>
  <c r="C184" i="12"/>
  <c r="C180" i="12"/>
  <c r="C176" i="12"/>
  <c r="C172" i="12"/>
  <c r="C168" i="12"/>
  <c r="C164" i="12"/>
  <c r="C160" i="12"/>
  <c r="C156" i="12"/>
  <c r="C152" i="12"/>
  <c r="C148" i="12"/>
  <c r="C144" i="12"/>
  <c r="C140" i="12"/>
  <c r="C136" i="12"/>
  <c r="C132" i="12"/>
  <c r="C128" i="12"/>
  <c r="C124" i="12"/>
  <c r="C120" i="12"/>
  <c r="C116" i="12"/>
  <c r="C112" i="12"/>
  <c r="C108" i="12"/>
  <c r="C104" i="12"/>
  <c r="C100" i="12"/>
  <c r="C96" i="12"/>
  <c r="C92" i="12"/>
  <c r="C88" i="12"/>
  <c r="C84" i="12"/>
  <c r="C80" i="12"/>
  <c r="C76" i="12"/>
  <c r="C72" i="12"/>
  <c r="C68" i="12"/>
  <c r="C64" i="12"/>
  <c r="C60" i="12"/>
  <c r="C56" i="12"/>
  <c r="C52" i="12"/>
  <c r="C48" i="12"/>
  <c r="C44" i="12"/>
  <c r="C40" i="12"/>
  <c r="C36" i="12"/>
  <c r="C32" i="12"/>
  <c r="C28" i="12"/>
  <c r="C24" i="12"/>
  <c r="C20" i="12"/>
  <c r="C16" i="12"/>
  <c r="C12" i="12"/>
  <c r="C8" i="12"/>
  <c r="C243" i="12"/>
  <c r="C235" i="12"/>
  <c r="C227" i="12"/>
  <c r="C223" i="12"/>
  <c r="C215" i="12"/>
  <c r="C211" i="12"/>
  <c r="C207" i="12"/>
  <c r="C203" i="12"/>
  <c r="C199" i="12"/>
  <c r="C195" i="12"/>
  <c r="C191" i="12"/>
  <c r="C187" i="12"/>
  <c r="C183" i="12"/>
  <c r="C179" i="12"/>
  <c r="C171" i="12"/>
  <c r="C167" i="12"/>
  <c r="C163" i="12"/>
  <c r="C159" i="12"/>
  <c r="C155" i="12"/>
  <c r="C151" i="12"/>
  <c r="C147" i="12"/>
  <c r="C143" i="12"/>
  <c r="C139" i="12"/>
  <c r="C135" i="12"/>
  <c r="C131" i="12"/>
  <c r="C127" i="12"/>
  <c r="C123" i="12"/>
  <c r="C119" i="12"/>
  <c r="C115" i="12"/>
  <c r="C111" i="12"/>
  <c r="C107" i="12"/>
  <c r="C103" i="12"/>
  <c r="C99" i="12"/>
  <c r="C95" i="12"/>
  <c r="C91" i="12"/>
  <c r="C87" i="12"/>
  <c r="C83" i="12"/>
  <c r="C79" i="12"/>
  <c r="C75" i="12"/>
  <c r="C71" i="12"/>
  <c r="C67" i="12"/>
  <c r="C63" i="12"/>
  <c r="C59" i="12"/>
  <c r="C55" i="12"/>
  <c r="C51" i="12"/>
  <c r="C47" i="12"/>
  <c r="C43" i="12"/>
  <c r="C39" i="12"/>
  <c r="C35" i="12"/>
  <c r="C31" i="12"/>
  <c r="C27" i="12"/>
  <c r="C23" i="12"/>
  <c r="C19" i="12"/>
  <c r="C15" i="12"/>
  <c r="C11" i="12"/>
  <c r="C7" i="12"/>
  <c r="C247" i="12"/>
  <c r="C239" i="12"/>
  <c r="C231" i="12"/>
  <c r="C219" i="12"/>
  <c r="C175" i="12"/>
  <c r="C230" i="12"/>
  <c r="C202" i="12"/>
  <c r="C178" i="12"/>
  <c r="C158" i="12"/>
  <c r="C146" i="12"/>
  <c r="C138" i="12"/>
  <c r="C134" i="12"/>
  <c r="C130" i="12"/>
  <c r="C126" i="12"/>
  <c r="C122" i="12"/>
  <c r="C114" i="12"/>
  <c r="C110" i="12"/>
  <c r="C106" i="12"/>
  <c r="C102" i="12"/>
  <c r="C98" i="12"/>
  <c r="C94" i="12"/>
  <c r="C90" i="12"/>
  <c r="C86" i="12"/>
  <c r="C82" i="12"/>
  <c r="C78" i="12"/>
  <c r="C74" i="12"/>
  <c r="C70" i="12"/>
  <c r="C66" i="12"/>
  <c r="C62" i="12"/>
  <c r="C58" i="12"/>
  <c r="C54" i="12"/>
  <c r="C50" i="12"/>
  <c r="C46" i="12"/>
  <c r="C42" i="12"/>
  <c r="C38" i="12"/>
  <c r="C34" i="12"/>
  <c r="C30" i="12"/>
  <c r="C26" i="12"/>
  <c r="C22" i="12"/>
  <c r="C18" i="12"/>
  <c r="C14" i="12"/>
  <c r="C10" i="12"/>
  <c r="C6" i="12"/>
  <c r="C246" i="12"/>
  <c r="C234" i="12"/>
  <c r="C218" i="12"/>
  <c r="C210" i="12"/>
  <c r="C206" i="12"/>
  <c r="C198" i="12"/>
  <c r="C190" i="12"/>
  <c r="C182" i="12"/>
  <c r="C174" i="12"/>
  <c r="C170" i="12"/>
  <c r="C166" i="12"/>
  <c r="C162" i="12"/>
  <c r="C154" i="12"/>
  <c r="C150" i="12"/>
  <c r="C142" i="12"/>
  <c r="C118" i="12"/>
  <c r="C238" i="12"/>
  <c r="C226" i="12"/>
  <c r="C214" i="12"/>
  <c r="C186" i="12"/>
  <c r="C249" i="12"/>
  <c r="C245" i="12"/>
  <c r="C237" i="12"/>
  <c r="C233" i="12"/>
  <c r="C229" i="12"/>
  <c r="C225" i="12"/>
  <c r="C221" i="12"/>
  <c r="C217" i="12"/>
  <c r="C213" i="12"/>
  <c r="C209" i="12"/>
  <c r="C205" i="12"/>
  <c r="C201" i="12"/>
  <c r="C197" i="12"/>
  <c r="C193" i="12"/>
  <c r="C189" i="12"/>
  <c r="C185" i="12"/>
  <c r="C177" i="12"/>
  <c r="C173" i="12"/>
  <c r="C169" i="12"/>
  <c r="C165" i="12"/>
  <c r="C161" i="12"/>
  <c r="C157" i="12"/>
  <c r="C153" i="12"/>
  <c r="C149" i="12"/>
  <c r="C145" i="12"/>
  <c r="C141" i="12"/>
  <c r="C137" i="12"/>
  <c r="C133" i="12"/>
  <c r="C129" i="12"/>
  <c r="C125" i="12"/>
  <c r="C121" i="12"/>
  <c r="C117" i="12"/>
  <c r="C113" i="12"/>
  <c r="C109" i="12"/>
  <c r="C105" i="12"/>
  <c r="C101" i="12"/>
  <c r="C97" i="12"/>
  <c r="C93" i="12"/>
  <c r="C89" i="12"/>
  <c r="C85" i="12"/>
  <c r="C81" i="12"/>
  <c r="C77" i="12"/>
  <c r="C73" i="12"/>
  <c r="C69" i="12"/>
  <c r="C65" i="12"/>
  <c r="C61" i="12"/>
  <c r="C57" i="12"/>
  <c r="C53" i="12"/>
  <c r="C49" i="12"/>
  <c r="C45" i="12"/>
  <c r="C41" i="12"/>
  <c r="C37" i="12"/>
  <c r="C33" i="12"/>
  <c r="C29" i="12"/>
  <c r="C25" i="12"/>
  <c r="C21" i="12"/>
  <c r="C17" i="12"/>
  <c r="C13" i="12"/>
  <c r="C9" i="12"/>
  <c r="C5" i="12"/>
  <c r="C4" i="12"/>
  <c r="G50" i="3"/>
  <c r="G34" i="3"/>
  <c r="G22" i="3"/>
  <c r="G52" i="3"/>
  <c r="G48" i="3"/>
  <c r="G44" i="3"/>
  <c r="G40" i="3"/>
  <c r="G32" i="3"/>
  <c r="G28" i="3"/>
  <c r="G24" i="3"/>
  <c r="G20" i="3"/>
  <c r="G16" i="3"/>
  <c r="G12" i="3"/>
  <c r="G8" i="3"/>
  <c r="G46" i="3"/>
  <c r="G30" i="3"/>
  <c r="G18" i="3"/>
  <c r="G36" i="3"/>
  <c r="G51" i="3"/>
  <c r="G47" i="3"/>
  <c r="G43" i="3"/>
  <c r="G39" i="3"/>
  <c r="G35" i="3"/>
  <c r="G31" i="3"/>
  <c r="G27" i="3"/>
  <c r="G23" i="3"/>
  <c r="G19" i="3"/>
  <c r="G15" i="3"/>
  <c r="G11" i="3"/>
  <c r="G42" i="3"/>
  <c r="G14" i="3"/>
  <c r="G49" i="3"/>
  <c r="G45" i="3"/>
  <c r="G41" i="3"/>
  <c r="G37" i="3"/>
  <c r="G33" i="3"/>
  <c r="G29" i="3"/>
  <c r="G25" i="3"/>
  <c r="G21" i="3"/>
  <c r="G17" i="3"/>
  <c r="G9" i="3"/>
  <c r="G38" i="3"/>
  <c r="G26" i="3"/>
  <c r="G10" i="3"/>
  <c r="G13" i="3"/>
  <c r="G7" i="3"/>
  <c r="HF80" i="8"/>
  <c r="HF79" i="8"/>
  <c r="HF78" i="8"/>
  <c r="HF77" i="8"/>
  <c r="HF73" i="8"/>
  <c r="HF72" i="8"/>
  <c r="HF66" i="8"/>
  <c r="HF60" i="8"/>
  <c r="HF58" i="8"/>
  <c r="HF56" i="8"/>
  <c r="HF55" i="8"/>
  <c r="HF54" i="8"/>
  <c r="HF52" i="8"/>
  <c r="HF45" i="8"/>
  <c r="HF44" i="8"/>
  <c r="HF15" i="8"/>
  <c r="HF14" i="8"/>
  <c r="HF12" i="8"/>
  <c r="HF11" i="8"/>
  <c r="HF7" i="8"/>
  <c r="HJ83" i="2"/>
  <c r="JW46" i="5"/>
  <c r="JW45" i="5"/>
  <c r="JW43" i="5"/>
  <c r="QF120" i="7"/>
  <c r="QF119" i="7"/>
  <c r="IX37" i="5"/>
  <c r="IX36" i="5"/>
  <c r="QF117" i="7"/>
  <c r="IX32" i="5"/>
  <c r="QF113" i="7"/>
  <c r="QF112" i="7"/>
  <c r="IX30" i="5"/>
  <c r="IX29" i="5"/>
  <c r="QF111" i="7"/>
  <c r="QF110" i="7"/>
  <c r="QF109" i="7"/>
  <c r="IX27" i="5"/>
  <c r="QF10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tc={F71CA56A-1927-4D19-BF79-A54293438B39}</author>
  </authors>
  <commentList>
    <comment ref="NJ2" authorId="0" shapeId="0" xr:uid="{F71CA56A-1927-4D19-BF79-A54293438B39}">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tc={BF9933DA-A23B-4BCC-A881-C0C519DE3EA5}</author>
  </authors>
  <commentList>
    <comment ref="NJ1" authorId="0" shapeId="0" xr:uid="{BF9933DA-A23B-4BCC-A881-C0C519DE3EA5}">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tc={D79CA1A7-E98F-4943-A535-EF832FE6794F}</author>
  </authors>
  <commentList>
    <comment ref="NI1" authorId="0" shapeId="0" xr:uid="{D79CA1A7-E98F-4943-A535-EF832FE6794F}">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tc={74E0F7EA-EFA9-49C0-8F8D-6714B7E4062E}</author>
  </authors>
  <commentList>
    <comment ref="FH1" authorId="0" shapeId="0" xr:uid="{74E0F7EA-EFA9-49C0-8F8D-6714B7E4062E}">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tc={D92D96B1-DC7D-4B66-B12E-09C1A8A0F687}</author>
  </authors>
  <commentList>
    <comment ref="NJ2" authorId="0" shapeId="0" xr:uid="{D92D96B1-DC7D-4B66-B12E-09C1A8A0F687}">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<sst xmlns="http://schemas.openxmlformats.org/spreadsheetml/2006/main" count="31271" uniqueCount="2736">
  <si>
    <t>Statistical Outputs</t>
  </si>
  <si>
    <t>Skills data</t>
  </si>
  <si>
    <t>Organisation</t>
  </si>
  <si>
    <t>Statistical Release</t>
  </si>
  <si>
    <t>Description</t>
  </si>
  <si>
    <t>Contact</t>
  </si>
  <si>
    <t>Further Information</t>
  </si>
  <si>
    <t>BEIS</t>
  </si>
  <si>
    <t>Business population estimates</t>
  </si>
  <si>
    <t>The Business population estimates for the United Kingdom (UK) and regions (BPE) publication provides the only official estimate of the total number of private sector businesses in the UK at the start of each year, with their associated employment and turnover</t>
  </si>
  <si>
    <t>Darren Barton: business.statistics@beis.gov.uk</t>
  </si>
  <si>
    <t>DfE</t>
  </si>
  <si>
    <t>​Apprenticeships in England by industry characteristics</t>
  </si>
  <si>
    <t>Statistics on apprenticeship starts by employer size, sector and region.</t>
  </si>
  <si>
    <t>Alicia.Heptinstall@education.gov.uk</t>
  </si>
  <si>
    <t>​Outcome based success measures</t>
  </si>
  <si>
    <t>​​Statistics on employment, earnings and continued education of adults finishing funded further education training.</t>
  </si>
  <si>
    <t>UFS.Contact@education.gov.uk</t>
  </si>
  <si>
    <t>16 to 19 attainment</t>
  </si>
  <si>
    <t>Statistics on the attainment of 16 to 19-year-olds in England, including exam results and performance tables.</t>
  </si>
  <si>
    <t>Michael Greer: Attainment.STATISTICS@education.gov.uk</t>
  </si>
  <si>
    <t>16-18 destination measures</t>
  </si>
  <si>
    <t>Students continuing to education, apprenticeship or employment destinations in the year after completing 16 to 18 study in schools and colleges in England.</t>
  </si>
  <si>
    <t>Jan Hagenbart Destination.MEASURES@education.gov.uk</t>
  </si>
  <si>
    <t>Apprenticeships and traineeships</t>
  </si>
  <si>
    <t>In-year data on apprenticeships and traineeships in England</t>
  </si>
  <si>
    <t>Mathew Rolfe FE.OFFICIALSTATISTICS@education.gov.uk</t>
  </si>
  <si>
    <t>Apprenticeships and traineeships (16+)</t>
  </si>
  <si>
    <t>Information on all age (16+) apprenticeships starts, achievements and participation in England for an academic year</t>
  </si>
  <si>
    <t>Career pathways: post-16 qualifications held by employees</t>
  </si>
  <si>
    <t>Linking the industry sector of young employees  with the education achievements that helped guide them there</t>
  </si>
  <si>
    <t>ufs.contact@education.gov.uk</t>
  </si>
  <si>
    <t>Destinations of key stage 4 and key stage 5 pupils</t>
  </si>
  <si>
    <t>Statistics on educational or employment destinations of key stage 4 and key stage 5 students.</t>
  </si>
  <si>
    <t xml:space="preserve">Qualification level statistics on the destinations of 16-18 year olds in Further Education settings, who achieved a qualification at the end of study.  In addition to overall employment and learning destination measures for each qualification, it provides data on the industry sector of those in sustained employment and the subject area of those in a learning destination. </t>
  </si>
  <si>
    <t>Education and training statistics for the UK</t>
  </si>
  <si>
    <t>Compilation of information on education systems across the United Kingdom. Education is devolved in the UK, so each part of the United Kingdom has a separate education system.</t>
  </si>
  <si>
    <r>
      <rPr>
        <sz val="12"/>
        <color theme="1"/>
        <rFont val="Arial"/>
        <family val="2"/>
      </rPr>
      <t>Guenevere Kiely:</t>
    </r>
    <r>
      <rPr>
        <u/>
        <sz val="12"/>
        <color theme="1"/>
        <rFont val="Arial"/>
        <family val="2"/>
      </rPr>
      <t xml:space="preserve"> InternationalEvidence.STATISTICS@education.gov.uk</t>
    </r>
  </si>
  <si>
    <t>Employer Skills Survey</t>
  </si>
  <si>
    <t>Publication of key indicators from the Employer Skills Survey 2019 as official statistics. It covers England, Wales and Northern Ireland.</t>
  </si>
  <si>
    <r>
      <rPr>
        <sz val="12"/>
        <color theme="1"/>
        <rFont val="Arial"/>
        <family val="2"/>
      </rPr>
      <t>Alice Phillips</t>
    </r>
    <r>
      <rPr>
        <u/>
        <sz val="12"/>
        <color theme="1"/>
        <rFont val="Arial"/>
        <family val="2"/>
      </rPr>
      <t>: Employer.SURVEYS@education.gov.uk</t>
    </r>
  </si>
  <si>
    <t>Further education and skills</t>
  </si>
  <si>
    <t>Statistics covering participation, learner outcomes and highest qualification held in the further education (FE) and skills sector.</t>
  </si>
  <si>
    <t>Further education and skills 19+</t>
  </si>
  <si>
    <t>Provisional in-year data on adult (19+) further education (FE) and skills in England for the first two quarters of the 2022/23 academic year (August 2022 to January 2023). This includes apprenticeships and traineeships in the overall FE and skills numbers</t>
  </si>
  <si>
    <t>FE learners going into employment and learning destinations by local authority district</t>
  </si>
  <si>
    <t>Supplementary data from the ‘Further education: outcome-based success measures 2017/18’ publication.
The numbers (rather than rates) of learners that are counted in each measure, broken down by local authority district level are presented here.</t>
  </si>
  <si>
    <r>
      <rPr>
        <sz val="12"/>
        <color theme="1"/>
        <rFont val="Arial"/>
        <family val="2"/>
      </rPr>
      <t>Nicholas Treece:</t>
    </r>
    <r>
      <rPr>
        <u/>
        <sz val="12"/>
        <color theme="1"/>
        <rFont val="Arial"/>
        <family val="2"/>
      </rPr>
      <t xml:space="preserve"> FE.OUTCOMESDATA@education.gov.uk</t>
    </r>
  </si>
  <si>
    <t>Further education skills index</t>
  </si>
  <si>
    <t>The analysis in this report can be used to monitor the value of the Further Education system in England over time.  It shows the underlying trends for apprenticeships and classroom-based learning and how value-added per learner has changed alongside total value-added.</t>
  </si>
  <si>
    <t>Karen Woolgar: FE.OUTCOMESDATA@education.gov.uk</t>
  </si>
  <si>
    <t>DFE</t>
  </si>
  <si>
    <t>Further education: outcome-based success measures</t>
  </si>
  <si>
    <t>The FE outcome-based success measures present statistics on the employment, earnings and learning outcomes of FE learners. This publication covers learners that achieved apprenticeships, adult (19+) FE and Skills learners and completers of traineeships</t>
  </si>
  <si>
    <t>Graduate Labour Market Statistics</t>
  </si>
  <si>
    <t>These statistics show labour market conditions for the following groups living in England:
Graduates
Postgraduates
Non-graduates
This release also sets out a breakdown of graduate outcomes by different subcategories, such as by age group and gender.</t>
  </si>
  <si>
    <t>Stephen White PSPSTeam@education.gov.uk</t>
  </si>
  <si>
    <t>Graduate outcomes (LEO)</t>
  </si>
  <si>
    <t>​Employment and earnings outcomes of higher education graduates by subject studied and graduate characteristics.</t>
  </si>
  <si>
    <t>Simon Childs: HE.LEO@education.gov.uk</t>
  </si>
  <si>
    <t>Higher Level Learners in England</t>
  </si>
  <si>
    <t xml:space="preserve">Overview of participation and achievements in higher level learning at Further Education Providers (FEPs) and Higher Education Providers (HEPs) for English-domiciled learners in England in the academic year </t>
  </si>
  <si>
    <t>Matthew Bollington he.statistics@education.gov.uk</t>
  </si>
  <si>
    <t>Key stage 4 destination measures</t>
  </si>
  <si>
    <t>Percentage of pupils continuing to a sustained education, apprenticeship or employment destination in England in the year after completing key stage 4 study (after year 11) from state-funded mainstream schools.</t>
  </si>
  <si>
    <t>LEO Graduate and Postgraduate Outcomes</t>
  </si>
  <si>
    <t>Longitudinal Education Outcomes (LEO), Graduate and Postgraduate: Employment and earnings outcomes for those who graduated with a first degree (level 6), level 7 or level 8. </t>
  </si>
  <si>
    <t>Amy Wilson: he.leo@education.gov.uk</t>
  </si>
  <si>
    <t>LEO Graduate outcomes provider level data</t>
  </si>
  <si>
    <t>Employment and earnings outcomes for graduates of English Higher Education Institutions (HEIs), one, three, and five years after graduation (YAG), 2014/15 to 2019/20 tax year.</t>
  </si>
  <si>
    <t>Nargis Rahman he.leo@education.gov.uk</t>
  </si>
  <si>
    <t>Longer term destinations</t>
  </si>
  <si>
    <t>Number of students that have continued in education, an apprenticeship or employment for at least 6 months, one, three and five years after finishing key stage 4</t>
  </si>
  <si>
    <t>National Achievement Rates</t>
  </si>
  <si>
    <t>National achievement rates tables (formerly success rates) for apprenticeships and education and training</t>
  </si>
  <si>
    <t>andy.cooke@education.gov.uk</t>
  </si>
  <si>
    <t>NEET age 16 to 24</t>
  </si>
  <si>
    <t>Estimates from the Labour Force Survey of young people not in education, employment or training (NEET) in England</t>
  </si>
  <si>
    <t>Lucy Blyth post16.statistics@education.gov.uk</t>
  </si>
  <si>
    <t>NEET and participation</t>
  </si>
  <si>
    <t>Young people's participation in education, employment and training and those not in education, employment or training (NEET).  This collection contains participation figures of young people aged 16 to 18 and the quarterly release of NEET (not in education, employment or training) figures.</t>
  </si>
  <si>
    <t>Sally Marshall post16.statistics@education.gov.uk</t>
  </si>
  <si>
    <t>Participation in education, training and employment age 16 to 18</t>
  </si>
  <si>
    <t>official measures of participation and NEET (not in education, employment or training) for 16 to 18 year olds.
-16-17 year olds are required to remain in education and training in England following raising the participation age legislation in 2013.
-18 year olds in this release are in the first year post compulsory education</t>
  </si>
  <si>
    <t>Participation in education, training and NEET age 16 to 17 by local authority</t>
  </si>
  <si>
    <t>Data for England showing the proportion of 16 and 17 year-olds participating in education and training and an estimate of those not in education, employment or training (NEET) by local authority (LA)</t>
  </si>
  <si>
    <t>Anneka Albon post16.statistics@education.gov.uk</t>
  </si>
  <si>
    <t>Participation measures in higher education</t>
  </si>
  <si>
    <t>proportion of the population aiming to complete a qualification at HE level. Time series in this publication will focus on participation in HE by age 25. This will be referred to as the CHEP-25 rate. Using age 25 gives a good balance between timeliness while still giving students time to enter HE</t>
  </si>
  <si>
    <t>Progression to higher education or training</t>
  </si>
  <si>
    <t>Percentage of level 3 pupils (e.g. those that studied A levels, tech levels and applied general qualifications) continuing to a sustained education or training destination at level 4 or higher (such as degrees, higher apprenticeships and higher national diplomas) in the year after completing 16 to 18 study.</t>
  </si>
  <si>
    <t>Robin Davis Destination.MEASURES@education.gov.uk</t>
  </si>
  <si>
    <t>Progression to higher education or training, Academic year 2020/21 – Explore education statistics – GOV.UK (explore-education-statistics.service.gov.uk)</t>
  </si>
  <si>
    <t>Skills Bootcamps outcomes</t>
  </si>
  <si>
    <t>Publication of national level summary estimates of the number of learners completing Skills Bootcamps and their employment outcomes reported to the Department by Skills Bootcamp providers</t>
  </si>
  <si>
    <t>Glenn Goodman: skills.bootcamps@education.gov.uk</t>
  </si>
  <si>
    <t>Skills Bootcamps starts</t>
  </si>
  <si>
    <t xml:space="preserve">Data on the number of Skills Bootcamps starts in England as reported to the Department by Skills Bootcamps providers. </t>
  </si>
  <si>
    <t>Simon.Groonell@education.gov.uk</t>
  </si>
  <si>
    <t>Widening participation in higher education</t>
  </si>
  <si>
    <t>Annual statistics on young peoples' participation in higher education by student characteristics, including eligibility for free school meals, gender, ethnicity, special educational need status, first language and region.</t>
  </si>
  <si>
    <t>John Simes: HE.statistics@education.gov.uk</t>
  </si>
  <si>
    <t>DfE and DWP</t>
  </si>
  <si>
    <t>Further education for benefit claimants in England</t>
  </si>
  <si>
    <t xml:space="preserve">This publication uses the link between education and benefits data to produce estimates for volumes of 
government funded further education where individuals were claiming benefits at the start of their learning. </t>
  </si>
  <si>
    <t>Karen.Woolgar@education.gov.uk and Aniel.Anand@dwp.gsi.gov.uk</t>
  </si>
  <si>
    <t>Gov.Uk</t>
  </si>
  <si>
    <t>New, latest releases, policy, services etc</t>
  </si>
  <si>
    <t>HESA</t>
  </si>
  <si>
    <t>Degree attainment by socioeconomic background: UK</t>
  </si>
  <si>
    <t xml:space="preserve"> UK-wide area-based measure of deprivation. Alongside having the potential to enhance our official statistics, one of the primary benefits of such a variable is that it may enable comparisons to be made across the four nations, which is not possible with existing area-based measures such as the Indices of Deprivation</t>
  </si>
  <si>
    <t>Tej Nathwani,
Alex Lastoria-Butler,
Stephanie McLean: official.statistics@hesa.ac.uk</t>
  </si>
  <si>
    <t xml:space="preserve">Graduate Outcomes: Summary Statistics </t>
  </si>
  <si>
    <t>Graduate Outcomes survey data and covers UK higher education providers (HEPs) and further education colleges (FECs) in England, Wales and Northern Ireland. Data is collected approximately 15 months after HE course completion</t>
  </si>
  <si>
    <t>Luke Perrott: Official.statistics@hesa.ac.uk</t>
  </si>
  <si>
    <t>Higher Education Student Statistics: UK</t>
  </si>
  <si>
    <t>Annual first release of HESA student data. It covers data about higher education students and qualifiers from the following types of providers within the UK:
Higher education (HE) providers in England registered with the Office for Students (OfS) in the Approved (fee cap) or Approved categories;
Publicly funded HE providers in Wales, Scotland and Northern Ireland; and
Further education (FE) colleges in Wales.</t>
  </si>
  <si>
    <t>Rebecca Mantle: Official.statistics@hesa.ac.uk</t>
  </si>
  <si>
    <t>ONS</t>
  </si>
  <si>
    <t>Business demography</t>
  </si>
  <si>
    <t>Change in the number of UK businesses broken down by district and industry</t>
  </si>
  <si>
    <t>Becky Shaw: idbrdas@ons.gov.uk</t>
  </si>
  <si>
    <t>Business demography, quarterly experimental statistics, UK Statistical bulletins</t>
  </si>
  <si>
    <t>Experimental quarterly statistics on business births and deaths from the Inter-Departmental Business Register (IDBR) with high-level breakdowns by industry and region.</t>
  </si>
  <si>
    <t>Mark Williams: idbrdas@ons.gov.uk</t>
  </si>
  <si>
    <t xml:space="preserve">Employees in the UK </t>
  </si>
  <si>
    <t>Number of employees in the UK, full-time and part-time, by sector, industry, country and English region, from the Business Register and Employment Survey (BRES)</t>
  </si>
  <si>
    <t>Neil Hedges: bres@ons.gov.uk</t>
  </si>
  <si>
    <t>Multiple business registrations at a single postcode: 2020</t>
  </si>
  <si>
    <t>Business demography explainer covering additional information on the impact of multiple registrations at a single postcode.</t>
  </si>
  <si>
    <t>Karen Watkins: idbrdas@ons.gov.uk</t>
  </si>
  <si>
    <t>Qualification levels by country of birth</t>
  </si>
  <si>
    <t>To analyse variations in qualification levels held by country of birth to establish patterns across UK countries and migrant contribution.</t>
  </si>
  <si>
    <t>Aidan Tolland, Rebecca Jones, Hamish Anderson, Matt Rood: census.customerservices@ons.gov.uk</t>
  </si>
  <si>
    <t>UK business; activity, size and location</t>
  </si>
  <si>
    <t>UK businesses broken down by legal status, industry, region, employment and turnover size bands.</t>
  </si>
  <si>
    <t>Publication</t>
  </si>
  <si>
    <t>Breakdown</t>
  </si>
  <si>
    <t>time_period</t>
  </si>
  <si>
    <t>time_identifier</t>
  </si>
  <si>
    <t>geographic_level</t>
  </si>
  <si>
    <t>country_code</t>
  </si>
  <si>
    <t>country_name</t>
  </si>
  <si>
    <t>region_code</t>
  </si>
  <si>
    <t>region_name</t>
  </si>
  <si>
    <t>new_la_code</t>
  </si>
  <si>
    <t>old_la_code</t>
  </si>
  <si>
    <t>la_name</t>
  </si>
  <si>
    <t>lad_code</t>
  </si>
  <si>
    <t>lad_name</t>
  </si>
  <si>
    <t>pcon_code</t>
  </si>
  <si>
    <t>pcon_name</t>
  </si>
  <si>
    <t>inst_region</t>
  </si>
  <si>
    <t>current_region</t>
  </si>
  <si>
    <t>home_region</t>
  </si>
  <si>
    <t>residence</t>
  </si>
  <si>
    <t>opportunity_area_code</t>
  </si>
  <si>
    <t>opportunity_area_name</t>
  </si>
  <si>
    <t>local_enterprise_partnership_code</t>
  </si>
  <si>
    <t>local_enterprise_partnership_name</t>
  </si>
  <si>
    <t>english_devolved_area_code</t>
  </si>
  <si>
    <t>english_devolved_area_name</t>
  </si>
  <si>
    <t>Framework/standard</t>
  </si>
  <si>
    <t>std_fwk_name_code</t>
  </si>
  <si>
    <t>characteristic</t>
  </si>
  <si>
    <t>characteristic_type</t>
  </si>
  <si>
    <t>characteristic_group</t>
  </si>
  <si>
    <t>Characteristic_Detail</t>
  </si>
  <si>
    <t>learner_characteristic</t>
  </si>
  <si>
    <t>academic_year</t>
  </si>
  <si>
    <t>level</t>
  </si>
  <si>
    <t>level_3</t>
  </si>
  <si>
    <t>level_4</t>
  </si>
  <si>
    <t>Group</t>
  </si>
  <si>
    <t>Demographic</t>
  </si>
  <si>
    <t>detailed level</t>
  </si>
  <si>
    <t>quarter</t>
  </si>
  <si>
    <t>age_youth_adult</t>
  </si>
  <si>
    <t>age</t>
  </si>
  <si>
    <t>age_group</t>
  </si>
  <si>
    <t>age_summary</t>
  </si>
  <si>
    <t>age_summary_with_unknowns</t>
  </si>
  <si>
    <t>age_detailed</t>
  </si>
  <si>
    <t>age_band</t>
  </si>
  <si>
    <t>sex</t>
  </si>
  <si>
    <t>stem</t>
  </si>
  <si>
    <t>industrySection</t>
  </si>
  <si>
    <t>industry</t>
  </si>
  <si>
    <t>SSA</t>
  </si>
  <si>
    <t>ssa1</t>
  </si>
  <si>
    <t>ssa2</t>
  </si>
  <si>
    <t>ssa_t1_desc</t>
  </si>
  <si>
    <t>ssa_t2_desc</t>
  </si>
  <si>
    <t>subject</t>
  </si>
  <si>
    <t>subject_level</t>
  </si>
  <si>
    <t>subject_name</t>
  </si>
  <si>
    <t>lldd</t>
  </si>
  <si>
    <t>lldd_primary</t>
  </si>
  <si>
    <t>learning_difficulty_disability</t>
  </si>
  <si>
    <t>disability</t>
  </si>
  <si>
    <t>learner home depriv</t>
  </si>
  <si>
    <t>BenefitLearner</t>
  </si>
  <si>
    <t>ethnicity</t>
  </si>
  <si>
    <t>Ethnicity_Detailed</t>
  </si>
  <si>
    <t>minority_ethnic</t>
  </si>
  <si>
    <t>ethnicity_major</t>
  </si>
  <si>
    <t>ethnicity_minor</t>
  </si>
  <si>
    <t>ethnicity_with_chinese</t>
  </si>
  <si>
    <t>BAME</t>
  </si>
  <si>
    <t>FSM</t>
  </si>
  <si>
    <t>progression_rate_FSM</t>
  </si>
  <si>
    <t>progression_rate_NonFSM</t>
  </si>
  <si>
    <t>leavers</t>
  </si>
  <si>
    <t>completers</t>
  </si>
  <si>
    <t>achievers</t>
  </si>
  <si>
    <t>retention rate</t>
  </si>
  <si>
    <t>pass rate</t>
  </si>
  <si>
    <t>achievement rate</t>
  </si>
  <si>
    <t>month</t>
  </si>
  <si>
    <t>adverts</t>
  </si>
  <si>
    <t>vacancies</t>
  </si>
  <si>
    <t>academic year</t>
  </si>
  <si>
    <t>Start academic year</t>
  </si>
  <si>
    <t>start_month</t>
  </si>
  <si>
    <t>start-age</t>
  </si>
  <si>
    <t>tship_starts</t>
  </si>
  <si>
    <t>tship_completions</t>
  </si>
  <si>
    <t>completion_rate</t>
  </si>
  <si>
    <t>apprenticeship_starts</t>
  </si>
  <si>
    <t>conversion_rate</t>
  </si>
  <si>
    <t>payment_status</t>
  </si>
  <si>
    <t>latest_levy_status</t>
  </si>
  <si>
    <t>transfer_flag</t>
  </si>
  <si>
    <t>commitments</t>
  </si>
  <si>
    <t>starts_for_duration</t>
  </si>
  <si>
    <t>avg_expected_duration</t>
  </si>
  <si>
    <t>length_employment</t>
  </si>
  <si>
    <t>planned_length_stay</t>
  </si>
  <si>
    <t>starts</t>
  </si>
  <si>
    <t>percentage_starts</t>
  </si>
  <si>
    <t>Starts_rate_per_100000_pop</t>
  </si>
  <si>
    <t>Starts_percentage_within_year</t>
  </si>
  <si>
    <t>Start_percentage_within_provider_type</t>
  </si>
  <si>
    <t>Traineeship_Start</t>
  </si>
  <si>
    <t>achievement</t>
  </si>
  <si>
    <t>total_achievements_percentage</t>
  </si>
  <si>
    <t>achievements_rate_per_100000_population</t>
  </si>
  <si>
    <t>percentage_achievements</t>
  </si>
  <si>
    <t>achievement_percentage_within_year</t>
  </si>
  <si>
    <t>achievements_percentage_within_provider_type</t>
  </si>
  <si>
    <t>achievements_percent_change</t>
  </si>
  <si>
    <t>total_achievements</t>
  </si>
  <si>
    <t>achievements_all</t>
  </si>
  <si>
    <t>achievements_apps</t>
  </si>
  <si>
    <t>achievements_et</t>
  </si>
  <si>
    <t>participation</t>
  </si>
  <si>
    <t>participation_type</t>
  </si>
  <si>
    <t>number in education and training</t>
  </si>
  <si>
    <t>percent in education nd training</t>
  </si>
  <si>
    <t>number education, training and employment</t>
  </si>
  <si>
    <t>Pecent in education, training and employment</t>
  </si>
  <si>
    <t>participation_rate_per_100000_pop</t>
  </si>
  <si>
    <t>participation_all</t>
  </si>
  <si>
    <t>participation_apps</t>
  </si>
  <si>
    <t>participation_et</t>
  </si>
  <si>
    <t>all_participation_percentage_change</t>
  </si>
  <si>
    <t>annual_participation_percentage_change</t>
  </si>
  <si>
    <t>participation_percentage_change</t>
  </si>
  <si>
    <t>Annual_percentage_change_et</t>
  </si>
  <si>
    <t>total_enrolments</t>
  </si>
  <si>
    <t>total_enrolments_percentage</t>
  </si>
  <si>
    <t>aim_enrolment</t>
  </si>
  <si>
    <t>apps_level</t>
  </si>
  <si>
    <t>apps_level_detailed</t>
  </si>
  <si>
    <t>apps_all</t>
  </si>
  <si>
    <t>app_intermediate</t>
  </si>
  <si>
    <t>app_advanced</t>
  </si>
  <si>
    <t>app_higher</t>
  </si>
  <si>
    <t>level_6plus</t>
  </si>
  <si>
    <t>apps_degree</t>
  </si>
  <si>
    <t>intermediate_learners</t>
  </si>
  <si>
    <t>advanced_learners</t>
  </si>
  <si>
    <t>total_learners</t>
  </si>
  <si>
    <t>total_learners_fes</t>
  </si>
  <si>
    <t>total_learners_et</t>
  </si>
  <si>
    <t>LearnPercent</t>
  </si>
  <si>
    <t>LearnOnlyPercent</t>
  </si>
  <si>
    <t>YearsAfterLearning_Display</t>
  </si>
  <si>
    <t>NumberOfMatchedLearners</t>
  </si>
  <si>
    <t>FirstTimeAtLevel</t>
  </si>
  <si>
    <t>FirstTimeAtLevelPercent</t>
  </si>
  <si>
    <t>percentage_fes</t>
  </si>
  <si>
    <t>fes_part</t>
  </si>
  <si>
    <t>et_part</t>
  </si>
  <si>
    <t>cl_part</t>
  </si>
  <si>
    <t>percentage_et</t>
  </si>
  <si>
    <t>high_learners</t>
  </si>
  <si>
    <t>provider_type</t>
  </si>
  <si>
    <t>provider_name</t>
  </si>
  <si>
    <t>provider_ukprn</t>
  </si>
  <si>
    <t>provision_type</t>
  </si>
  <si>
    <t>funding type</t>
  </si>
  <si>
    <t>sub_sector</t>
  </si>
  <si>
    <t>bodies</t>
  </si>
  <si>
    <t>pct_target_inyr</t>
  </si>
  <si>
    <t>EmpPercent</t>
  </si>
  <si>
    <t>SelfEmpPercent</t>
  </si>
  <si>
    <t>EmpOnlyPercent</t>
  </si>
  <si>
    <t>EmpAndLearnPercent</t>
  </si>
  <si>
    <t>emp_prior</t>
  </si>
  <si>
    <t>app_prior</t>
  </si>
  <si>
    <t>pct_app_prior</t>
  </si>
  <si>
    <t>emp_new</t>
  </si>
  <si>
    <t>app_new</t>
  </si>
  <si>
    <t>pct_app_new</t>
  </si>
  <si>
    <t>emp_end</t>
  </si>
  <si>
    <t>app_end</t>
  </si>
  <si>
    <t>pct_app_end</t>
  </si>
  <si>
    <t>emp_prior_cumulative</t>
  </si>
  <si>
    <t>app_new_cumulative</t>
  </si>
  <si>
    <t>pct_target_cumulative</t>
  </si>
  <si>
    <t>redundancies</t>
  </si>
  <si>
    <t>positive_destinations</t>
  </si>
  <si>
    <t>positive_destination_rate</t>
  </si>
  <si>
    <t>destination_year</t>
  </si>
  <si>
    <t>LearningDestination</t>
  </si>
  <si>
    <t>19plus_fes</t>
  </si>
  <si>
    <t>19plus_eandt</t>
  </si>
  <si>
    <t>19plus_apps</t>
  </si>
  <si>
    <t>19plus_fes_fl2</t>
  </si>
  <si>
    <t>19plus_fes_fl3</t>
  </si>
  <si>
    <t>19plus_fes_f4</t>
  </si>
  <si>
    <t>cl</t>
  </si>
  <si>
    <t>qualification</t>
  </si>
  <si>
    <t>qualification_sublevel</t>
  </si>
  <si>
    <t>qualification_level</t>
  </si>
  <si>
    <t>qualification_type</t>
  </si>
  <si>
    <t>QualificationTitle</t>
  </si>
  <si>
    <t>equivalent_or_lower_qualification</t>
  </si>
  <si>
    <t>learning_aim_title</t>
  </si>
  <si>
    <t>qualification_aim</t>
  </si>
  <si>
    <t>LevelOfLearningGroup</t>
  </si>
  <si>
    <t>LevelOfLearning</t>
  </si>
  <si>
    <t>apps_received</t>
  </si>
  <si>
    <t>apps_approved</t>
  </si>
  <si>
    <t>loan_amount_awarded_in_thousands</t>
  </si>
  <si>
    <t>p_total</t>
  </si>
  <si>
    <t>p_bl2_ex_basic_skills</t>
  </si>
  <si>
    <t>p_basic_skills</t>
  </si>
  <si>
    <t>p_full_l2</t>
  </si>
  <si>
    <t>p_full_l3</t>
  </si>
  <si>
    <t>p_l2</t>
  </si>
  <si>
    <t>p_l3</t>
  </si>
  <si>
    <t>p_l4plus</t>
  </si>
  <si>
    <t>p_no_lx</t>
  </si>
  <si>
    <t>ach_total</t>
  </si>
  <si>
    <t>ach_bl2_ex_basic_skills</t>
  </si>
  <si>
    <t>ach_basic_skills</t>
  </si>
  <si>
    <t>ach_full_l2</t>
  </si>
  <si>
    <t>ach_full_l3</t>
  </si>
  <si>
    <t>ach_l2</t>
  </si>
  <si>
    <t>ach_l3</t>
  </si>
  <si>
    <t>ach_l4plus</t>
  </si>
  <si>
    <t>ach_no_lx</t>
  </si>
  <si>
    <t>reporting_date</t>
  </si>
  <si>
    <t>personal_and_community_development_learning</t>
  </si>
  <si>
    <t>neighbourhood_learning_in_deprived_communities</t>
  </si>
  <si>
    <t>family_english_maths_and_language</t>
  </si>
  <si>
    <t>wider_family_learning</t>
  </si>
  <si>
    <t>total</t>
  </si>
  <si>
    <t>ach_personal_and_community_development_learning</t>
  </si>
  <si>
    <t>ach_neighbourhood_learning_in_deprived_communities</t>
  </si>
  <si>
    <t>ach_family_english_maths_and_language</t>
  </si>
  <si>
    <t>ach_wider_family_learning</t>
  </si>
  <si>
    <t>ilr_status_offer_quals_used</t>
  </si>
  <si>
    <t>total_l3_course_enrolments</t>
  </si>
  <si>
    <t>enrolments_eligible_learners_original_offer</t>
  </si>
  <si>
    <t>enrolments_fcfj_offer_takeup_original</t>
  </si>
  <si>
    <t>enrolments_fcfj_offer_plus_extended_from_apr22</t>
  </si>
  <si>
    <t>number_of_quals_in_offer</t>
  </si>
  <si>
    <t>prior_attainment_group</t>
  </si>
  <si>
    <t>prior_attainment</t>
  </si>
  <si>
    <t>employment_status</t>
  </si>
  <si>
    <t>total_takeup_original_adult_offer</t>
  </si>
  <si>
    <t>total_takeup_extended_adult_offer</t>
  </si>
  <si>
    <t>total_achievements_original_adult_offer</t>
  </si>
  <si>
    <t>total_achievements_extended_adult_offer</t>
  </si>
  <si>
    <t>notional_nvq_level</t>
  </si>
  <si>
    <t>e_and_t_aims_enrolments</t>
  </si>
  <si>
    <t>e_and_t_aims_ach</t>
  </si>
  <si>
    <t>apprenticeships_or_further_education</t>
  </si>
  <si>
    <t>level_or_type</t>
  </si>
  <si>
    <t>percent_change</t>
  </si>
  <si>
    <t>cohort</t>
  </si>
  <si>
    <t>cohort_level_group</t>
  </si>
  <si>
    <t>cohort_level</t>
  </si>
  <si>
    <t>avgcohort</t>
  </si>
  <si>
    <t>avgNEETNK</t>
  </si>
  <si>
    <t>avgNEET</t>
  </si>
  <si>
    <t>avgNK</t>
  </si>
  <si>
    <t>NEETNKprop</t>
  </si>
  <si>
    <t>NEETprop</t>
  </si>
  <si>
    <t>Activity not known proportion</t>
  </si>
  <si>
    <t>Percentage of the cohort with activity not known</t>
  </si>
  <si>
    <t>annual_change_NEETNK</t>
  </si>
  <si>
    <t>institution_group</t>
  </si>
  <si>
    <t>institution_type</t>
  </si>
  <si>
    <t>Institution_or_apprenticeship_grouping</t>
  </si>
  <si>
    <t>Institution_or_apprenticeship</t>
  </si>
  <si>
    <t>labour_market_status</t>
  </si>
  <si>
    <t>category_grouping</t>
  </si>
  <si>
    <t>category</t>
  </si>
  <si>
    <t>mode_of_study</t>
  </si>
  <si>
    <t>population</t>
  </si>
  <si>
    <t>number_NEET</t>
  </si>
  <si>
    <t>conf_interval_plus_minus_NEET</t>
  </si>
  <si>
    <t>lower_bound_number_NEET</t>
  </si>
  <si>
    <t>upper_bound_number_NEET</t>
  </si>
  <si>
    <t>percent_conf_interval_plus_minus_NEET</t>
  </si>
  <si>
    <t>lower_bound_percent_NEET</t>
  </si>
  <si>
    <t>upper_bound_percent_NEET</t>
  </si>
  <si>
    <t>percent_annual_change_NEET</t>
  </si>
  <si>
    <t>percent_annual_change_conf_interval_plus_minus_NEET</t>
  </si>
  <si>
    <t>lower_bound_percent_annual_change_NEET</t>
  </si>
  <si>
    <t>upper_bound_percent_annual_change_NEET</t>
  </si>
  <si>
    <t>number_NET</t>
  </si>
  <si>
    <t>conf_interval_plus_minus_NET</t>
  </si>
  <si>
    <t>lower_bound_number_NET</t>
  </si>
  <si>
    <t>upper_bound_number_NET</t>
  </si>
  <si>
    <t>percent_NET</t>
  </si>
  <si>
    <t>percent_conf_interval_plus_minus_NET</t>
  </si>
  <si>
    <t>lower_bound_percent_NET</t>
  </si>
  <si>
    <t>upper_bound_percent_NET</t>
  </si>
  <si>
    <t>percent_annual_change_NET</t>
  </si>
  <si>
    <t>percent_annual_change_conf_interval_plus_minus_NET</t>
  </si>
  <si>
    <t>lower_bound_percent_annual_change_NET</t>
  </si>
  <si>
    <t>upper_bound_percent_annual_change_NET</t>
  </si>
  <si>
    <t>employment_rate_NET</t>
  </si>
  <si>
    <t>number_ILO_unemployed_less_6months</t>
  </si>
  <si>
    <t>conf_interval_plus_minus_ILO_unemployed_less_6months</t>
  </si>
  <si>
    <t>lower_bound_number_ILO_unemployed_less_6months</t>
  </si>
  <si>
    <t>upper_bound_number_ILO_unemployed_less_6months</t>
  </si>
  <si>
    <t>number_ILO_unemployed_more_6months</t>
  </si>
  <si>
    <t>conf_interval_plus_minus_ILO_unemployed_more_6months</t>
  </si>
  <si>
    <t>lower_bound_number_ILO_unemployed_more_6months</t>
  </si>
  <si>
    <t>upper_bound_number_ILO_unemployed_more_6months</t>
  </si>
  <si>
    <t>number_inactive_wants_a_job</t>
  </si>
  <si>
    <t>conf_interval_plus_minus_inactive_wants_a_job</t>
  </si>
  <si>
    <t>lower_bound_number_inactive_wants_a_job</t>
  </si>
  <si>
    <t>upper_bound_number_inactive_wants_a_job</t>
  </si>
  <si>
    <t>number_inactive_does_not_want_a_job</t>
  </si>
  <si>
    <t>conf_interval_plus_minus_inactive_does_not_want_a_job</t>
  </si>
  <si>
    <t>lower_bound_number_inactive_does_not_want_a_job</t>
  </si>
  <si>
    <t>upper_bound_number_inactive_does_not_want_a_job</t>
  </si>
  <si>
    <t>number_reason_inactive_looking_after_family_or_home</t>
  </si>
  <si>
    <t>conf_interval_plus_minus_reason_inactive_looking_after_family_or_home</t>
  </si>
  <si>
    <t>lower_bound_number_reason_inactive_looking_after_family_or_home</t>
  </si>
  <si>
    <t>upper_bound_number_reason_inactive_looking_after_family_or_home</t>
  </si>
  <si>
    <t>number_reason_inactive_long-term_or_temporary_sick</t>
  </si>
  <si>
    <t>conf_interval_plus_minus_reason_inactive_long-term_or_temporary_sick</t>
  </si>
  <si>
    <t>lower_bound_number_reason_inactive_long-term_or_temporary_sick</t>
  </si>
  <si>
    <t>upper_bound_number_reason_inactive_long-term_or_temporary_sick</t>
  </si>
  <si>
    <t>number_reason_inactive_other</t>
  </si>
  <si>
    <t>conf_interval_plus_minus_reason_inactive_other</t>
  </si>
  <si>
    <t>lower_bound_number_reason_inactive_other</t>
  </si>
  <si>
    <t>upper_bound_number_reason_inactive_other</t>
  </si>
  <si>
    <t>percent_ILO_unemployed_less_6months</t>
  </si>
  <si>
    <t>percent_conf_interval_plus_minus_ILO_unemployed_less_6months</t>
  </si>
  <si>
    <t>lower_bound_percent_ILO_unemployed_less_6months</t>
  </si>
  <si>
    <t>upper_bound_percent_ILO_unemployed_less_6months</t>
  </si>
  <si>
    <t>percent_ILO_unemployed_more_6months</t>
  </si>
  <si>
    <t>percent_conf_interval_plus_minus_ILO_unemployed_more_6months</t>
  </si>
  <si>
    <t>lower_bound_percent_ILO_unemployed_more_6months</t>
  </si>
  <si>
    <t>upper_bound_percent_ILO_unemployed_more_6months</t>
  </si>
  <si>
    <t>percent_inactive_wants_a_job</t>
  </si>
  <si>
    <t>percent_conf_interval_plus_minus_inactive_wants_a_job</t>
  </si>
  <si>
    <t>lower_bound_percent_inactive_wants_a_job</t>
  </si>
  <si>
    <t>upper_bound_percent_inactive_wants_a_job</t>
  </si>
  <si>
    <t>percent_inactive_does_not_want_a_job</t>
  </si>
  <si>
    <t>percent_conf_interval_plus_minus_inactive_does_not_want_a_job</t>
  </si>
  <si>
    <t>lower_bound_percent_inactive_does_not_want_a_job</t>
  </si>
  <si>
    <t>upper_bound_percent_inactive_does_not_want_a_job</t>
  </si>
  <si>
    <t>percent_reason_inactive_looking_after_family_or_home</t>
  </si>
  <si>
    <t>percent_conf_interval_plus_minus_reason_inactive_looking_after_family_or_home</t>
  </si>
  <si>
    <t>lower_bound_percent_reason_inactive_looking_after_family_or_home</t>
  </si>
  <si>
    <t>upper_bound_percent_reason_inactive_looking_after_family_or_home</t>
  </si>
  <si>
    <t>percent_reason_inactive_long-term_or_temporary_sick</t>
  </si>
  <si>
    <t>percent_conf_interval_plus_minus_reason_inactive_long-term_or_temporary_sick</t>
  </si>
  <si>
    <t>lower_bound_percent_reason_inactive_long-term_or_temporary_sick</t>
  </si>
  <si>
    <t>upper_bound_percent_reason_inactive_long-term_or_temporary_sick</t>
  </si>
  <si>
    <t>percent_reason_inactive_other</t>
  </si>
  <si>
    <t>percent_conf_interval_plus_minus_reason_inactive_other</t>
  </si>
  <si>
    <t>lower_bound_percent_reason_inactive_other</t>
  </si>
  <si>
    <t>upper_bound_percent_reason_inactive_other</t>
  </si>
  <si>
    <t>NCCIS</t>
  </si>
  <si>
    <t>NEETLFSONS</t>
  </si>
  <si>
    <t>total_NEET_NET</t>
  </si>
  <si>
    <t>health_condition_grouping</t>
  </si>
  <si>
    <t>health_condition</t>
  </si>
  <si>
    <t>sample_size</t>
  </si>
  <si>
    <t>conf_interval_number</t>
  </si>
  <si>
    <t>lower_bound_population</t>
  </si>
  <si>
    <t>upper_bound_population</t>
  </si>
  <si>
    <t>percent_of_population</t>
  </si>
  <si>
    <t>conf_interval_percent_of_population</t>
  </si>
  <si>
    <t>lower_bound_percent_of_population</t>
  </si>
  <si>
    <t>upper_bound_percent_of_population</t>
  </si>
  <si>
    <t>percent_of_NEET</t>
  </si>
  <si>
    <t>data_type</t>
  </si>
  <si>
    <t>version</t>
  </si>
  <si>
    <t>inst_count</t>
  </si>
  <si>
    <t>NumberSustainedEmployment</t>
  </si>
  <si>
    <t>SustainedEmploymentPercent</t>
  </si>
  <si>
    <t>SPDPercent</t>
  </si>
  <si>
    <t>Overall_Sustained education, employment &amp; apprenticeships</t>
  </si>
  <si>
    <t>overall_y1</t>
  </si>
  <si>
    <t>overall_y3</t>
  </si>
  <si>
    <t>overall_y5</t>
  </si>
  <si>
    <t>education</t>
  </si>
  <si>
    <t>fe</t>
  </si>
  <si>
    <t>fel3</t>
  </si>
  <si>
    <t>fel2</t>
  </si>
  <si>
    <t>fel1</t>
  </si>
  <si>
    <t>fel10no</t>
  </si>
  <si>
    <t>FEPercent</t>
  </si>
  <si>
    <t>BelowL2Percent</t>
  </si>
  <si>
    <t>EngMathPercent</t>
  </si>
  <si>
    <t>Level2Percent</t>
  </si>
  <si>
    <t>FullLevel2Percent</t>
  </si>
  <si>
    <t>Level3Percent</t>
  </si>
  <si>
    <t>FullLevel3Percent</t>
  </si>
  <si>
    <t>Level4PlusPercent</t>
  </si>
  <si>
    <t>NotAssignedPercent</t>
  </si>
  <si>
    <t>ssf</t>
  </si>
  <si>
    <t>sfc</t>
  </si>
  <si>
    <t>sfc_and_ssf</t>
  </si>
  <si>
    <t>other_edu</t>
  </si>
  <si>
    <t>ind</t>
  </si>
  <si>
    <t>appru</t>
  </si>
  <si>
    <t>special</t>
  </si>
  <si>
    <t>spec_prov</t>
  </si>
  <si>
    <t>spi</t>
  </si>
  <si>
    <t>edu_combo</t>
  </si>
  <si>
    <t>HE</t>
  </si>
  <si>
    <t>HE_Type</t>
  </si>
  <si>
    <t>hel4</t>
  </si>
  <si>
    <t>hel5</t>
  </si>
  <si>
    <t>hel6</t>
  </si>
  <si>
    <t>HEPercent</t>
  </si>
  <si>
    <t>AccessToHE</t>
  </si>
  <si>
    <t>AppPercent</t>
  </si>
  <si>
    <t>AppType</t>
  </si>
  <si>
    <t>appren</t>
  </si>
  <si>
    <t>appl4</t>
  </si>
  <si>
    <t>appl3</t>
  </si>
  <si>
    <t>appl2</t>
  </si>
  <si>
    <t>AppIntermediatePercent</t>
  </si>
  <si>
    <t>AppAdvancedPercent</t>
  </si>
  <si>
    <t>AppHigherPercent</t>
  </si>
  <si>
    <t>AppAdvancedPlusPercent</t>
  </si>
  <si>
    <t>AnyLearnPercent</t>
  </si>
  <si>
    <t>ProgressionSustainedPriorPercent</t>
  </si>
  <si>
    <t>ProgressionSustainedOverallPercent</t>
  </si>
  <si>
    <t>NotSustainedPercent</t>
  </si>
  <si>
    <t>NotSustainedNBPercent</t>
  </si>
  <si>
    <t>NotSustainedBenefitPercent</t>
  </si>
  <si>
    <t>BenefitPercent</t>
  </si>
  <si>
    <t>NoDestPercent</t>
  </si>
  <si>
    <t>LearnersWithEarnings</t>
  </si>
  <si>
    <t>25thPercentile</t>
  </si>
  <si>
    <t>Median</t>
  </si>
  <si>
    <t>75thPercentile</t>
  </si>
  <si>
    <t>all_work</t>
  </si>
  <si>
    <t>all_notsust</t>
  </si>
  <si>
    <t>notsust</t>
  </si>
  <si>
    <t>notsust_beneet</t>
  </si>
  <si>
    <t>only_beneet</t>
  </si>
  <si>
    <t>all_unknown</t>
  </si>
  <si>
    <t>unknown_id</t>
  </si>
  <si>
    <t>unknown</t>
  </si>
  <si>
    <t>level_methodology</t>
  </si>
  <si>
    <t>non_des</t>
  </si>
  <si>
    <t>all_progressed</t>
  </si>
  <si>
    <t>all_comparator</t>
  </si>
  <si>
    <t>all_pscore</t>
  </si>
  <si>
    <t>all_degree</t>
  </si>
  <si>
    <t>Degree class</t>
  </si>
  <si>
    <t>all_top3rd</t>
  </si>
  <si>
    <t>all_oxbridge</t>
  </si>
  <si>
    <t>all_russell</t>
  </si>
  <si>
    <t>all_appren</t>
  </si>
  <si>
    <t>all_htech</t>
  </si>
  <si>
    <t>acag_cohort</t>
  </si>
  <si>
    <t>acag_progressed</t>
  </si>
  <si>
    <t>acag_comparator</t>
  </si>
  <si>
    <t>acag_pscore</t>
  </si>
  <si>
    <t>tlev_cohort</t>
  </si>
  <si>
    <t>tlev_progressed</t>
  </si>
  <si>
    <t>tlev_comparator</t>
  </si>
  <si>
    <t>tlev_pscore</t>
  </si>
  <si>
    <t>otl3_cohort</t>
  </si>
  <si>
    <t>otl3_progressed</t>
  </si>
  <si>
    <t>otl3_comparator</t>
  </si>
  <si>
    <t>otl3_pscore</t>
  </si>
  <si>
    <t>school_urn</t>
  </si>
  <si>
    <t>school_laestab</t>
  </si>
  <si>
    <t>school_name</t>
  </si>
  <si>
    <t>School_Type</t>
  </si>
  <si>
    <t>skills_index</t>
  </si>
  <si>
    <t>A_level_Status</t>
  </si>
  <si>
    <t>estimated_value_added</t>
  </si>
  <si>
    <t>perc_contribution_to_total_value_added</t>
  </si>
  <si>
    <t>value_addded_per_learner_index</t>
  </si>
  <si>
    <t>annual_perc_change_skills_index</t>
  </si>
  <si>
    <t>annual_perc_change_value_per_learner</t>
  </si>
  <si>
    <t>achievers_index</t>
  </si>
  <si>
    <t>entry_percentage_overall</t>
  </si>
  <si>
    <t>entry_percentage_females</t>
  </si>
  <si>
    <t>entry_percentage_highest_region</t>
  </si>
  <si>
    <t>entry_percentage_lowest_region</t>
  </si>
  <si>
    <t>entry_percentage_firstdeg</t>
  </si>
  <si>
    <t>entry_percentage_fulltime</t>
  </si>
  <si>
    <t>entry_age</t>
  </si>
  <si>
    <t>entrants</t>
  </si>
  <si>
    <t>rate</t>
  </si>
  <si>
    <t>age_in_he</t>
  </si>
  <si>
    <t>cumulative_rate</t>
  </si>
  <si>
    <t>mode</t>
  </si>
  <si>
    <t>methodology</t>
  </si>
  <si>
    <t>qual_level</t>
  </si>
  <si>
    <t>percentage</t>
  </si>
  <si>
    <t>YAG</t>
  </si>
  <si>
    <t>mature</t>
  </si>
  <si>
    <t>selective_status</t>
  </si>
  <si>
    <t>POLAR4</t>
  </si>
  <si>
    <t>migration1</t>
  </si>
  <si>
    <t>migration2</t>
  </si>
  <si>
    <t>grads</t>
  </si>
  <si>
    <t>grads_uk</t>
  </si>
  <si>
    <t>unmatched_percent</t>
  </si>
  <si>
    <t>overseas_percent</t>
  </si>
  <si>
    <t>matched</t>
  </si>
  <si>
    <t>prop_overall</t>
  </si>
  <si>
    <t>activity_not_captured</t>
  </si>
  <si>
    <t>no_sust_dest</t>
  </si>
  <si>
    <t>sust_emp_only</t>
  </si>
  <si>
    <t>sust_emp_with_or_without_fs</t>
  </si>
  <si>
    <t>sust_emp_fs_or_both</t>
  </si>
  <si>
    <t>fs_with_or_without_sust_emp</t>
  </si>
  <si>
    <t>earnings_include</t>
  </si>
  <si>
    <t>earnings_LQ</t>
  </si>
  <si>
    <t>earnings_median</t>
  </si>
  <si>
    <t>earnings_UQ</t>
  </si>
  <si>
    <t>earnings_LQ_RTE</t>
  </si>
  <si>
    <t>earnings_median_RTE</t>
  </si>
  <si>
    <t>earnings_UQ_RTE</t>
  </si>
  <si>
    <t>country</t>
  </si>
  <si>
    <t>domicile</t>
  </si>
  <si>
    <t>median_nominal_fd</t>
  </si>
  <si>
    <t>median_nominal_l7t</t>
  </si>
  <si>
    <t>median_nominal_l8</t>
  </si>
  <si>
    <t>sust_emp_fs_both_fd</t>
  </si>
  <si>
    <t>sust_emp_fs_both_l7t</t>
  </si>
  <si>
    <t>sust_emp_fs_both_l8</t>
  </si>
  <si>
    <t>industry_1_yag</t>
  </si>
  <si>
    <t>industry_3_yag</t>
  </si>
  <si>
    <t>industry_5_yag</t>
  </si>
  <si>
    <t>qualification_TR</t>
  </si>
  <si>
    <t>count</t>
  </si>
  <si>
    <t>SECTIONNAME</t>
  </si>
  <si>
    <t>trained_in_region</t>
  </si>
  <si>
    <t>living_in_region</t>
  </si>
  <si>
    <t>difference</t>
  </si>
  <si>
    <t>difference_prop</t>
  </si>
  <si>
    <t>number_of_providers</t>
  </si>
  <si>
    <t>group_name</t>
  </si>
  <si>
    <t>num_providers</t>
  </si>
  <si>
    <t>median_provider_earnings</t>
  </si>
  <si>
    <t>providers_male_earnings_greater</t>
  </si>
  <si>
    <t>providers_earnings_equal</t>
  </si>
  <si>
    <t>providers_female_earnings_greater</t>
  </si>
  <si>
    <t>prop_male_earnings_greater</t>
  </si>
  <si>
    <t>prop_equal</t>
  </si>
  <si>
    <t>prop_female_earnings_greater</t>
  </si>
  <si>
    <t>female_over_15_pct_greater</t>
  </si>
  <si>
    <t>female_5_15_pct_greater</t>
  </si>
  <si>
    <t>equal_within_5pct</t>
  </si>
  <si>
    <t>male_5_15_pct_greater</t>
  </si>
  <si>
    <t>male_over_15_pct_greater</t>
  </si>
  <si>
    <t>PA_band</t>
  </si>
  <si>
    <t>earnings_max</t>
  </si>
  <si>
    <t>prop_in_PA_band</t>
  </si>
  <si>
    <t>providers_include</t>
  </si>
  <si>
    <t>earnings_min</t>
  </si>
  <si>
    <t>providers_earnings</t>
  </si>
  <si>
    <t>earnings_diff</t>
  </si>
  <si>
    <t>decrease_over_10_pct</t>
  </si>
  <si>
    <t>decrease_5_10_pct</t>
  </si>
  <si>
    <t>within_5_pct</t>
  </si>
  <si>
    <t>increase_5_10_pct</t>
  </si>
  <si>
    <t>increase_over_10_pct</t>
  </si>
  <si>
    <t>providers_outcomes</t>
  </si>
  <si>
    <t>outcomes_min</t>
  </si>
  <si>
    <t>outcomes_LQ</t>
  </si>
  <si>
    <t>outcomes_median</t>
  </si>
  <si>
    <t>outcomes_UQ</t>
  </si>
  <si>
    <t>outcomes_max</t>
  </si>
  <si>
    <t>outcomes_diff</t>
  </si>
  <si>
    <t>num_providers_1415_1920</t>
  </si>
  <si>
    <t>prop_5_plus_pct_decrease_1415_1920</t>
  </si>
  <si>
    <t>prop_within_5_pct_1415_1920</t>
  </si>
  <si>
    <t>prop_5_10_pct_increase_1415_1920</t>
  </si>
  <si>
    <t>prop_10_20_pct_increase_1415_1920</t>
  </si>
  <si>
    <t>prop_20_plus_pct_increase_1415_1920</t>
  </si>
  <si>
    <t>progression_rate</t>
  </si>
  <si>
    <t>High_Tariff_progression_rate_FSM</t>
  </si>
  <si>
    <t>High_Tariff_progression_rate_NonFSM</t>
  </si>
  <si>
    <t>High_Tariff_progression_rate</t>
  </si>
  <si>
    <t>progression_rate_gap</t>
  </si>
  <si>
    <t>High_Tariff_progression_rate_gap</t>
  </si>
  <si>
    <t>number_of_HE_students</t>
  </si>
  <si>
    <t>number_of_HighTariff_HE_students</t>
  </si>
  <si>
    <t>number_of_students</t>
  </si>
  <si>
    <t>progression_rate_gap_FSM</t>
  </si>
  <si>
    <t>High_Tariff_progression_rate_White</t>
  </si>
  <si>
    <t>progression_rate_increase_Black</t>
  </si>
  <si>
    <t>progression_rate_Female</t>
  </si>
  <si>
    <t>progression_rate_FSM_Inner_London</t>
  </si>
  <si>
    <t>progression_rate_state</t>
  </si>
  <si>
    <t>progression_rate_independent</t>
  </si>
  <si>
    <t>High_Tariff_progression_rate_state</t>
  </si>
  <si>
    <t>High_Tariff_progression_rate_independent</t>
  </si>
  <si>
    <t>SEN_Status</t>
  </si>
  <si>
    <t>Tariff_Grouping</t>
  </si>
  <si>
    <t>Mean_tariff</t>
  </si>
  <si>
    <t>TEF_Rating</t>
  </si>
  <si>
    <t>percentage_HE_students</t>
  </si>
  <si>
    <t>number_of_achievements_total</t>
  </si>
  <si>
    <t>he_type_broad</t>
  </si>
  <si>
    <t>percentage_all_achievements_by_characteristic</t>
  </si>
  <si>
    <t>percentage_entrants_by_characteristic</t>
  </si>
  <si>
    <t>percentage_all_enrolments_by_characteristic</t>
  </si>
  <si>
    <t>entrants_level4</t>
  </si>
  <si>
    <t>entrants_level5</t>
  </si>
  <si>
    <t>entrants_level6</t>
  </si>
  <si>
    <t>entrants_level7</t>
  </si>
  <si>
    <t>entrants_level8</t>
  </si>
  <si>
    <t>percentage_HEPs</t>
  </si>
  <si>
    <t>IMD_quintile</t>
  </si>
  <si>
    <t>primary_funding_source</t>
  </si>
  <si>
    <t>provider_category</t>
  </si>
  <si>
    <t>CAH_subject_first_level_grouping</t>
  </si>
  <si>
    <t>CAH_subject_second_level_grouping</t>
  </si>
  <si>
    <t>technical_route</t>
  </si>
  <si>
    <t>graduate_characteristic</t>
  </si>
  <si>
    <t>graduate_breakdown</t>
  </si>
  <si>
    <t>graduate_type</t>
  </si>
  <si>
    <t>graduate_group</t>
  </si>
  <si>
    <t>Graduate Employment Rate</t>
  </si>
  <si>
    <t>Graduate High-Skilled Employment Rate</t>
  </si>
  <si>
    <t>Median Salary for Graduates (to the nearest £500)</t>
  </si>
  <si>
    <t>Median Salary Premium for Graduates over Non-Graduates</t>
  </si>
  <si>
    <t>Employment_rate</t>
  </si>
  <si>
    <t>High_skill_emp_rate</t>
  </si>
  <si>
    <t>Unemployment_rate</t>
  </si>
  <si>
    <t>Inactivity_rate</t>
  </si>
  <si>
    <t>proportion_part_time_workers</t>
  </si>
  <si>
    <t>Emp_prop</t>
  </si>
  <si>
    <t>Emp_prop_upper</t>
  </si>
  <si>
    <t>Emp_prop_lower</t>
  </si>
  <si>
    <t>HSEmp_prop</t>
  </si>
  <si>
    <t>HSEmp_prop_upper</t>
  </si>
  <si>
    <t>HSEmp_prop_lower</t>
  </si>
  <si>
    <t>Unemp_prop</t>
  </si>
  <si>
    <t>Unemp_prop_upper</t>
  </si>
  <si>
    <t>Unemp_prop_lower</t>
  </si>
  <si>
    <t>FE</t>
  </si>
  <si>
    <t>Achievement Rates Learner Characteristics; vol,rates by level, age, sex eth, LLD</t>
  </si>
  <si>
    <t>x</t>
  </si>
  <si>
    <t>Achievement Rates Learner Characteristics; volumes, rates std-fw, stem, ssat1, detailed level, age, IMD quintile</t>
  </si>
  <si>
    <t>Achievement Rates Providers - Volumes and Rates by Provider type, SSA T1, Level, Age</t>
  </si>
  <si>
    <t>Achievement rate, learner characteristics</t>
  </si>
  <si>
    <t>Achievement rate, learner characteristics inc SEN</t>
  </si>
  <si>
    <t>Achievement rate providers vol and rates</t>
  </si>
  <si>
    <t>Achievement rate providers vol and rates; standard framework</t>
  </si>
  <si>
    <t>Achievement rate providers vol and rates; standard framework; detailed level</t>
  </si>
  <si>
    <t>X</t>
  </si>
  <si>
    <t>Acievement Rates Subjects - Volumes and Rates by STEM, SSAT1, Level,Age, Eth,Sex, LLDD</t>
  </si>
  <si>
    <t>Adverts and Vacancy level per month</t>
  </si>
  <si>
    <t>Commitments</t>
  </si>
  <si>
    <t>Duration</t>
  </si>
  <si>
    <t>geographical breakdowns of apprenticeship starts</t>
  </si>
  <si>
    <t>Geographical breakdowns of apprenticeship starts,participation, and achievements</t>
  </si>
  <si>
    <t xml:space="preserve">	
Detailed geographical breakdowns (English Devolved Area; Local Enterprise Partnership) of apprenticeship starts and achievements</t>
  </si>
  <si>
    <t xml:space="preserve">	
Detailed geographical breakdowns (National, Regional, Local Authority District, Local Authority, Parliamentary Constituency) of Starts, Participation and Achievements by population rate per 100,000</t>
  </si>
  <si>
    <t>Detailed geographical breakdowns (National, Regional, Local Authority District) of  apprenticeship starts and achievements</t>
  </si>
  <si>
    <t xml:space="preserve">	
Headline breakdowns of apprenticeship starts, achievements and participation</t>
  </si>
  <si>
    <t>Time series of headline apprenticeship figures</t>
  </si>
  <si>
    <t>Apprenticeship participation by apprentice home deprivation (Indices of Multiple Deprivation quintile)</t>
  </si>
  <si>
    <t xml:space="preserve">	
Apprenticeship starts and achievements by apprentice home deprivation (Indices of Multiple Deprivation quintile)</t>
  </si>
  <si>
    <t>Time series of apprenticeship starts, achievements, participation, by learner characteristics</t>
  </si>
  <si>
    <t xml:space="preserve">	
Apprenticeship participation by apprentice home deprivation (Indices of Multiple Deprivation quintile)</t>
  </si>
  <si>
    <t xml:space="preserve">	
Time series of apprenticeship starts, achievements, participation, by learner characteristics</t>
  </si>
  <si>
    <t>Headline demographic summary of apprenticeship starts</t>
  </si>
  <si>
    <t>Apprenticeship starts, achievements and participation by</t>
  </si>
  <si>
    <t xml:space="preserve">	
Monthly breakdowns of the latest available apprenticeship starts</t>
  </si>
  <si>
    <t xml:space="preserve">	
Breakdowns of apprenticeship starts and achievements by individual provider</t>
  </si>
  <si>
    <t xml:space="preserve">Summary statistics of data submitted by public sector organisations across all  four years of the public sector apprenticeship target </t>
  </si>
  <si>
    <t>Redundancies recorded on the apprenticeship service as of 08 February 2023</t>
  </si>
  <si>
    <t xml:space="preserve">	
Headline summary of apprenticeship starts and achievements by sector subject area</t>
  </si>
  <si>
    <t>Time series of apprenticeship starts and achievements by level and funding type</t>
  </si>
  <si>
    <t>Time series of apprenticeship starts, achievements and enrolments by individual framework/standard and learner demographic details</t>
  </si>
  <si>
    <t xml:space="preserve">Time series of apprenticeship starts, achievements and enrolments by detailed sector subject area </t>
  </si>
  <si>
    <t xml:space="preserve">	
Time series of apprenticeship starts and enrolments by subject and learner demographics</t>
  </si>
  <si>
    <t xml:space="preserve">Headline demographic breakdowns of traineeship starts </t>
  </si>
  <si>
    <t xml:space="preserve">	
Full year demographic breakdowns of traineeship starts</t>
  </si>
  <si>
    <t>Traineeship national positive rate tables</t>
  </si>
  <si>
    <t>Breakdown of traineeship starts by individual provider</t>
  </si>
  <si>
    <t>Headline demographic breakdowns of traineeship starts</t>
  </si>
  <si>
    <t>data for graphs</t>
  </si>
  <si>
    <t>Further Education and skills</t>
  </si>
  <si>
    <t>Education and training national achievement rate tables_headline</t>
  </si>
  <si>
    <t>Education and training national achievement rate tables_detailed</t>
  </si>
  <si>
    <t>Education and training national achievement rate tables_deprivation</t>
  </si>
  <si>
    <t>Education and training national achievement rate tables_Provider</t>
  </si>
  <si>
    <t xml:space="preserve">	
Education and training national achievement rate tables_providerSummary</t>
  </si>
  <si>
    <t xml:space="preserve">	
Education and training national achievement rate tables_subjdetailed</t>
  </si>
  <si>
    <t>Education and training national achievement rate tables-subjdemographics</t>
  </si>
  <si>
    <t xml:space="preserve">	
Advanced learner loan applications and total loan amount awarded</t>
  </si>
  <si>
    <t xml:space="preserve">	
Adult (19+) Advanced learner loan-funded learner participation and achievements</t>
  </si>
  <si>
    <t xml:space="preserve">	
Adult (19+) AEB-funded learner participation and achievements</t>
  </si>
  <si>
    <t>Adult (19+) AEB-funded learner participation</t>
  </si>
  <si>
    <t xml:space="preserve">	
Basic skills participation and achievements subject breakdowns</t>
  </si>
  <si>
    <t xml:space="preserve">	
Basic skills total participation and total achievements geographical breakdowns</t>
  </si>
  <si>
    <t>Community learning geographical breakdowns</t>
  </si>
  <si>
    <t>Community learning detailed LLDD breakdowns</t>
  </si>
  <si>
    <t xml:space="preserve">	
Community learning detailed demographic breakdowns</t>
  </si>
  <si>
    <t>Community learning detailed provider breakdowns</t>
  </si>
  <si>
    <t>Further education and skills learner participation by indices of multiple deprivation breakdown</t>
  </si>
  <si>
    <t xml:space="preserve">	
Enrolments on courses included in the Free Courses for Jobs offer - summary</t>
  </si>
  <si>
    <t xml:space="preserve">	
Enrolments on courses included in the Free Courses for Jobs offer - detailed</t>
  </si>
  <si>
    <t>Adult (19+) Education and Training aim enrolments and achievements English devolved area breakdowns</t>
  </si>
  <si>
    <t>Adult (19+) Education and training learner participation and achievements detailed provider file</t>
  </si>
  <si>
    <t xml:space="preserve">	
Further education and skills detailed geography summary</t>
  </si>
  <si>
    <t>Adult (19+) learner participation and achievements</t>
  </si>
  <si>
    <t>Adult (19+) Further education and skills learner participation by provider type summary</t>
  </si>
  <si>
    <t>Adult (19+) Further education and skills learner participation and achievements</t>
  </si>
  <si>
    <t>Adult (19+) Further education and skills learner participation by demographic breakdown summary</t>
  </si>
  <si>
    <t xml:space="preserve">	
Further education and skills learner participation and achievements by detailed learning difficulty and/or disability</t>
  </si>
  <si>
    <t>Further education and skills learner participation and achievements detailed demographic breakdowns.</t>
  </si>
  <si>
    <t xml:space="preserve">Adult (19+) Further education and skills learner participation by demographic breakdown summary </t>
  </si>
  <si>
    <t>Adult (19+) Education and Training aim enrolments detailed provider breakdowns</t>
  </si>
  <si>
    <t xml:space="preserve">	
Adult (19+) Education and training learner participation and achievements detailed provider file</t>
  </si>
  <si>
    <t xml:space="preserve">	
Adult (19+) Education and Training aim enrolments detailed subject breakdowns</t>
  </si>
  <si>
    <t xml:space="preserve">	
Adult (19+) further education and skills aim enrolments and aim achievements broken down by sector subject area</t>
  </si>
  <si>
    <t>Historical time series of headline adult (19+) further education and skills learner participation, containing breakdowns by provision type and in some cases level</t>
  </si>
  <si>
    <t>Key latest headline figures</t>
  </si>
  <si>
    <t>estimated value-added, number of achievers, percentage contribution to total value-added</t>
  </si>
  <si>
    <t>skills index, value-added per learner index, index of achiever numbers</t>
  </si>
  <si>
    <t>Destinations</t>
  </si>
  <si>
    <r>
      <t xml:space="preserve">Participation in education, training and NEET age </t>
    </r>
    <r>
      <rPr>
        <b/>
        <sz val="11"/>
        <color theme="1"/>
        <rFont val="Calibri"/>
        <family val="2"/>
        <scheme val="minor"/>
      </rPr>
      <t>16 to 17</t>
    </r>
    <r>
      <rPr>
        <sz val="11"/>
        <color theme="1"/>
        <rFont val="Calibri"/>
        <family val="2"/>
        <scheme val="minor"/>
      </rPr>
      <t xml:space="preserve"> by local authority</t>
    </r>
  </si>
  <si>
    <t>National, regional and local authority NEET estimates by (academic) age, gender, ethnic group and special educational needs and disability (SEND)</t>
  </si>
  <si>
    <t>National, regional and local authority participation in education and training estimates by (academic) age, gender, ethnic group and special educational needs and disability (SEND).</t>
  </si>
  <si>
    <t xml:space="preserve">	
National, regional and local authority participation in education and training estimates by type of participation and duty to participate.</t>
  </si>
  <si>
    <t>National, regional and local authority NEET and participation in education and training estimates</t>
  </si>
  <si>
    <r>
      <t xml:space="preserve">Participation in education, training and employment age </t>
    </r>
    <r>
      <rPr>
        <b/>
        <sz val="11"/>
        <color theme="1"/>
        <rFont val="Calibri"/>
        <family val="2"/>
        <scheme val="minor"/>
      </rPr>
      <t>16 to 18</t>
    </r>
  </si>
  <si>
    <t xml:space="preserve">	
Number and proportion of population participating in education, training and employment by age, gender and labour market status.</t>
  </si>
  <si>
    <t xml:space="preserve">	
Number and proportion of population participating in education or training by age, gender, institution type and highest qualification aim</t>
  </si>
  <si>
    <t xml:space="preserve">	
Not in employment, education and training and Not in education and training estimates for England and the English regions for ages 16-24.</t>
  </si>
  <si>
    <t>Other sources comparisons</t>
  </si>
  <si>
    <t>Numbers and proportions of those 16-24 by health condition and NEET status from the Annual Population Survey (APS)</t>
  </si>
  <si>
    <t>National level destinations data for students leaving key stage 4 for different characteristic groups, provider types, and qualification levels</t>
  </si>
  <si>
    <t>Local authority; Local authority district; Opportunity area; Parliamentary constituency; Regional</t>
  </si>
  <si>
    <t xml:space="preserve">	
National level destinations headline data for students leaving key stage 4 study for different characteristic groups, provider types, and qualification levels</t>
  </si>
  <si>
    <t>National level destinations data for students leaving 16 to 18 study for different characteristic groups, provider types, and qualification levels</t>
  </si>
  <si>
    <t>local authority level destinations data for students leaving 16 to 18 study for different characteristic groups, provider types, and qualification levels</t>
  </si>
  <si>
    <t>National level destinations headline data for students leaving 16 to 18 study for different characteristic groups, provider types, and qualification levels</t>
  </si>
  <si>
    <t xml:space="preserve">employment and learning destinations of adult FE &amp; Skills learners, all age apprentices that achieved their learning aim, and Traineeship learners that completed their aim. </t>
  </si>
  <si>
    <t>employment and learning destinations of community learners that achieved their aim</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</si>
  <si>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</si>
  <si>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</si>
  <si>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t>
  </si>
  <si>
    <t>employment and learning destinations of community learners that achieved their learning aim, Broken down by provider, learner age, benefit status and provision of community learning.</t>
  </si>
  <si>
    <t>xx</t>
  </si>
  <si>
    <t>employment, and learning destinations of adult FE &amp; Skills learners, all age apprentices that achieved their learning aim, and Traineeship learners that completed their aim. Broken down by provider, provision, provider type, level of learning and sector subject area (tiers 1 &amp; 2).</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</si>
  <si>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</si>
  <si>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</si>
  <si>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aim.2013/14 to 2015/16</t>
  </si>
  <si>
    <r>
      <t>employment and learning destinations of adult FE &amp; Skills learners, all age apprentices that achieved their learning aim, and Traineeship learners that completed their aim.</t>
    </r>
    <r>
      <rPr>
        <b/>
        <sz val="11"/>
        <color theme="1"/>
        <rFont val="Calibri"/>
        <family val="2"/>
        <scheme val="minor"/>
      </rPr>
      <t xml:space="preserve"> Broken down by local authority district, provision,  level of learning and learner demographics and sector subject area (tiers 1 &amp; 2).</t>
    </r>
  </si>
  <si>
    <t>employment and learning destinations of adult FE &amp; Skills learners, all age apprentices that achieved their learning aim, and Traineeship learners that completed their aim. Broken down by local education authority, provision, level of learning and learner demographics</t>
  </si>
  <si>
    <t>employment and learning destinations of adult FE &amp; Skills learners, all age apprentices that achieved their learning aim, and Traineeship learners that completed their aim, Broken down by local education authority, provision, level of learning and sector subject area (tiers 1 &amp; 2)</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</si>
  <si>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learner demographics</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</si>
  <si>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</si>
  <si>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employment and learning destinations of adult FE &amp; Skills learners, all age apprentices that achieved their learning aim, and Traineeship learners that completed their aim, Broken down by Local Enterprise Partnership, provision, level of learning and sector subject area (tiers 1 &amp; 2)</t>
  </si>
  <si>
    <t>earnings one to five years after learning for adult FE &amp; Skills learners, all age apprentices, that achieved their learning aim at Full level 2, Full level 3 and level 4+. Broken down by provision, level of learning, gender, ethnicity, sector subject areas (tier 1 &amp; 2) and qualification title</t>
  </si>
  <si>
    <t>employment industry sector for learners who have a sustained employment destination. Broken down by provision, apprenticeship type, level of learning, sector subject areas 1&amp;2, ethnicity and gender
Broken down by provision, apprenticeship type, level of learning, sector subject areas 1&amp;2, ethnicity and gender</t>
  </si>
  <si>
    <t xml:space="preserve">employment industry sector for learners who have a sustained employment destination.  Broken down by provision, apprenticeship type, level of learning, sector subject areas 1&amp;2, and regional breakdowns
Broken down by provision, apprenticeship type, level of learning, sector subject areas 1&amp;2, and regional breakdowns. </t>
  </si>
  <si>
    <t xml:space="preserve">	
Progression to higher education or training at national level, including breakdowns by institution type and student characteristics</t>
  </si>
  <si>
    <t>Dataset used to produce headline figure, containing national-level progression rate.</t>
  </si>
  <si>
    <t>Progression to higher education or training data by local authority, parliamentary constituency, and region</t>
  </si>
  <si>
    <t>National level destinations headline data 1, 3 and 5 years after students leave key stage 4 (2014/15 cohort)</t>
  </si>
  <si>
    <t>Institution level Destinations data 1, 3 and 5 years after students leave key stage 4 (2014/15 cohort)</t>
  </si>
  <si>
    <t xml:space="preserve">	
Local Authority destinations data 1, 3 and 5 years after students leave key stage 4 (2014/15 cohort) by different geography levels, characteristics groups, provider types and qualification levels</t>
  </si>
  <si>
    <t xml:space="preserve">	
National level destinations data 1, 3 and 5 years after students leave key stage 4 (2014/15 cohort) for different characteristic groups, provider types, and qualification levels</t>
  </si>
  <si>
    <t>Number and proportion of population participating in education, training and employment by age, gender and labour market status.</t>
  </si>
  <si>
    <t>HE Participation by age 25 (CHEP-25) key stats</t>
  </si>
  <si>
    <t>HE participation by ages 25, 20 and 30 (CHEP-25, CHEP-20, CHEP-30)</t>
  </si>
  <si>
    <t>HE participation by specific age, including a cumulative rate</t>
  </si>
  <si>
    <t>HE participation (CHEP-25, CHEP-20, CHEP-30) by gender</t>
  </si>
  <si>
    <t>HE participation (CHEP-25, CHEP-20, CHEP-30) by region</t>
  </si>
  <si>
    <t>HE participation (CHEP-25, CHEP-20, CHEP-30) by level of study</t>
  </si>
  <si>
    <t>HE participation (CHEP-25, CHEP-20, CHEP-30) by mode of study</t>
  </si>
  <si>
    <t xml:space="preserve">	
A comparison of a HEIP-like projection using the new cohort-based figures against the old HEIP projection measure</t>
  </si>
  <si>
    <t>percentages in the aged 25-29 population qualified to Level 4 and above.</t>
  </si>
  <si>
    <t>Graduate populations of UK domiciled graduates of English Higher Education Institutions (HEIs), Alternative Providers (APs) and Further Education Colleges (FECs), one, three, five and ten years after graduation (YAG), 2019/20 tax year.</t>
  </si>
  <si>
    <t>Employment and earnings outcomes for countries with top 20 largest first degree and level 7 cohorts (2017/18 academic year) of English HEIs, APs and FECs, one, three and five YAG, 2014/15 to 2019/20 tax year</t>
  </si>
  <si>
    <t>Nominal and real terms earnings outcomes for UK domiciled first degree and level 7 graduates of English Higher Education Institutions (HEIs), Alternative Providers (APs) and Further Education Colleges (FECs), one, three, five and ten years after graduation (YAG), 2014/15 to 2019/20 tax year.</t>
  </si>
  <si>
    <t>Employment and earnings outcomes for UK domiciled graduates of English Higher Education Institutions (HEIs), Alternative Providers (APs) and Further Education Colleges (FECs), one, three, five and ten years after graduation (YAG), 2014/15 to 2019/20 tax year.</t>
  </si>
  <si>
    <t>Headline employment and earnings outcomes for UK domiciled graduates and postgraduates of English Higher Education (HE) providers, five years after graduation (YAG), 2019/20 tax year.</t>
  </si>
  <si>
    <t>2013/14 academic year graduates of English Higher Education Institutions (HEIs), Alternative Providers (APs) and Further Education Colleges (FECs), one and three years after graduation (YAG)</t>
  </si>
  <si>
    <t>2013/14 academic year graduates of English Higher Education Institutions (HEIs), Alternative Providers (APs) and Further Education Colleges (FECs), three and five years after graduation (YAG)</t>
  </si>
  <si>
    <t>Regional. Graduate populations of UK domiciled graduates of English Higher Education Institutions (HEIs), Alternative Providers (APs) and Further Education Colleges (FECs), one, three, five and ten years after graduation (YAG), 2019/20 tax year.</t>
  </si>
  <si>
    <t>Regional movement. Graduate populations of UK domiciled graduates of English Higher Education Institutions (HEIs), Alternative Providers (APs) and Further Education Colleges (FECs), one, three, five and ten years after graduation (YAG), 2019/20 tax year.</t>
  </si>
  <si>
    <t>3 digit level. Graduate populations of UK domiciled graduates of English Higher Education Institutions (HEIs), Alternative Providers (APs) and Further Education Colleges (FECs), one, three, five and ten years after graduation (YAG), 2019/20 tax year.</t>
  </si>
  <si>
    <t>Earnings outcomes by current region. Median earnings across HEIs for each provider region and graduates' current region of residence five years after graduation, UK domiciled male and female first degree graduates from HEIs in Great Britain, 2019/20 tax year.</t>
  </si>
  <si>
    <t>Earnings by subject and sex. Comparison of median earnings across HEIs between male and female graduates for each subject area five years after graduation, UK domiciled male and female first degree graduates from HEIs in Great Britain, 2019/20 tax year.</t>
  </si>
  <si>
    <t>Earnings data by prior attainment bands across HEIs for each subject area five years after graduation, UK domiciled male and female first degree graduates from HEIs in Great Britain, 2019/20 tax year.</t>
  </si>
  <si>
    <t>Earnings outcomes by current region. Earnings data across HEIs for each graduates' current region of residence five years after graduation, UK domiciled male and female first degree graduates from HEIs in Great Britain, 2019/20 tax year.</t>
  </si>
  <si>
    <t>Effect of region at provider level. Comparison of raw median earnings and regionally adjusted median earnings across HEIs for each subject area five years after graduation, UK domiciled male and female first degree graduates from HEIs in Great Britain, 2019/20 tax year</t>
  </si>
  <si>
    <t>Outcome earnings. Employment and earnings outcomes across HEIs for each subject area five years after graduation, UK domiciled male and female first degree graduates from HEIs in Great Britain, 2019/20 tax year</t>
  </si>
  <si>
    <t>Comparison of outcomes between tax years. Comparison of median earnings in the 2014/15 and 2018/19 tax years across HEIs for each subject area five years after graduation, UK domiciled male and female first degree graduates from HEIs in Great Britain, 2019/20 tax year</t>
  </si>
  <si>
    <t xml:space="preserve">	
Progression to HE by pupil characteristics</t>
  </si>
  <si>
    <t xml:space="preserve">	
Progression to HE by Ethnic Group</t>
  </si>
  <si>
    <t xml:space="preserve">	
Progression to HE by Free School Meal status</t>
  </si>
  <si>
    <t>Progression to HE by Free School Meal status (including progression rate gap)</t>
  </si>
  <si>
    <t>Progression to HE by Free School Meal Status, Gender and Ethnic Group</t>
  </si>
  <si>
    <t>Progression to HE by Free School Meal Status, Gender and Ethnic Group - Regional level</t>
  </si>
  <si>
    <t xml:space="preserve">	
Progression to HE by Gender</t>
  </si>
  <si>
    <t>Key summary statistics</t>
  </si>
  <si>
    <t xml:space="preserve">	
Progression to HE by School Type</t>
  </si>
  <si>
    <t>Progression to HE by School Type (including progression rate gap)</t>
  </si>
  <si>
    <t>Progression to HE by Special Educational Need Status</t>
  </si>
  <si>
    <t xml:space="preserve">	
HE providers by tariff group</t>
  </si>
  <si>
    <t xml:space="preserve">	
HE students by Teaching Excellence and Students Outcomes Framework (TEF) rating</t>
  </si>
  <si>
    <t xml:space="preserve">	
Headline statistics </t>
  </si>
  <si>
    <t xml:space="preserve">	
English domiciled higher-level achievements in England by age group and mode of study, academic year 2020/21</t>
  </si>
  <si>
    <t>English domiciled higher-level achievements in England by disability, academic year 2020/21</t>
  </si>
  <si>
    <t>English domiciled higher-level achievements in England by ethnicity, academic year 2020/21</t>
  </si>
  <si>
    <t>English domiciled higher-level achievements in England by Index of Multiple Deprivation (IMD) quintile of domicile, academic year 2020/21</t>
  </si>
  <si>
    <t>English domiciled higher-level achievements in England by mode of study, academic years 2015/16 to 2020/21</t>
  </si>
  <si>
    <t>English domiciled higher-level achievements in England by primary funding source of tuition fees and mode of study, academic year 2020/21</t>
  </si>
  <si>
    <t xml:space="preserve">	
English domiciled higher-level achievements in England by registered provider type, academic year 2020/21</t>
  </si>
  <si>
    <t>English domiciled higher-level achievements in England by region of domicile, academic year 2020/21</t>
  </si>
  <si>
    <t>English domiciled higher-level achievements in England by sex, academic year 2020/21</t>
  </si>
  <si>
    <t>English domiciled higher-level achievements in England by subject area of study (Common Aggregation Hierarchy level 1), academic years 2019/20 to 2020/21</t>
  </si>
  <si>
    <t>English domiciled higher-level achievements in England by subject area of study (Common Aggregation Hierarchy level 2), academic years 2019/20 to 2020/21</t>
  </si>
  <si>
    <t>English domiciled higher-level achievements in England by technical route, academic year 2019/20 to 2020/21. OfS-recognised HE and Other Higher Level learners only (i.e. excluding apprenticeships and institutional credit)</t>
  </si>
  <si>
    <t>English domiciled higher-level achievements in England by type of higher level learning, academic years 2015/16 to 2020/21.</t>
  </si>
  <si>
    <t xml:space="preserve">	
English domiciled higher-level learners in England by age group and mode of study, academic year 2020/21</t>
  </si>
  <si>
    <t xml:space="preserve">	
English domiciled higher-level learners in England by disability, academic year 2020/21</t>
  </si>
  <si>
    <t>English domiciled higher-level learners in England by Equivalent or Lower Qualification (ELQ) status, academic year 2020/21</t>
  </si>
  <si>
    <t xml:space="preserve">	
English domiciled higher-level learners in England by ethnicity, academic year 2020/21</t>
  </si>
  <si>
    <t xml:space="preserve">	
English domiciled higher-level learners in England by Index of Multiple Deprivation (IMD) quintile of domicile, academic year 2020/21</t>
  </si>
  <si>
    <t>English domiciled higher-level learners in England by mode of study, academic years 2015/16 to 2020/21. OfS-recognised HE learners only.</t>
  </si>
  <si>
    <t xml:space="preserve">	
English domiciled higher-level learners in England by primary funding source of tuition fees and mode of study, academic year 2020/21</t>
  </si>
  <si>
    <t>English domiciled higher-level learners in England by registered provider type, academic year 2020/21</t>
  </si>
  <si>
    <t xml:space="preserve">	
English domiciled higher-level learners in England by qualification aim, academic year 2020/21</t>
  </si>
  <si>
    <t xml:space="preserve">	
English domiciled higher-level learners in England by region of domicile, academic year 2020/21</t>
  </si>
  <si>
    <t xml:space="preserve">	
English domiciled higher-level learners in England by sex, academic year 2020/21</t>
  </si>
  <si>
    <t>English domiciled higher-level learners in England by subject area of study (Common Aggregation Hierarchy level 1), academic years 2019/20 to 2020/21</t>
  </si>
  <si>
    <t>English domiciled higher-level learners in England by subject area of study (Common Aggregation Hierarchy level 2), academic years 2019/20 to 2020/21</t>
  </si>
  <si>
    <t>English domiciled higher-level learners in England by technical route, academic years 2019/20 to 2020/21. OfS-recognised HE and Other Higher Level learners only (i.e. excluding apprenticeships and institutional credit)</t>
  </si>
  <si>
    <t>English domiciled higher-level learners in England by type of higher level learning, academic years 2015/16 to 2020/21</t>
  </si>
  <si>
    <t>Graduate labour market statistics</t>
  </si>
  <si>
    <t xml:space="preserve">	
Graduate employment rates by disability status in 2021 </t>
  </si>
  <si>
    <t>Graduate employment rates by ethnicity in 2021</t>
  </si>
  <si>
    <t xml:space="preserve">	
Graduate employment rates and salaries in 2021, by age</t>
  </si>
  <si>
    <t xml:space="preserve">	
Graduate employment rates by degree class in 2021 </t>
  </si>
  <si>
    <t xml:space="preserve">Graduate employment rates by different demographics in 2021 </t>
  </si>
  <si>
    <t xml:space="preserve">	
Graduate median salaries by different demographics in 2021 </t>
  </si>
  <si>
    <t xml:space="preserve">	
Graduate median salaries by industry and gender in 2021 </t>
  </si>
  <si>
    <t>Headline figures in 2021</t>
  </si>
  <si>
    <t>Employment rates 2007 - 2021</t>
  </si>
  <si>
    <t>Part-time employment time series 2007 - 2021</t>
  </si>
  <si>
    <t>Quarterly employment rate time series 2007 - 2021</t>
  </si>
  <si>
    <t>Median salaries by different demographics time series 2007 - 2021</t>
  </si>
  <si>
    <t>total_number_of_starts_FY2122</t>
  </si>
  <si>
    <t>number_of_HGV_starts_FY2122</t>
  </si>
  <si>
    <t>number_of_nonHGV_starts_FY2122</t>
  </si>
  <si>
    <t>qualification_number</t>
  </si>
  <si>
    <t>gcse</t>
  </si>
  <si>
    <t>spd_percent</t>
  </si>
  <si>
    <t>emp_percent</t>
  </si>
  <si>
    <t>emp_only_percent</t>
  </si>
  <si>
    <t>emp_and_learn_percent</t>
  </si>
  <si>
    <t>learn_percent</t>
  </si>
  <si>
    <t>learn_only_percent</t>
  </si>
  <si>
    <t>he_percent</t>
  </si>
  <si>
    <t>fe_percent</t>
  </si>
  <si>
    <t>education_percent</t>
  </si>
  <si>
    <t>wholesale_retail_percent</t>
  </si>
  <si>
    <t>public_administration_percent</t>
  </si>
  <si>
    <t>professional_scientific_technical_percent</t>
  </si>
  <si>
    <t>transport_percent</t>
  </si>
  <si>
    <t>agriculture_percent</t>
  </si>
  <si>
    <t>health_and_social_care_percent</t>
  </si>
  <si>
    <t>construction_percent</t>
  </si>
  <si>
    <t>information_and_communication_percent</t>
  </si>
  <si>
    <t>administration_percent</t>
  </si>
  <si>
    <t>manufacturing_percent</t>
  </si>
  <si>
    <t>real_estate_percent</t>
  </si>
  <si>
    <t>arts_percent</t>
  </si>
  <si>
    <t>finance_percent</t>
  </si>
  <si>
    <t>hospitality_percent</t>
  </si>
  <si>
    <t>other_activities_percent</t>
  </si>
  <si>
    <t>sector_information_not_available_percent</t>
  </si>
  <si>
    <t>science_mathematics_percent</t>
  </si>
  <si>
    <t>retail_commercial_percent</t>
  </si>
  <si>
    <t>history_philosophy_theology_percent</t>
  </si>
  <si>
    <t>ict_percent</t>
  </si>
  <si>
    <t>social_sciences_percent</t>
  </si>
  <si>
    <t>leisure_travel_tourism_percent</t>
  </si>
  <si>
    <t>agric_hort_animalcare_percent</t>
  </si>
  <si>
    <t>lang_lit_culture_percent</t>
  </si>
  <si>
    <t>business_admin_law_percent</t>
  </si>
  <si>
    <t>eng_manufacturing_percent</t>
  </si>
  <si>
    <t>arts_media_pub_percent</t>
  </si>
  <si>
    <t>health_services_care_percent</t>
  </si>
  <si>
    <t>life_skills_percent</t>
  </si>
  <si>
    <t>subject_information_not_available_percent</t>
  </si>
  <si>
    <t>sustained_learning_destination</t>
  </si>
  <si>
    <t>sector</t>
  </si>
  <si>
    <t>subsector</t>
  </si>
  <si>
    <t>level_group</t>
  </si>
  <si>
    <t>qual_rank</t>
  </si>
  <si>
    <t>employees</t>
  </si>
  <si>
    <t>pct_qual</t>
  </si>
  <si>
    <t>pct_subject</t>
  </si>
  <si>
    <t>pct_level</t>
  </si>
  <si>
    <t>pct_subsector</t>
  </si>
  <si>
    <t>pct_sector</t>
  </si>
  <si>
    <t>pct_region</t>
  </si>
  <si>
    <t>next_qual_title</t>
  </si>
  <si>
    <t>next_level_group</t>
  </si>
  <si>
    <t>next_subject</t>
  </si>
  <si>
    <t>dest_rank</t>
  </si>
  <si>
    <t>pct_employees</t>
  </si>
  <si>
    <t>EmployerSize</t>
  </si>
  <si>
    <t>TwoDigitSector</t>
  </si>
  <si>
    <t>IMD</t>
  </si>
  <si>
    <t>entswithappstartsper1000</t>
  </si>
  <si>
    <t>pctstartsSME</t>
  </si>
  <si>
    <t>ASALevySupported</t>
  </si>
  <si>
    <t>Size</t>
  </si>
  <si>
    <t>LegalStatus</t>
  </si>
  <si>
    <t>ASALevySupportedStarts</t>
  </si>
  <si>
    <t>NumberofEnterprises</t>
  </si>
  <si>
    <t>ApprenticesPer1kEmployees</t>
  </si>
  <si>
    <t>EnterprisesWithAppsPer1kEnts</t>
  </si>
  <si>
    <t>number_of_participants_reported</t>
  </si>
  <si>
    <t>number_completing</t>
  </si>
  <si>
    <t>new_opportunities</t>
  </si>
  <si>
    <t>new_responsibilities</t>
  </si>
  <si>
    <t>new_employment</t>
  </si>
  <si>
    <t>new_role</t>
  </si>
  <si>
    <t>no_change</t>
  </si>
  <si>
    <t>SPD</t>
  </si>
  <si>
    <t>Emp</t>
  </si>
  <si>
    <t>SelfEmp</t>
  </si>
  <si>
    <t>EmpAndLearn</t>
  </si>
  <si>
    <t>Learn</t>
  </si>
  <si>
    <t>LearnOnly</t>
  </si>
  <si>
    <t>BelowL2</t>
  </si>
  <si>
    <t>EngMath</t>
  </si>
  <si>
    <t>Level2</t>
  </si>
  <si>
    <t>FullLevel2</t>
  </si>
  <si>
    <t>Level3</t>
  </si>
  <si>
    <t>FullLevel3</t>
  </si>
  <si>
    <t>Level4Plus</t>
  </si>
  <si>
    <t>NotAssigned</t>
  </si>
  <si>
    <t>App</t>
  </si>
  <si>
    <t>AppIntermediate</t>
  </si>
  <si>
    <t>AppAdvancedPlus</t>
  </si>
  <si>
    <t>AnyLearn</t>
  </si>
  <si>
    <t>NotSustained</t>
  </si>
  <si>
    <t>NotSustainedNB</t>
  </si>
  <si>
    <t>NotSustainedBenefit</t>
  </si>
  <si>
    <t>Benefits</t>
  </si>
  <si>
    <t>NoDest</t>
  </si>
  <si>
    <t>single_or_multi_site</t>
  </si>
  <si>
    <t>estab_type</t>
  </si>
  <si>
    <t>weight_base</t>
  </si>
  <si>
    <t>sample_size_w_vac</t>
  </si>
  <si>
    <t>has_vac</t>
  </si>
  <si>
    <t>has_htfv</t>
  </si>
  <si>
    <t>has_ssv</t>
  </si>
  <si>
    <t>has_skillgap</t>
  </si>
  <si>
    <t>has_trained</t>
  </si>
  <si>
    <t>vac_sum</t>
  </si>
  <si>
    <t>htfv_sum</t>
  </si>
  <si>
    <t>ssv_sum</t>
  </si>
  <si>
    <t>skillgaps</t>
  </si>
  <si>
    <t>trainees</t>
  </si>
  <si>
    <t>training_days</t>
  </si>
  <si>
    <t>vac_inc</t>
  </si>
  <si>
    <t>htfv_inc</t>
  </si>
  <si>
    <t>ssv_inc</t>
  </si>
  <si>
    <t>skillgap_inc</t>
  </si>
  <si>
    <t>training_inc</t>
  </si>
  <si>
    <t>vac_den</t>
  </si>
  <si>
    <t>htfv_den</t>
  </si>
  <si>
    <t>ssv_den</t>
  </si>
  <si>
    <t>skillgap_den</t>
  </si>
  <si>
    <t>training_den</t>
  </si>
  <si>
    <t>train_days_employee</t>
  </si>
  <si>
    <t>train_days_trainee</t>
  </si>
  <si>
    <t>iit_sample_size</t>
  </si>
  <si>
    <t>total_per_employee</t>
  </si>
  <si>
    <t>total_per_trainee</t>
  </si>
  <si>
    <t>sum_off_job_mn</t>
  </si>
  <si>
    <t>sum_on_job_mn</t>
  </si>
  <si>
    <t>sum_total_mn</t>
  </si>
  <si>
    <t>soc_4_labelled</t>
  </si>
  <si>
    <t>soc_3_labelled</t>
  </si>
  <si>
    <t>soc_2_labelled</t>
  </si>
  <si>
    <t>soc_1_labelled</t>
  </si>
  <si>
    <t>sample_estab_w_vac_for_x_occ</t>
  </si>
  <si>
    <t>phase</t>
  </si>
  <si>
    <t>t_schools</t>
  </si>
  <si>
    <t>t_pupils</t>
  </si>
  <si>
    <t>t_fte_teachers</t>
  </si>
  <si>
    <t>pupil_teacher_ratio</t>
  </si>
  <si>
    <t>t_students</t>
  </si>
  <si>
    <t>t_institutions</t>
  </si>
  <si>
    <t>t_unemployed</t>
  </si>
  <si>
    <t>t_economically_inactive</t>
  </si>
  <si>
    <t>t_population</t>
  </si>
  <si>
    <t>pt_neet</t>
  </si>
  <si>
    <t>t_age_1964</t>
  </si>
  <si>
    <t>pt_hiqual_nqf4</t>
  </si>
  <si>
    <t>pt_hiqual_nqf3</t>
  </si>
  <si>
    <t>pt_hiqual_nqf2</t>
  </si>
  <si>
    <t>pt_hiqual_scqf7</t>
  </si>
  <si>
    <t>pt_hiqual_scqf6</t>
  </si>
  <si>
    <t>pt_hiqual_scqf5</t>
  </si>
  <si>
    <t>education_function</t>
  </si>
  <si>
    <t>expenditure_type</t>
  </si>
  <si>
    <t>expenditure_level</t>
  </si>
  <si>
    <t>t_expenditure_millions</t>
  </si>
  <si>
    <t>t_expenditure_real_terms_millions</t>
  </si>
  <si>
    <t>pt_expenditure_of_gdp</t>
  </si>
  <si>
    <t>Headline demographic breakdowns of traineeship starts by region</t>
  </si>
  <si>
    <t>Headline demographic breakdowns of traineeship starts by Ethnicity Major, LLDD flag, Age group, Sex</t>
  </si>
  <si>
    <t>Traineeship national positive rate tables by Age Group, Sex, Learning Difficulty Disability, Ethnicity Major, Minority Ethnic</t>
  </si>
  <si>
    <t>Traineeship national positive rate tables by age group</t>
  </si>
  <si>
    <t>Headline demographic breakdowns of traineeship starts by Age group, Traineeship start quarter</t>
  </si>
  <si>
    <t xml:space="preserve">Learning destinations and progression of young learners by dempgraphics that achieved their FE &amp; Skills, and apprenticeship aims, and Traineeship learners that completed their aim. </t>
  </si>
  <si>
    <t>Employment, and learning destinations of adult FE &amp; Skills learners, all age apprentices that achieved their learning aim, and Traineeship learners that completed their aim</t>
  </si>
  <si>
    <t xml:space="preserve">Employment and learning destinations of adult FE &amp; Skills learners, all age apprentices that achieved their learning aim, and Traineeship learners that completed their aim. </t>
  </si>
  <si>
    <t>learning destinations and progression of young learners by provider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</si>
  <si>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 13/14 to 15/16</t>
  </si>
  <si>
    <t>employment, and learning destinations of adult FE &amp; Skills learners, all age apprentices that achieved their learning aim, and Traineeship learners that completed their aim 16/17 to 19/20</t>
  </si>
  <si>
    <t>learning destinations and progression of young learners by qualification title that achieved their FE &amp; Skills, and apprenticeship aims, and Traineeship learners that completed their aim.</t>
  </si>
  <si>
    <t xml:space="preserve">	
Number and proportion of population participating in education, training or employment by age, gender, institution type and highest qualification aim</t>
  </si>
  <si>
    <t>A summary of provider-reported Skills Bootcamps starts between April 2021 and March 2022 (FY2021-22)</t>
  </si>
  <si>
    <t>Detailed destinations of 16 to 18 year olds in Further Education</t>
  </si>
  <si>
    <t>Destinations by qualification Title, Sector Subject area, prior attainment and free school meal eligibility</t>
  </si>
  <si>
    <t>Industry sector of employment by qualification</t>
  </si>
  <si>
    <t>Subject area of learning destination by qualification</t>
  </si>
  <si>
    <t>Employee numbers and median earnings by region, sector, subsector, level and subject</t>
  </si>
  <si>
    <t>Qualification pathways for high earning employees</t>
  </si>
  <si>
    <t>Top qualifications by region and industry sector ordered by employee numbers</t>
  </si>
  <si>
    <t>Top ten qualifications by region and industry sector ordered by employee numbers</t>
  </si>
  <si>
    <t>Top ten qualifications by region and industry sector ordered by median earnings</t>
  </si>
  <si>
    <t>Apprenticeships in England by industry characteristics</t>
  </si>
  <si>
    <t>Broken down by region, enterprise size, two-digit SIC of enterprise, aim title and level.</t>
  </si>
  <si>
    <t>Broken down by enterprise size, two-digit SIC of enterprise, aim title, level, age band, ethnicity, IMD, level, LLDD, and gender.</t>
  </si>
  <si>
    <t>Number of enterprises with apprenticeship starts, per 1,000 enterprises in England</t>
  </si>
  <si>
    <t>Percentage of apprenticeship starts in SMEs in 2020/21</t>
  </si>
  <si>
    <t>Apprenticeship starts by enterprise characteristics. Broken down by levy status, enterprise size, two-digit SIC of enterprise, IMD, sector of enterprise and standard classification.</t>
  </si>
  <si>
    <t>Apprenticeship starts by enterprise characteristics and geography - LAD. Broken down by enterprise size, enterprise sector, levy status and local authority of workplace.</t>
  </si>
  <si>
    <t>Apprenticeship starts by enterprise characteristics and geography - ParlCon. Broken down by enterprise size, enterprise sector, levy status and parliamentary constituency of workplace.</t>
  </si>
  <si>
    <t>Apprenticeship starts by enterprise characteristics, SSA and apprenticeship level. Broken down by levy status, enterprise size, level, enterprise sector, sector subject area (tier 1), apprenticeship standard.</t>
  </si>
  <si>
    <t>Apprenticeship starts by enterprise characteristics, apprenticeship level, sex and age. Broken down by age band, levy status, ethnicity, IMD, level, LLDD, sector, gender, apprenticeship standard.</t>
  </si>
  <si>
    <t>Broken down by enterprise size,  aim title, level, sector subject area (Tier 1) and standard classification.</t>
  </si>
  <si>
    <t>Broken down by levy status, enterprise size, legal status, number of enterprises, enterprise sector, two-digit sector code of enterprise.</t>
  </si>
  <si>
    <t>Broken down by levy status, enterprise size, two-digit SIC of enterprise, IMD, sector of enterprise and standard classification. Broken down by levy status, enterprise size, two-digit SIC of enterprise, IMD, sector of enterprise and standard classification.</t>
  </si>
  <si>
    <t>Apprenticeship achievements by enterprise characteristics and geography - LAD. Broken down by enterprise size, enterprise sector, levy status and local authority of workplace.</t>
  </si>
  <si>
    <t>Apprenticeship achievements by enterprise characteristics and geography - ParlCon. Broken down by enterprise size, enterprise sector, levy status and parliamentary constituency of workplace.</t>
  </si>
  <si>
    <t>Apprenticeship achievements by enterprise characteristics, SSA and apprenticeship level. Broken down by levy status, enterprise size, level, enterprise sector, sector subject area (tier 1), apprenticeship standard.</t>
  </si>
  <si>
    <t>Apprenticeship achievements by enterprise characteristics, apprenticeship level, sex and age. Broken down by age band, levy status, ethnicity, IMD, level, LLDD, sector, gender, apprenticeship standard.</t>
  </si>
  <si>
    <t>Data covering the industry characteristics of apprenticeship starts and enterprises with apprenticeship starts in England as a proportion of workforce and business population by sector, where a match has been made between the ILR and the ONS IDBR.</t>
  </si>
  <si>
    <t>Number of FE learners going into employment and learning destinations by local authority district</t>
  </si>
  <si>
    <t xml:space="preserve">UK education  and training statistics </t>
  </si>
  <si>
    <t>Core indicators</t>
  </si>
  <si>
    <t>Investment in training</t>
  </si>
  <si>
    <t>Vacancy measures by occupational group</t>
  </si>
  <si>
    <t>School number</t>
  </si>
  <si>
    <t>Pupils numbers</t>
  </si>
  <si>
    <t>Teachers numbers</t>
  </si>
  <si>
    <t>Pupil to teacher ratios (PTRs)</t>
  </si>
  <si>
    <t>Further education students</t>
  </si>
  <si>
    <t>Higher education students</t>
  </si>
  <si>
    <t>Further education and Higher education institutions</t>
  </si>
  <si>
    <t>Not in Education, Employment or Training (NEET)</t>
  </si>
  <si>
    <t>Highest qualification among 19-64 year olds</t>
  </si>
  <si>
    <t>Education expenditure</t>
  </si>
  <si>
    <t>region code</t>
  </si>
  <si>
    <t>region name</t>
  </si>
  <si>
    <t>Variable name     |  Variable description</t>
  </si>
  <si>
    <t>Adult Apprenticeships</t>
  </si>
  <si>
    <t>Adult Education &amp; training</t>
  </si>
  <si>
    <t>Adult FE &amp; skills</t>
  </si>
  <si>
    <t>Adult FE &amp; skills - Level 4+</t>
  </si>
  <si>
    <t>Adult FE &amp; skills - Full Level 2</t>
  </si>
  <si>
    <t>Adult FE &amp; skills - Full Level3</t>
  </si>
  <si>
    <t>a_basic_skills</t>
  </si>
  <si>
    <t>Achievements Basic skills (Aug to Jul)</t>
  </si>
  <si>
    <t>a_below_level_2_excl_basic_skills</t>
  </si>
  <si>
    <t>Achievements Below level 2 (excluding basic skills) (Aug to Jul)</t>
  </si>
  <si>
    <t xml:space="preserve">a_full_level_2 </t>
  </si>
  <si>
    <t>Achievements Full level 2 (Aug to Jul)</t>
  </si>
  <si>
    <t>a_full_level_3</t>
  </si>
  <si>
    <t>Achievements Full level 3 (Aug to Jul)</t>
  </si>
  <si>
    <t>a_level_2</t>
  </si>
  <si>
    <t>Achievements Level 2 (Aug to Jul)</t>
  </si>
  <si>
    <t xml:space="preserve">a_level_3 </t>
  </si>
  <si>
    <t>Achievements Level 3 (Aug to Jul)</t>
  </si>
  <si>
    <t xml:space="preserve">a_level_4plus </t>
  </si>
  <si>
    <t>Achievements Level 4+ (Aug to Jul)</t>
  </si>
  <si>
    <t xml:space="preserve">a_no_level_assigned </t>
  </si>
  <si>
    <t>Achievements No level assigned (Aug to Jul)</t>
  </si>
  <si>
    <t xml:space="preserve">a_total </t>
  </si>
  <si>
    <t>Total Achievements (Aug to Jul)</t>
  </si>
  <si>
    <t>Academic year</t>
  </si>
  <si>
    <t>Achievements Basic skills</t>
  </si>
  <si>
    <t>Achievement Basic skills  (Aug to Jul)</t>
  </si>
  <si>
    <t>Achievements Below level 2 (excluding basic skills)</t>
  </si>
  <si>
    <t>Achievement Below Level 2 (excluding Basic skills ) (Aug to Jul)</t>
  </si>
  <si>
    <t>Achievements Family english maths and language</t>
  </si>
  <si>
    <t>ach_feml</t>
  </si>
  <si>
    <t>Achievement -Family english maths and language</t>
  </si>
  <si>
    <t>Achievements Full level 2</t>
  </si>
  <si>
    <t xml:space="preserve">ach_full_l2 </t>
  </si>
  <si>
    <t>Achievement Full Level 2 (Aug to Jul)</t>
  </si>
  <si>
    <t>Achievements Full level 3</t>
  </si>
  <si>
    <t xml:space="preserve">ach_full_l3 </t>
  </si>
  <si>
    <t>Achievement Full Level 3 (Aug to Jul)</t>
  </si>
  <si>
    <t>Achievements Level 2</t>
  </si>
  <si>
    <t>Achievement Level 2 (Aug to Jul)</t>
  </si>
  <si>
    <t>Achievements Level 3</t>
  </si>
  <si>
    <t>Achievement Level 3 (Aug to Jul)</t>
  </si>
  <si>
    <t>Achievements Level 4+</t>
  </si>
  <si>
    <t>Achievements Neighbourhood learning in deprived communities</t>
  </si>
  <si>
    <t>ach_nldc</t>
  </si>
  <si>
    <t>Achievement - Neighbourhood learning in deprived communities</t>
  </si>
  <si>
    <t>Achievements No level assigned</t>
  </si>
  <si>
    <t>Achievement No Level Assigned (Aug to Jul)</t>
  </si>
  <si>
    <t>ach_pcdl</t>
  </si>
  <si>
    <t>Achievement - Personal and community development learning</t>
  </si>
  <si>
    <t>Achievements Personal and community development learning</t>
  </si>
  <si>
    <t>Total Achievements</t>
  </si>
  <si>
    <t>ach_total  |  Achievement - All community learning</t>
  </si>
  <si>
    <t>ach_wfl</t>
  </si>
  <si>
    <t>Achievement - Wider family learning</t>
  </si>
  <si>
    <t xml:space="preserve">ach_wider_family_learning </t>
  </si>
  <si>
    <t>Achievements Wider family learning</t>
  </si>
  <si>
    <t>achievement_change_percent</t>
  </si>
  <si>
    <t xml:space="preserve"> Achievement Percentage Change</t>
  </si>
  <si>
    <t>achievement_percent</t>
  </si>
  <si>
    <t>Achievement Percentage</t>
  </si>
  <si>
    <t>achievement_rate</t>
  </si>
  <si>
    <t>Achievement Rate</t>
  </si>
  <si>
    <t>achievements</t>
  </si>
  <si>
    <t>Achievements</t>
  </si>
  <si>
    <t>Apprenticeships Achievements</t>
  </si>
  <si>
    <t xml:space="preserve">achievements_et </t>
  </si>
  <si>
    <t>Education and Training Achievements</t>
  </si>
  <si>
    <t>achievements_percent</t>
  </si>
  <si>
    <t>Achievements Percentage</t>
  </si>
  <si>
    <t>Achievements Percentage Change</t>
  </si>
  <si>
    <t>Achievements Percentage by Provider type and Level</t>
  </si>
  <si>
    <t xml:space="preserve">achievements_percentage_within_year </t>
  </si>
  <si>
    <t>Achievements  Percentage by Age Level and Funding Type</t>
  </si>
  <si>
    <t>Indicative achievements rate per 100,000 population</t>
  </si>
  <si>
    <t xml:space="preserve">achievers </t>
  </si>
  <si>
    <t>Achievers</t>
  </si>
  <si>
    <t>Advanced Learners</t>
  </si>
  <si>
    <t>Adverts</t>
  </si>
  <si>
    <t>aeb</t>
  </si>
  <si>
    <t>Adult education budget</t>
  </si>
  <si>
    <t>Age group</t>
  </si>
  <si>
    <t>Age group (with unknowns)</t>
  </si>
  <si>
    <t xml:space="preserve">age_summary_with_unknowns </t>
  </si>
  <si>
    <t>Age (under 19/19+)</t>
  </si>
  <si>
    <t>aim_enrolments</t>
  </si>
  <si>
    <t>Enrolments</t>
  </si>
  <si>
    <t>All Participation Percentage Change</t>
  </si>
  <si>
    <t>Apprenticeships - Advanced</t>
  </si>
  <si>
    <t>Apprentices at end of period (thousands)</t>
  </si>
  <si>
    <t>Apprenticeships - Higher</t>
  </si>
  <si>
    <t>Apprenticeships - Intermediate</t>
  </si>
  <si>
    <t>New apprentices in period (thousands)</t>
  </si>
  <si>
    <t>Cumulative new apprentices over 4-year period 2017/18 to 2020/21 (thousands)</t>
  </si>
  <si>
    <t>Apprentices prior to period (thousands)</t>
  </si>
  <si>
    <t>Apprenticeship starts following t'ship</t>
  </si>
  <si>
    <t>Apprenticeships or further education</t>
  </si>
  <si>
    <t>All age Apprenticeships</t>
  </si>
  <si>
    <t>Approved applications</t>
  </si>
  <si>
    <t>Mandatory degree</t>
  </si>
  <si>
    <t>Apprenticeship level</t>
  </si>
  <si>
    <t>Level</t>
  </si>
  <si>
    <t>Detailed apprenticeship level</t>
  </si>
  <si>
    <t>Received applications</t>
  </si>
  <si>
    <t>Average expected duration (days)</t>
  </si>
  <si>
    <t>Number of employers included in period</t>
  </si>
  <si>
    <t>Characteristic</t>
  </si>
  <si>
    <t xml:space="preserve">cl </t>
  </si>
  <si>
    <t>Community learning</t>
  </si>
  <si>
    <t>Community learning participation</t>
  </si>
  <si>
    <t>community_learning_type</t>
  </si>
  <si>
    <t>Community Learning Type</t>
  </si>
  <si>
    <t>Completers</t>
  </si>
  <si>
    <t>Traineeship completion rate</t>
  </si>
  <si>
    <t>Conversion rate into apprenticeship</t>
  </si>
  <si>
    <t>demographic</t>
  </si>
  <si>
    <t xml:space="preserve">demographic </t>
  </si>
  <si>
    <t>description</t>
  </si>
  <si>
    <t>detailed_level</t>
  </si>
  <si>
    <t>Aim Achievements</t>
  </si>
  <si>
    <t>Aim Enrolments</t>
  </si>
  <si>
    <t>Headcount at end of period (thousands)</t>
  </si>
  <si>
    <t>New employees in period (thousands)</t>
  </si>
  <si>
    <t>Headcount prior to period (thousands)</t>
  </si>
  <si>
    <t>Cumulative headcount over 4-year period 2017/18 to 2020/21 (thousands)</t>
  </si>
  <si>
    <t>Employment status</t>
  </si>
  <si>
    <t>enrolments</t>
  </si>
  <si>
    <t>Education and Training Enrolments</t>
  </si>
  <si>
    <t>Enrolments by eligible adults on offer courses (under original offer)</t>
  </si>
  <si>
    <t>Enrolments by adults taking up Free Courses for Jobs (including under extended offer from Apr22)</t>
  </si>
  <si>
    <t>Enrolments by adults taking up Free Courses for Jobs (under original offer)</t>
  </si>
  <si>
    <t>enrols</t>
  </si>
  <si>
    <t>Adult (19+) education and training participation</t>
  </si>
  <si>
    <t>Ethnicity Major</t>
  </si>
  <si>
    <t>Ethnicity Minor</t>
  </si>
  <si>
    <t xml:space="preserve">ethnicity_minor </t>
  </si>
  <si>
    <t>Participation Family english maths and language</t>
  </si>
  <si>
    <t>Adult (19+) further education and skills participation</t>
  </si>
  <si>
    <t>funding_type</t>
  </si>
  <si>
    <t>Funding type</t>
  </si>
  <si>
    <t>fwk_std_flag</t>
  </si>
  <si>
    <t>group</t>
  </si>
  <si>
    <t>higher_learners</t>
  </si>
  <si>
    <t>Higher Learners</t>
  </si>
  <si>
    <t>ILR snapshot and L3 offer course list used</t>
  </si>
  <si>
    <t>Intermediate Learners</t>
  </si>
  <si>
    <t>Latest levy status</t>
  </si>
  <si>
    <t>Learner characteristic</t>
  </si>
  <si>
    <t>learner_home_depriv</t>
  </si>
  <si>
    <t>Learner deprivation</t>
  </si>
  <si>
    <t xml:space="preserve">learner_home_IMD </t>
  </si>
  <si>
    <t>Learning Aim Title</t>
  </si>
  <si>
    <t>Learning Difficulty Disability</t>
  </si>
  <si>
    <t>Leavers</t>
  </si>
  <si>
    <t xml:space="preserve">length_employment </t>
  </si>
  <si>
    <t>Length of Employment</t>
  </si>
  <si>
    <t xml:space="preserve">level </t>
  </si>
  <si>
    <t>Level 3</t>
  </si>
  <si>
    <t>Level 4+</t>
  </si>
  <si>
    <t>Level 6 plus</t>
  </si>
  <si>
    <t xml:space="preserve">level_or_type </t>
  </si>
  <si>
    <t>Level or type</t>
  </si>
  <si>
    <t>Learner with Learning Difficulties or Disabilities</t>
  </si>
  <si>
    <t xml:space="preserve">lldd_primary </t>
  </si>
  <si>
    <t>Primary learning difficulty/disability</t>
  </si>
  <si>
    <t>Total loan amount awarded (£000s)</t>
  </si>
  <si>
    <t xml:space="preserve">minority_ethnic </t>
  </si>
  <si>
    <t>Minority Ethnic</t>
  </si>
  <si>
    <t>Month</t>
  </si>
  <si>
    <t>Participation Neighbourhood learning in deprived communities</t>
  </si>
  <si>
    <t>Detailed level</t>
  </si>
  <si>
    <t>Number of courses available during period under Free Courses for Jobs offer</t>
  </si>
  <si>
    <t>Participation Basic skills (Aug to Jul)</t>
  </si>
  <si>
    <t>p_below_level_2_excl_basic_skills</t>
  </si>
  <si>
    <t>Participation Below level 2 (excluding basic skills) (Aug to Jul)</t>
  </si>
  <si>
    <t>Participation Below Level 2 (excluding Basic skills) (Aug to Jul)</t>
  </si>
  <si>
    <t>Participation Below level 2 (excluding basic skills)</t>
  </si>
  <si>
    <t>p_feml</t>
  </si>
  <si>
    <t>Participation - Family english maths and language</t>
  </si>
  <si>
    <t>Participation Full level 2</t>
  </si>
  <si>
    <t>Participation Full level 3</t>
  </si>
  <si>
    <t>p_full_level_3</t>
  </si>
  <si>
    <t>Participation Full level 3 (Aug to Jul)</t>
  </si>
  <si>
    <t>Participation Level 2</t>
  </si>
  <si>
    <t xml:space="preserve">p_l3 </t>
  </si>
  <si>
    <t>Participation Level 3</t>
  </si>
  <si>
    <t>Participation Level 4+</t>
  </si>
  <si>
    <t xml:space="preserve">p_level_2 </t>
  </si>
  <si>
    <t>Participation Level 2 (Aug to Jul)</t>
  </si>
  <si>
    <t xml:space="preserve">p_level_3 </t>
  </si>
  <si>
    <t>Participation Level 3 (Aug to Jul)</t>
  </si>
  <si>
    <t>p_level_4plus</t>
  </si>
  <si>
    <t>Participation Level 4+ (Aug to Jul)</t>
  </si>
  <si>
    <t>p_nldc</t>
  </si>
  <si>
    <t>Participation - Neighbourhood learning in deprived communities</t>
  </si>
  <si>
    <t>p_no_level_assigned</t>
  </si>
  <si>
    <t>Participation No level assigned (Aug to Jul)</t>
  </si>
  <si>
    <t xml:space="preserve">p_no_lx </t>
  </si>
  <si>
    <t>Participation No Level Assigned (Aug to Jul)</t>
  </si>
  <si>
    <t>p_pcdl</t>
  </si>
  <si>
    <t>Participation - Personal and community development learning</t>
  </si>
  <si>
    <t>Total Participation</t>
  </si>
  <si>
    <t>Participation - All community learning</t>
  </si>
  <si>
    <t>p_wfl</t>
  </si>
  <si>
    <t>Participation - Wider family learning</t>
  </si>
  <si>
    <t>Participation</t>
  </si>
  <si>
    <t>All Participation</t>
  </si>
  <si>
    <t>Apprenticeships Participation</t>
  </si>
  <si>
    <t>participation_change_percent</t>
  </si>
  <si>
    <t>Participation Percentage Change</t>
  </si>
  <si>
    <t>Education and Training Participation</t>
  </si>
  <si>
    <t>participation_percent</t>
  </si>
  <si>
    <t>Participation Percentage</t>
  </si>
  <si>
    <t>participation_percent_change</t>
  </si>
  <si>
    <t>participation_rate_per_100000_population</t>
  </si>
  <si>
    <t>Indicative participation rate per 100,000 population</t>
  </si>
  <si>
    <t>pass_rate</t>
  </si>
  <si>
    <t>Pass Rate</t>
  </si>
  <si>
    <t xml:space="preserve">payment_status </t>
  </si>
  <si>
    <t>Payment status</t>
  </si>
  <si>
    <t>Apprentices % at end of period</t>
  </si>
  <si>
    <t>Apprenticeship training starts as % of new employees in period</t>
  </si>
  <si>
    <t>Apprentices % prior to period</t>
  </si>
  <si>
    <t>Average % of employees starting apprenticeship (over 4-year period 2017/18 to 2020/21)</t>
  </si>
  <si>
    <t>% of employees starting apprenticeships in period</t>
  </si>
  <si>
    <t>Percentage change</t>
  </si>
  <si>
    <t xml:space="preserve">percentage_et </t>
  </si>
  <si>
    <t>Education &amp; training Percentage</t>
  </si>
  <si>
    <t>Further education &amp; skills Percentage</t>
  </si>
  <si>
    <t>Starts Percentage</t>
  </si>
  <si>
    <t xml:space="preserve">personal_and_community_development_learning </t>
  </si>
  <si>
    <t>Participation Personal and community development learning</t>
  </si>
  <si>
    <t xml:space="preserve">planned_length_stay </t>
  </si>
  <si>
    <t>Planned Length of Stay</t>
  </si>
  <si>
    <t>Positive Destinations</t>
  </si>
  <si>
    <t>Prior attainment group</t>
  </si>
  <si>
    <t>Provider type</t>
  </si>
  <si>
    <t>Provision type</t>
  </si>
  <si>
    <t>Qualification Type</t>
  </si>
  <si>
    <t>Redundancies</t>
  </si>
  <si>
    <t>Reporting date</t>
  </si>
  <si>
    <t>retention_rate</t>
  </si>
  <si>
    <t>Retention Rate</t>
  </si>
  <si>
    <t>sector_subject_area_t1</t>
  </si>
  <si>
    <t>Sector subject area (tier 1)</t>
  </si>
  <si>
    <t>Sex</t>
  </si>
  <si>
    <t xml:space="preserve">ssa_t1 </t>
  </si>
  <si>
    <t>ssa_t2</t>
  </si>
  <si>
    <t>Sector subject area (tier 2)</t>
  </si>
  <si>
    <t>start_academic_year</t>
  </si>
  <si>
    <t>start_age</t>
  </si>
  <si>
    <t>Start age</t>
  </si>
  <si>
    <t>Start month</t>
  </si>
  <si>
    <t>Traineeship starts</t>
  </si>
  <si>
    <t xml:space="preserve">starts </t>
  </si>
  <si>
    <t>Starts</t>
  </si>
  <si>
    <t>Starts (reported to date)</t>
  </si>
  <si>
    <t>Starts (used in duration calculations)</t>
  </si>
  <si>
    <t xml:space="preserve">starts_percent </t>
  </si>
  <si>
    <t>starts_percentage_within_provider_type</t>
  </si>
  <si>
    <t>Starts Percentage by Provider type and Level</t>
  </si>
  <si>
    <t>starts_percentage_within_year</t>
  </si>
  <si>
    <t>Starts  Percentage by Age Level and Funding Type</t>
  </si>
  <si>
    <t>starts_rate_per_100000_population</t>
  </si>
  <si>
    <t>Indicative starts rate per 100,000 population</t>
  </si>
  <si>
    <t>std_fwk_flag</t>
  </si>
  <si>
    <t>std_fwk_name_stcode</t>
  </si>
  <si>
    <t>Framework / standard name (with ST code)</t>
  </si>
  <si>
    <t>STEM</t>
  </si>
  <si>
    <t>Sub-sector - Filter by sub-sector</t>
  </si>
  <si>
    <t xml:space="preserve">subject </t>
  </si>
  <si>
    <t>Subject</t>
  </si>
  <si>
    <t>Subject and level</t>
  </si>
  <si>
    <t>Free courses for jobs total achievements including extended offer (April 21 to January 23)</t>
  </si>
  <si>
    <t>Free courses for jobs total achievements under original offer (April 21 to January 23)</t>
  </si>
  <si>
    <t>Aim Achievements (Aug to Jul) Percentage</t>
  </si>
  <si>
    <t>Aim Enrolments (Aug to Jul) Percentage</t>
  </si>
  <si>
    <t>Enrolments by any adult on offer courses</t>
  </si>
  <si>
    <t>Learners</t>
  </si>
  <si>
    <t xml:space="preserve">total_learners_et </t>
  </si>
  <si>
    <t>Education &amp; training Participation</t>
  </si>
  <si>
    <t>Further education &amp; skills Participation</t>
  </si>
  <si>
    <t xml:space="preserve">total_takeup_extended_adult_offer </t>
  </si>
  <si>
    <t>Free courses for jobs total starts including extended offer (April 21 to January 23)</t>
  </si>
  <si>
    <t>Free courses for jobs total starts under original offer (April 21 to January 23)</t>
  </si>
  <si>
    <t>traineeship_starts</t>
  </si>
  <si>
    <t xml:space="preserve">transfer_flag </t>
  </si>
  <si>
    <t>Transfer flag</t>
  </si>
  <si>
    <t>Traineeship completions</t>
  </si>
  <si>
    <t xml:space="preserve">tship_start_qtr </t>
  </si>
  <si>
    <t>T'ship start quarter</t>
  </si>
  <si>
    <t>Vacancies</t>
  </si>
  <si>
    <t>Variable name</t>
  </si>
  <si>
    <t>Variable description</t>
  </si>
  <si>
    <t xml:space="preserve">wider_family_learning </t>
  </si>
  <si>
    <t>Participation Wider family learning</t>
  </si>
  <si>
    <t xml:space="preserve">achievers_index </t>
  </si>
  <si>
    <t>Index of achiever numbers</t>
  </si>
  <si>
    <t xml:space="preserve">annual_perc_change_skills_index </t>
  </si>
  <si>
    <t>Annual change in Skills Index</t>
  </si>
  <si>
    <t xml:space="preserve">annual_perc_change_value_per_learner </t>
  </si>
  <si>
    <t>Annual change in Value added per learner index</t>
  </si>
  <si>
    <t>Provision type - Filter by provision type</t>
  </si>
  <si>
    <t>Skills Index</t>
  </si>
  <si>
    <t>Value-added per learner index</t>
  </si>
  <si>
    <t xml:space="preserve">estimated_value_added </t>
  </si>
  <si>
    <t>Estimated value added</t>
  </si>
  <si>
    <t>Provision type and level of learning - Filter by level of learning within provision type</t>
  </si>
  <si>
    <t>number_achievers</t>
  </si>
  <si>
    <t>Number of achievers</t>
  </si>
  <si>
    <t>Percentage contribution to total value added</t>
  </si>
  <si>
    <t>ssa</t>
  </si>
  <si>
    <t>Sector Subject Area - Filter by sector subject area</t>
  </si>
  <si>
    <t>ProviderType</t>
  </si>
  <si>
    <t>Age</t>
  </si>
  <si>
    <t>AgeYouthAdult</t>
  </si>
  <si>
    <t>AgeGroup</t>
  </si>
  <si>
    <t>gender</t>
  </si>
  <si>
    <t>Characteristic_grouping</t>
  </si>
  <si>
    <t>Ethnicity</t>
  </si>
  <si>
    <t>EthnicityDetailed</t>
  </si>
  <si>
    <t>Total_in_education_and_training</t>
  </si>
  <si>
    <t>Proportion_in_education_and_training</t>
  </si>
  <si>
    <t>annual_change</t>
  </si>
  <si>
    <t>Participation_grouping</t>
  </si>
  <si>
    <t>Participation_type</t>
  </si>
  <si>
    <t>number</t>
  </si>
  <si>
    <t>percent</t>
  </si>
  <si>
    <t>Provision</t>
  </si>
  <si>
    <t>NumberOfLearners</t>
  </si>
  <si>
    <t>LearningDifficulties</t>
  </si>
  <si>
    <t>SSATier1</t>
  </si>
  <si>
    <t>SSATier2</t>
  </si>
  <si>
    <t>IndustrySection</t>
  </si>
  <si>
    <t>FEPercentPA</t>
  </si>
  <si>
    <t>employment, and learning destinations of adult FE &amp; Skills learners, all age apprentices that achieved their learning aim, and Traineeship learners that completed their aim,Broken down by provider, provider type, provision and benefit status</t>
  </si>
  <si>
    <t>employment and learning destinations of adult FE &amp; Skills learners, all age apprentices that achieved their learning aim, and Traineeship learners that completed their aim.2016/17 to 2019/20</t>
  </si>
  <si>
    <t>employment and learning destinations of adult FE &amp; Skills learners, all age apprentices that achieved their learning aim, and Traineeship learners that completed their aim.Broken down by local authority district, provision,  level of learning and learner demographics and sector subject area (tiers 1 &amp; 2).</t>
  </si>
  <si>
    <r>
      <t xml:space="preserve">employment and learning destinations of adult FE &amp; Skills learners, all age apprentices that achieved their learning aim, and Traineeship learners that completed their aim. </t>
    </r>
    <r>
      <rPr>
        <b/>
        <sz val="11"/>
        <color theme="1"/>
        <rFont val="Calibri"/>
        <family val="2"/>
        <scheme val="minor"/>
      </rPr>
      <t>Broken down by English devolved area (formerly known as Mayoral Combined Authority), provision, level of learning and learner demographics</t>
    </r>
  </si>
  <si>
    <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</si>
  <si>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</si>
  <si>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 xml:space="preserve">	
Progression to higher education or training data by local authority, parliamentary constituency, and region.</t>
  </si>
  <si>
    <t>Lower quartile annualised earnings</t>
  </si>
  <si>
    <t xml:space="preserve">75thPercentile </t>
  </si>
  <si>
    <t>Upper quartile annualised earnings</t>
  </si>
  <si>
    <t>Number of pupils studying academic or applied general qualifications</t>
  </si>
  <si>
    <t>Academic/AGQ national comparator</t>
  </si>
  <si>
    <t>Academic/AGQ students who sustained L4+ destination</t>
  </si>
  <si>
    <t>Academic/AGQ progression score</t>
  </si>
  <si>
    <t>Access to Higher Education - Filter by Access to Higher Education</t>
  </si>
  <si>
    <t>age - filter by age</t>
  </si>
  <si>
    <t>Age1617_ONS_population</t>
  </si>
  <si>
    <t>Age 16-17 population ONS estimate</t>
  </si>
  <si>
    <t>AgeBand</t>
  </si>
  <si>
    <t>Age Group - Filter by age group</t>
  </si>
  <si>
    <t>Sustained apprenticeship destination</t>
  </si>
  <si>
    <t>all_cohort</t>
  </si>
  <si>
    <t>Number of pupils studying level 3 qualifications</t>
  </si>
  <si>
    <t>National comparator</t>
  </si>
  <si>
    <t>Sustained degree destination</t>
  </si>
  <si>
    <t>Sustained level 4 or 5 destination</t>
  </si>
  <si>
    <t>Not recorded as a sustained destination</t>
  </si>
  <si>
    <t>Oxford or Cambridge</t>
  </si>
  <si>
    <t>Sustained a level 4 or higher destination</t>
  </si>
  <si>
    <t>Progression score</t>
  </si>
  <si>
    <t>Russell group institution</t>
  </si>
  <si>
    <t>Top third HE destination</t>
  </si>
  <si>
    <t xml:space="preserve">annual_change </t>
  </si>
  <si>
    <t xml:space="preserve">annual_change_apprenticeship </t>
  </si>
  <si>
    <t>annual_change_FTE</t>
  </si>
  <si>
    <t>annual_change_other_education_training</t>
  </si>
  <si>
    <t>annual_change_Participation_in_education_training</t>
  </si>
  <si>
    <t>annual_change_ppts_NEET_not_known</t>
  </si>
  <si>
    <t xml:space="preserve">annualchange_NEET </t>
  </si>
  <si>
    <t>annualchange_notknown</t>
  </si>
  <si>
    <t xml:space="preserve">AnyLearnPercent  </t>
  </si>
  <si>
    <t>AppAdvancedPercentPA</t>
  </si>
  <si>
    <t xml:space="preserve">AppHigherPercentPA </t>
  </si>
  <si>
    <t>AppIntermediatePercentPA</t>
  </si>
  <si>
    <t>ethnicity_detailed</t>
  </si>
  <si>
    <t>Ethnic_Group_Major</t>
  </si>
  <si>
    <t>Ethnic_Group_Minor</t>
  </si>
  <si>
    <t>Gender</t>
  </si>
  <si>
    <t>he_type</t>
  </si>
  <si>
    <t>Industry</t>
  </si>
  <si>
    <t>inst_type</t>
  </si>
  <si>
    <t>median</t>
  </si>
  <si>
    <t xml:space="preserve">median_nominal_l7t </t>
  </si>
  <si>
    <t>number_of_enrolments_total</t>
  </si>
  <si>
    <t>number_of_entrants</t>
  </si>
  <si>
    <t>Quarter</t>
  </si>
  <si>
    <t>study_mode</t>
  </si>
  <si>
    <t>A level status</t>
  </si>
  <si>
    <t>Activity not captured</t>
  </si>
  <si>
    <t>Age band at start of study - Filter by Age band at start of study</t>
  </si>
  <si>
    <t>Age entered HE</t>
  </si>
  <si>
    <t>Earnings_include</t>
  </si>
  <si>
    <t>Graduates included in earnings figures</t>
  </si>
  <si>
    <t>CAH subject first level grouping</t>
  </si>
  <si>
    <t>CAH subject second level grouping</t>
  </si>
  <si>
    <t>Number of graduates</t>
  </si>
  <si>
    <t>Country name - Filter by Country name</t>
  </si>
  <si>
    <t>Cumulative entry percentage</t>
  </si>
  <si>
    <t>Region - Filter by region</t>
  </si>
  <si>
    <t>Proportion of included institutions where adjusted earnings are more than 5% to 10% lower than raw median earnings</t>
  </si>
  <si>
    <t>Proportion of included institutions where adjusted earnings are more than 10% lower than raw median earnings</t>
  </si>
  <si>
    <t>Degree class - Select the Degree Class you are interested in</t>
  </si>
  <si>
    <t>Difference in number of graduates who studied in and are currently living in the region</t>
  </si>
  <si>
    <t>The difference as a proportion</t>
  </si>
  <si>
    <t>Disability status</t>
  </si>
  <si>
    <t>Domicile - Filter by Domicile</t>
  </si>
  <si>
    <t>Difference between maximum and minimum provider earnings</t>
  </si>
  <si>
    <t>Lower quartile provider earnings</t>
  </si>
  <si>
    <t>Lower quartile of real term earnings of graduates</t>
  </si>
  <si>
    <t>Maximum provider earnings</t>
  </si>
  <si>
    <t>Median earnings of graduates</t>
  </si>
  <si>
    <t>Median real term earnings</t>
  </si>
  <si>
    <t>Minimum provider earnings</t>
  </si>
  <si>
    <t>Upper quartile provider earnings</t>
  </si>
  <si>
    <t>Upper real term quartile of earnings of graduates</t>
  </si>
  <si>
    <t>Employment Rate</t>
  </si>
  <si>
    <t>Employment Rate Lower Bound</t>
  </si>
  <si>
    <t>Employment Rate Upper Bound</t>
  </si>
  <si>
    <t xml:space="preserve"> Graduate Employment Rate</t>
  </si>
  <si>
    <t>Entrants</t>
  </si>
  <si>
    <t>Entrants to Level 4 in 2020/21</t>
  </si>
  <si>
    <t>Entrants to Level 5 in 2020/21</t>
  </si>
  <si>
    <t xml:space="preserve">entrants_level6 </t>
  </si>
  <si>
    <t>Entrants to Level 6 in 2020/21</t>
  </si>
  <si>
    <t>Entrants to Level 7 in 2020/21</t>
  </si>
  <si>
    <t>Entrants to Level 8 in 2020/21</t>
  </si>
  <si>
    <t>HE Entry Percentage by Age 25 (Females)</t>
  </si>
  <si>
    <t>HE Entry Percentage by Age 25 (First Degrees)</t>
  </si>
  <si>
    <t>HE Entry Percentage by Age 25 (Full Time)</t>
  </si>
  <si>
    <t>Regional HE Entry Percentage by Age 25 (Highest)</t>
  </si>
  <si>
    <t>Regional HE Entry Percentage by Age 25 (Lowest)</t>
  </si>
  <si>
    <t xml:space="preserve">entry_percentage_overall </t>
  </si>
  <si>
    <t>HE Entry Percentage by Age 25 (Overall)</t>
  </si>
  <si>
    <t>Proportion of included providers where the difference was less than 5%</t>
  </si>
  <si>
    <t>Equivalent or lower qualification</t>
  </si>
  <si>
    <t>Ethnic Group</t>
  </si>
  <si>
    <t>Ethnicity broad (with Chinese) - Filter by Ethnicity broad (with Chinese)</t>
  </si>
  <si>
    <t>Proportion of included providers where female median earnings were 5%-15% greater than male median earnings</t>
  </si>
  <si>
    <t>Proportion of included providers where female median earnings were 15%+ greater than male median earnings</t>
  </si>
  <si>
    <t xml:space="preserve">fs_with_or_without_sust_emp </t>
  </si>
  <si>
    <t>Further study with or without sustained employment</t>
  </si>
  <si>
    <t>Free school meal status - Filter by Free school meal status</t>
  </si>
  <si>
    <t>KS4 Gender</t>
  </si>
  <si>
    <t>Graduates included in outcomes calculation</t>
  </si>
  <si>
    <t>Graduate Breakdown - Select the breakdown you are interested in</t>
  </si>
  <si>
    <t xml:space="preserve">graduate_characteristic </t>
  </si>
  <si>
    <t>Graduate Characteristic - Select the characteristic you are interested in</t>
  </si>
  <si>
    <t>Graduate Age Group - Select the Graduate Age Group you are interested in</t>
  </si>
  <si>
    <t>Graduate Typev</t>
  </si>
  <si>
    <t>Industry section group - Filter by Industry section group of graduate employment</t>
  </si>
  <si>
    <t>Type of higher level learning</t>
  </si>
  <si>
    <t>High-skilled Employment Rate</t>
  </si>
  <si>
    <t>High Tariff HE Progression Rate</t>
  </si>
  <si>
    <t>High Tariff HE Progression Rate (FSM)</t>
  </si>
  <si>
    <t>High Tariff Progression Rate Gap</t>
  </si>
  <si>
    <t>High Tariff HE Progression Rate (Independent)</t>
  </si>
  <si>
    <t>High Tariff HE Progression Rate (Non-FSM)</t>
  </si>
  <si>
    <t>High Tariff HE Progression Rate (State)</t>
  </si>
  <si>
    <t>High Tariff HE Progression Rate (lowest ethnic group - White)</t>
  </si>
  <si>
    <t>Region prior to HE study - Filter by Region prior to HE study</t>
  </si>
  <si>
    <t>High-skilled Employment Rate Lower Bound</t>
  </si>
  <si>
    <t>High-skilled Employment Rate Upper Bound</t>
  </si>
  <si>
    <t xml:space="preserve">IMD_quintile </t>
  </si>
  <si>
    <t>Index of multiple deprivation quintile</t>
  </si>
  <si>
    <t>Inactivity Rate</t>
  </si>
  <si>
    <t>Proportion of included institutions where  adjusted earnings are more than 5% to 10% higher than raw median earnings</t>
  </si>
  <si>
    <t>Proportion of included institutions where  adjusted earnings are more than 10% higher than raw median earnings</t>
  </si>
  <si>
    <t>Industry - Select the Industry you are interested in</t>
  </si>
  <si>
    <t>Graduate industry of employment one year after graduation - Filter by Graduate industry of employment one year after graduation</t>
  </si>
  <si>
    <t>Graduate industry of employment three year after graduation - Filter by Graduate industry of employment three year after graduation</t>
  </si>
  <si>
    <t>Graduate industry of employment five year after graduation - Filter by Graduate industry of employment five year after graduation</t>
  </si>
  <si>
    <t>Region of HEI - Filter by region of HEI</t>
  </si>
  <si>
    <t>Region of Institution - Filter by name of subject</t>
  </si>
  <si>
    <t>Graduates' higher education institution region - Filter by Graduate higher education institution region</t>
  </si>
  <si>
    <t>Provider type - Filter by Provider type</t>
  </si>
  <si>
    <t>Qualification level</t>
  </si>
  <si>
    <t>Level of Study</t>
  </si>
  <si>
    <t>Number of graduates currently living in region</t>
  </si>
  <si>
    <t>Proportion of included providers where female median earnings were 5%-15% lower than male median earnings</t>
  </si>
  <si>
    <t>Proportion of included providers where female median earnings were 15%+ lower than male median earnings</t>
  </si>
  <si>
    <t>Number of matched graduates</t>
  </si>
  <si>
    <t>Mean Tariff</t>
  </si>
  <si>
    <t>Median Salary to the nearest £500</t>
  </si>
  <si>
    <t>Median Salary Premium for Graduates over Non-graduates</t>
  </si>
  <si>
    <t>Median first degree graduate earnings five years after graduation</t>
  </si>
  <si>
    <t>Median level 7 (taught) postgraduate earnings five years after graduation</t>
  </si>
  <si>
    <t>Median level 8 postgraduate earnings five years after graduation</t>
  </si>
  <si>
    <t>Median provider median earnings</t>
  </si>
  <si>
    <t>Methodology - Filter by methodology</t>
  </si>
  <si>
    <t>Migration to univeristy - Filter by Migration to university</t>
  </si>
  <si>
    <t>Migration from univeristy - Filter by Migration from university</t>
  </si>
  <si>
    <t xml:space="preserve">mode_of_study </t>
  </si>
  <si>
    <t>Mode of study</t>
  </si>
  <si>
    <t>No sustained destination</t>
  </si>
  <si>
    <t>Number of providers with earnings data for male and female graduates</t>
  </si>
  <si>
    <t xml:space="preserve">num_providers </t>
  </si>
  <si>
    <t>Number of providers with earnings data</t>
  </si>
  <si>
    <t>Number of providers included in the adjusted earnings calculation</t>
  </si>
  <si>
    <t>Number of providers with earnings data for 14/15 and 19/20 tax years</t>
  </si>
  <si>
    <t>All achievements</t>
  </si>
  <si>
    <t xml:space="preserve">number_of_enrolments_total </t>
  </si>
  <si>
    <t>All enrolments</t>
  </si>
  <si>
    <t>Number of entrants</t>
  </si>
  <si>
    <t>Number of HE Students</t>
  </si>
  <si>
    <t>Number of HE Students (High Tariff)</t>
  </si>
  <si>
    <t>Number of providers for the combination of subject studied and industry</t>
  </si>
  <si>
    <t>Number of KS5 Students</t>
  </si>
  <si>
    <t>Number of Pupils</t>
  </si>
  <si>
    <t>Difference between maximum and minimum provider graduates in sustained employment further study or both</t>
  </si>
  <si>
    <t>Lower quartile provider graduates in sustained employment further study or both</t>
  </si>
  <si>
    <t>Maximum provider graduates in sustained employment further study or both</t>
  </si>
  <si>
    <t xml:space="preserve">outcomes_median </t>
  </si>
  <si>
    <t>Median provider graduates in sustained employment further study or both</t>
  </si>
  <si>
    <t>Minimum provider graduates in sustained employment further study or both</t>
  </si>
  <si>
    <t>Upper quartile provider graduates in sustained employment further study or both</t>
  </si>
  <si>
    <t>Overseas graduates</t>
  </si>
  <si>
    <t>Prior Attainment Band - Filter by prior attainment band</t>
  </si>
  <si>
    <t>Percentage with degree</t>
  </si>
  <si>
    <t>Percentage of all achievements</t>
  </si>
  <si>
    <t>Percentage of all enrolments</t>
  </si>
  <si>
    <t xml:space="preserve">percentage_entrants_by_characteristic </t>
  </si>
  <si>
    <t>Percentage of entrants</t>
  </si>
  <si>
    <t>Percentage of HE Students</t>
  </si>
  <si>
    <t>Percentage of higher-level entrants registered in Higher Education Providers (HEPs) in 2020/21</t>
  </si>
  <si>
    <t>Local area HE participation grouping - Filter by Local area HE participation grouping</t>
  </si>
  <si>
    <t>Funding</t>
  </si>
  <si>
    <t>Prior attainment level - Filter by Prior attainment level</t>
  </si>
  <si>
    <t>HE Progression Rate</t>
  </si>
  <si>
    <t>HE progression rate (Female)</t>
  </si>
  <si>
    <t>HE Progression Rate (FSM)</t>
  </si>
  <si>
    <t>HE Progression Rate (FSM highest region – Inner London)</t>
  </si>
  <si>
    <t>Progression Rate Gap</t>
  </si>
  <si>
    <t>HE Progression Rate (Free School Meals gap)</t>
  </si>
  <si>
    <t>HE Progression Rate (greatest increase - Black)</t>
  </si>
  <si>
    <t>HE Progression Rate (Independent)</t>
  </si>
  <si>
    <t>HE Progression Rate (Non-FSM)</t>
  </si>
  <si>
    <t>HE Progression Rate (State)</t>
  </si>
  <si>
    <t>Proportion of providers with 19/20 median earnings 10% to 20% greater than 14/15 median earnings</t>
  </si>
  <si>
    <t>Proportion of providers with 19/20 median earnings over 20% greater than 14/15 median earnings</t>
  </si>
  <si>
    <t>Proportion of providers with 19/20 median earnings 5% to 10% greater than 14/15 median earnings</t>
  </si>
  <si>
    <t>Proportion of providers with 19/20 median earnings more than 5% lower than 14/15 median earnings</t>
  </si>
  <si>
    <t>Proportion of included providers where female median earnings are equal to male median earnings</t>
  </si>
  <si>
    <t>Proportion of included providers where female median earnings are higher than male median earnings</t>
  </si>
  <si>
    <t>Proportion of providers in the prior attainment band</t>
  </si>
  <si>
    <t>Proportion of included providers where female median earnings are lower than male median earnings</t>
  </si>
  <si>
    <t>Proportion of graduates</t>
  </si>
  <si>
    <t>Proportion of providers with 19/20 median earnings within 5% of the 14/15 median earnings</t>
  </si>
  <si>
    <t>Proportion Of Part Time Workers</t>
  </si>
  <si>
    <t>Provider category</t>
  </si>
  <si>
    <t>Number of providers included for earnings</t>
  </si>
  <si>
    <t>Number of providers where female median earnings are equal to male median earnings</t>
  </si>
  <si>
    <t>Number of providers where female median earnings are higher than male median earnings</t>
  </si>
  <si>
    <t>Number of providers in the prior attainment band</t>
  </si>
  <si>
    <t>Number of providers where female median earnings are lower than male median earnings</t>
  </si>
  <si>
    <t>Number of providers included for outcomes</t>
  </si>
  <si>
    <t>Level of degree</t>
  </si>
  <si>
    <t>Qualification aim</t>
  </si>
  <si>
    <t>Qualification level - Filter by Qualification level</t>
  </si>
  <si>
    <t>Quarter - Select which Quarter of the year you are interested in</t>
  </si>
  <si>
    <t>Entry percentage</t>
  </si>
  <si>
    <t>Term time residence - Filter by Term time residence</t>
  </si>
  <si>
    <t>Sample Size</t>
  </si>
  <si>
    <t>School Type</t>
  </si>
  <si>
    <t>Industry section - Filter by Industry section of graduate employment</t>
  </si>
  <si>
    <t>Selective status - Filter by Selective status</t>
  </si>
  <si>
    <t>SEN Status</t>
  </si>
  <si>
    <t>Study mode - Filter by Study mode</t>
  </si>
  <si>
    <t>Subject name - Filter by name of subject</t>
  </si>
  <si>
    <t>First degree graduates in sustained employment, further study or both five years after graduation</t>
  </si>
  <si>
    <t>Level 7 (taught) postgraduates in sustained employment, further study or both five years after graduation</t>
  </si>
  <si>
    <t>Level 8 postgraduates in sustained employment, further study or both five years after graduation</t>
  </si>
  <si>
    <t>Sustained employment further study or both</t>
  </si>
  <si>
    <t>Sustained employment only</t>
  </si>
  <si>
    <t>Sustained employment with or without further study</t>
  </si>
  <si>
    <t>Tariff Group</t>
  </si>
  <si>
    <t>Technical route</t>
  </si>
  <si>
    <t>TEF Rating</t>
  </si>
  <si>
    <t>Number of graduates that studied in region</t>
  </si>
  <si>
    <t>Unemployment Rate</t>
  </si>
  <si>
    <t>Unemployment Rate Lower Bound</t>
  </si>
  <si>
    <t>Unemployment Rate Upper Bound</t>
  </si>
  <si>
    <t>Graduate Unemployment Rate</t>
  </si>
  <si>
    <t>Unmatched graduates</t>
  </si>
  <si>
    <t>Proportion of included institutions where  adjusted earnings are within 5% of raw median earnings</t>
  </si>
  <si>
    <t>Years after graduation - Filter by Years after graduation</t>
  </si>
  <si>
    <t>Link</t>
  </si>
  <si>
    <t xml:space="preserve">AppPercent </t>
  </si>
  <si>
    <t xml:space="preserve">appren </t>
  </si>
  <si>
    <t xml:space="preserve">Apprenticeship_percent </t>
  </si>
  <si>
    <t xml:space="preserve">appru </t>
  </si>
  <si>
    <t>avg_att8</t>
  </si>
  <si>
    <t xml:space="preserve">avgNK </t>
  </si>
  <si>
    <t xml:space="preserve">BAME </t>
  </si>
  <si>
    <t xml:space="preserve">BelowL2Percent </t>
  </si>
  <si>
    <t>BelowL2PercentPA</t>
  </si>
  <si>
    <t xml:space="preserve">BenefitLearner </t>
  </si>
  <si>
    <t xml:space="preserve">category </t>
  </si>
  <si>
    <t>Cohort_DJFavg</t>
  </si>
  <si>
    <t>cohort_EHCP_percent</t>
  </si>
  <si>
    <t xml:space="preserve">cohort_March </t>
  </si>
  <si>
    <t>cohort_noSEN_percent</t>
  </si>
  <si>
    <t>cohort_SENDsupport_percent</t>
  </si>
  <si>
    <t xml:space="preserve">conf_interval_plus_minus_reason_inactive_other </t>
  </si>
  <si>
    <t xml:space="preserve">employment_rate_NET </t>
  </si>
  <si>
    <t>EngMathPercentPA</t>
  </si>
  <si>
    <t xml:space="preserve">Ethnicity </t>
  </si>
  <si>
    <t xml:space="preserve">Full_time_education_percent </t>
  </si>
  <si>
    <t xml:space="preserve">FullLevel2Percent </t>
  </si>
  <si>
    <t xml:space="preserve">FullLevel3Percent </t>
  </si>
  <si>
    <t xml:space="preserve">IndustrySection </t>
  </si>
  <si>
    <t xml:space="preserve">inst_count </t>
  </si>
  <si>
    <t>L2_em_GCSE_othL2</t>
  </si>
  <si>
    <t xml:space="preserve">LearningDestination </t>
  </si>
  <si>
    <t xml:space="preserve">LearnOnlyPercent </t>
  </si>
  <si>
    <t>LearnPercentPA</t>
  </si>
  <si>
    <t>Level_3</t>
  </si>
  <si>
    <t xml:space="preserve">level_methodology </t>
  </si>
  <si>
    <t xml:space="preserve">Level4PlusPercent </t>
  </si>
  <si>
    <t>LevelOfLearning_Display</t>
  </si>
  <si>
    <t xml:space="preserve">lower_bound_percent_ILO_unemployed_less_6months </t>
  </si>
  <si>
    <t xml:space="preserve">lower_bound_percent_ILO_unemployed_more_6months </t>
  </si>
  <si>
    <t xml:space="preserve">lower_bound_percent_NEET </t>
  </si>
  <si>
    <t xml:space="preserve">lower_bound_percent_NET </t>
  </si>
  <si>
    <t>NEET_NK_EHCP_percent</t>
  </si>
  <si>
    <t>NEET_NK_noSEN_percent</t>
  </si>
  <si>
    <t>NEET_NK_quintile</t>
  </si>
  <si>
    <t>NEET_NK_SENDsupport_percent</t>
  </si>
  <si>
    <t>NEET_not_known_percent</t>
  </si>
  <si>
    <t>NEET_percent</t>
  </si>
  <si>
    <t>NEET_quintile</t>
  </si>
  <si>
    <t>NEETLFS</t>
  </si>
  <si>
    <t>NEETLFSLower</t>
  </si>
  <si>
    <t>NEETLFSUpper</t>
  </si>
  <si>
    <t xml:space="preserve">NEETNKprop </t>
  </si>
  <si>
    <t>NEETParticipation</t>
  </si>
  <si>
    <t>NETLFS</t>
  </si>
  <si>
    <t>NETParticipation</t>
  </si>
  <si>
    <t xml:space="preserve">NoDestPercent </t>
  </si>
  <si>
    <t>NotAssignedPercentPA</t>
  </si>
  <si>
    <t xml:space="preserve">Notknown_percent </t>
  </si>
  <si>
    <t>Notknown_quintile</t>
  </si>
  <si>
    <t>Notknownprop</t>
  </si>
  <si>
    <t xml:space="preserve">notsust </t>
  </si>
  <si>
    <t>notsust_ben</t>
  </si>
  <si>
    <t xml:space="preserve">number_ILO_unemployed_less_6months </t>
  </si>
  <si>
    <t xml:space="preserve">number_NEET </t>
  </si>
  <si>
    <t xml:space="preserve">number_NET </t>
  </si>
  <si>
    <t xml:space="preserve">number_reason_inactive_looking_after_family_or_home </t>
  </si>
  <si>
    <t>NumLearners</t>
  </si>
  <si>
    <t xml:space="preserve">only_ben </t>
  </si>
  <si>
    <t>Other_education_and_training_percent</t>
  </si>
  <si>
    <t xml:space="preserve">otl3_comparator </t>
  </si>
  <si>
    <t>overall</t>
  </si>
  <si>
    <t xml:space="preserve">overall_y5 </t>
  </si>
  <si>
    <t>Participation_ET_quintile</t>
  </si>
  <si>
    <t xml:space="preserve">percent_annual_change_conf_interval_plus_minus_NET </t>
  </si>
  <si>
    <t xml:space="preserve">percent_annual_change_NEET </t>
  </si>
  <si>
    <t xml:space="preserve">percent_conf_interval_plus_minus_NET </t>
  </si>
  <si>
    <t xml:space="preserve">percent_NEET </t>
  </si>
  <si>
    <t xml:space="preserve">percent_NET  </t>
  </si>
  <si>
    <t>Number of 16-24 year olds (ONS estimate)</t>
  </si>
  <si>
    <t>pt_l2basics_94</t>
  </si>
  <si>
    <t xml:space="preserve">qualification_sublevel </t>
  </si>
  <si>
    <t xml:space="preserve">quarter  </t>
  </si>
  <si>
    <t>Sep_guarantee_quintile</t>
  </si>
  <si>
    <t>September_guarantee_annual_change_ppts</t>
  </si>
  <si>
    <t>September_guarantee_Offer_made_percent</t>
  </si>
  <si>
    <t xml:space="preserve">sess_overall_percent </t>
  </si>
  <si>
    <t xml:space="preserve">sess_overall_percent_pa_10_exact </t>
  </si>
  <si>
    <t xml:space="preserve">spi </t>
  </si>
  <si>
    <t xml:space="preserve">ssf  </t>
  </si>
  <si>
    <t xml:space="preserve">SustainedEmploymentPercent  </t>
  </si>
  <si>
    <t xml:space="preserve">tlev_cohort </t>
  </si>
  <si>
    <t xml:space="preserve">total_NEET_NET </t>
  </si>
  <si>
    <t xml:space="preserve">TOTAL_participating_in_education_and_training_percent  </t>
  </si>
  <si>
    <t xml:space="preserve">upper_bound_number_NET </t>
  </si>
  <si>
    <t xml:space="preserve">upper_bound_number_reason_inactive_long-term_or_temporary_sick </t>
  </si>
  <si>
    <t xml:space="preserve">upper_bound_number_reason_inactive_looking_after_family_or_home  </t>
  </si>
  <si>
    <t xml:space="preserve">upper_bound_number_reason_inactive_other </t>
  </si>
  <si>
    <t xml:space="preserve">upper_bound_percent_NEET </t>
  </si>
  <si>
    <t xml:space="preserve">VG_cohort_DJF_avg </t>
  </si>
  <si>
    <t>VG_cohort_percentage</t>
  </si>
  <si>
    <t>VG_NEET_NK_percentage</t>
  </si>
  <si>
    <t>Sustained employment destination</t>
  </si>
  <si>
    <t>annual change in proportion in education and training</t>
  </si>
  <si>
    <t>Annual change in percent participating</t>
  </si>
  <si>
    <t>Annual change in the percentage of the cohort on an apprenticeship</t>
  </si>
  <si>
    <t>Annual change in the percentage of the cohort in full-time education</t>
  </si>
  <si>
    <t>Annual change in NEET/not known rate</t>
  </si>
  <si>
    <t>Annual change in the percentage of the cohort in other education and training</t>
  </si>
  <si>
    <t>Annual change in the percentage of the cohort participation in education and training</t>
  </si>
  <si>
    <t>Annual change in the percentage of the cohort who are NEET or not known</t>
  </si>
  <si>
    <t>Annual change in the percentage of the cohort who are NEET</t>
  </si>
  <si>
    <t>Annual change in the percentage of the cohort with activity not known</t>
  </si>
  <si>
    <t>Any learning rate</t>
  </si>
  <si>
    <t>Advanced apprenticeship (Level 3)</t>
  </si>
  <si>
    <t>Advanced apprenticeship (Level 3 or above)</t>
  </si>
  <si>
    <t>Higher apprenticeship (Level 4/5)</t>
  </si>
  <si>
    <t>Intermediate apprenticeship (Level 2)</t>
  </si>
  <si>
    <t>Intermediate apprenticeships (level 2)</t>
  </si>
  <si>
    <t>Advanced apprenticeships (level 3)</t>
  </si>
  <si>
    <t>Higher and degree apprenticeships (level 4 and above)</t>
  </si>
  <si>
    <t>Sustained apprenticeship rate</t>
  </si>
  <si>
    <t>Sustained apprenticeships</t>
  </si>
  <si>
    <t>Apprenticeship type - Filter by apprenticeship type</t>
  </si>
  <si>
    <t>Average attainment 8 score per pupil</t>
  </si>
  <si>
    <t>Cohort number</t>
  </si>
  <si>
    <t>Number NEET</t>
  </si>
  <si>
    <t>Number NEET/activity not known</t>
  </si>
  <si>
    <t>Number activity not known</t>
  </si>
  <si>
    <t>EthnicMinority - Filter by ethnic minorities</t>
  </si>
  <si>
    <t>Below Level 2 (excluding English &amp; Maths)</t>
  </si>
  <si>
    <t>Benefit learner - Filter by benefit learner status</t>
  </si>
  <si>
    <t>In receipt of benefits only</t>
  </si>
  <si>
    <t>Activity</t>
  </si>
  <si>
    <t>Characteristic - filter by characteristic</t>
  </si>
  <si>
    <t>Number of pupils completing key stage 4</t>
  </si>
  <si>
    <t>Number of pupils completing 16-18 study</t>
  </si>
  <si>
    <t>Total cohort (average of Dec/Jan/Feb)</t>
  </si>
  <si>
    <t>Percentage of the cohort with an EHCP</t>
  </si>
  <si>
    <t xml:space="preserve"> Qualification levels</t>
  </si>
  <si>
    <t>Total cohort (March)</t>
  </si>
  <si>
    <t xml:space="preserve"> Alternative provision</t>
  </si>
  <si>
    <t>Percentage of the cohort with no SEN</t>
  </si>
  <si>
    <t>Percentage of the cohort who have SEND support</t>
  </si>
  <si>
    <t>Confidence interval (95%) for the number of 16-24 year olds</t>
  </si>
  <si>
    <t>Confidence interval (95%) for the percentage of 16-24 year olds</t>
  </si>
  <si>
    <t>Confidence interval (95%) for the number NEET unemployed for more than 6 months</t>
  </si>
  <si>
    <t>Confidence interval (95%) for the number NEET inactive and does not want a job</t>
  </si>
  <si>
    <t>Confidence interval (95%) for the number NEET inactive and want a job</t>
  </si>
  <si>
    <t>Confidence interval (95%) for the number of NEET</t>
  </si>
  <si>
    <t>Confidence interval (95%) for the number NET</t>
  </si>
  <si>
    <t>Confidence interval (95%) for the number NEET with reason inactive as long-term or temporary sick</t>
  </si>
  <si>
    <t>Confidence interval (95%) for the number NEET with reason inactive as looking after family/home</t>
  </si>
  <si>
    <t>Confidence interval (95%) for the number NEET with reason inactive as other</t>
  </si>
  <si>
    <t>Data type</t>
  </si>
  <si>
    <t>Destination year</t>
  </si>
  <si>
    <t>Sustained education combination destination</t>
  </si>
  <si>
    <t>Sustained education destination</t>
  </si>
  <si>
    <t>Sustained employment and learning</t>
  </si>
  <si>
    <t>Employment rate of the NET group</t>
  </si>
  <si>
    <t>Sustained employment only rate</t>
  </si>
  <si>
    <t>Sustained employment rate</t>
  </si>
  <si>
    <t>English &amp; Maths</t>
  </si>
  <si>
    <t>Ethnicity group - Filter by ethnicity group</t>
  </si>
  <si>
    <t>Ethnicity - Filter by ethnicity</t>
  </si>
  <si>
    <t>Further education</t>
  </si>
  <si>
    <t>FE entry level and no identified level</t>
  </si>
  <si>
    <t>Entry level or level 1 (e.g. Entry Level Certificate, Entry Level Diploma, Level 1 Certificate, Level 1 Diploma)</t>
  </si>
  <si>
    <t>Level 2 (e.g. GCSE 9 - 4/ A* - C, Level 2 National Certificate, Level 2 National Diploma)</t>
  </si>
  <si>
    <t>Level 3 (e.g. A level, Level 3 National Certificate, Level 3 National Diploma)</t>
  </si>
  <si>
    <t>Sustained  further education rate</t>
  </si>
  <si>
    <t>Percent of matched learners achieving at this level for the first time</t>
  </si>
  <si>
    <t>Free school meals - Filter by free school meals status</t>
  </si>
  <si>
    <t>Percentage of the cohort in full-time education</t>
  </si>
  <si>
    <t>Full Level 2</t>
  </si>
  <si>
    <t>Full Level 3</t>
  </si>
  <si>
    <t>Gender - Filter by gender</t>
  </si>
  <si>
    <t>UK higher education institution</t>
  </si>
  <si>
    <t>Health condition - Filter by category of main health condition reported by respondent</t>
  </si>
  <si>
    <t>Level 4 (e.g. Higher National Certificates)</t>
  </si>
  <si>
    <t>Level 5 (e.g. Foundation degree and Higher National Diploma)</t>
  </si>
  <si>
    <t>Level 6 (e.g. Degree with/without honours)</t>
  </si>
  <si>
    <t>Sustained higher education rate (Level 6+)</t>
  </si>
  <si>
    <t>Independent schools</t>
  </si>
  <si>
    <t>Industry section</t>
  </si>
  <si>
    <t>Number of institutions</t>
  </si>
  <si>
    <t>Institution group</t>
  </si>
  <si>
    <t>Institution type</t>
  </si>
  <si>
    <t>Percentage 19 year olds achieving GCSE 9-4 standard pass in English and maths (or equivalent) between ages 16 and 19 for those who had not achieved this level by 16</t>
  </si>
  <si>
    <t>Labour market status</t>
  </si>
  <si>
    <t>Learners with earnings one year after study</t>
  </si>
  <si>
    <t>Number of matched learners with any learning destination</t>
  </si>
  <si>
    <t>Learning difficulties - Filter by learning difficulties</t>
  </si>
  <si>
    <t>Sustained learning only rate</t>
  </si>
  <si>
    <t>Sustained learning rate</t>
  </si>
  <si>
    <t>Percentage 19 year olds achieving a level 3</t>
  </si>
  <si>
    <t>Level based on LEA area or provider location</t>
  </si>
  <si>
    <t>Level 2</t>
  </si>
  <si>
    <t>Level 4/5</t>
  </si>
  <si>
    <t>Level of learning - Filter by level of learning</t>
  </si>
  <si>
    <t>Grouped level of learning - Filter by level of learning group</t>
  </si>
  <si>
    <t>Lower bound number ILO unemployed more 6 months</t>
  </si>
  <si>
    <t>Lower bound number inactive does not want a job</t>
  </si>
  <si>
    <t>Lower bound number inactive wants a job</t>
  </si>
  <si>
    <t>Lower bound number NEET</t>
  </si>
  <si>
    <t>Lower bound number NET</t>
  </si>
  <si>
    <t>Lower bound number reason inactive long-term or temporary sick</t>
  </si>
  <si>
    <t>Lower bound number reason inactive looking after family or home</t>
  </si>
  <si>
    <t>Lower bound number reason inactive other</t>
  </si>
  <si>
    <t>Lower bound annual change in NEET rate</t>
  </si>
  <si>
    <t>Lower bound annual change in NET rate</t>
  </si>
  <si>
    <t>Lower bound percent ILO unemployed less 6 months</t>
  </si>
  <si>
    <t>Lower bound percent ILO unemployed more 6 months</t>
  </si>
  <si>
    <t>Lower bound percent inactive does not want a job</t>
  </si>
  <si>
    <t>Lower bound percent inactive wants a job</t>
  </si>
  <si>
    <t>Lower bound percent NEET</t>
  </si>
  <si>
    <t>Lower bound percent NET</t>
  </si>
  <si>
    <t xml:space="preserve"> Lower bound of confidence interval (95%) for the percentage of 16-24 year olds</t>
  </si>
  <si>
    <t>Lower bound percent reason inactive long-term or temporary sick</t>
  </si>
  <si>
    <t>Lower bound percent reason inactive looking after family or home</t>
  </si>
  <si>
    <t>Lower bound percent reason inactive other</t>
  </si>
  <si>
    <t>Lower bound of confidence interval (95%) for the number of 16-24 year olds</t>
  </si>
  <si>
    <t>Median annualised earnings</t>
  </si>
  <si>
    <t>Full or part-time</t>
  </si>
  <si>
    <t>NCCIS NEET/not known</t>
  </si>
  <si>
    <t>Percentage with an EHCP who are NEET or activity not known</t>
  </si>
  <si>
    <t>Percentage with no SEN who are NEET or activity not known</t>
  </si>
  <si>
    <t>NEET and activity not known quintile</t>
  </si>
  <si>
    <t>Percentage SEND support who are NEET or activity not known</t>
  </si>
  <si>
    <t>Percentage of the cohort who are NEET or not known</t>
  </si>
  <si>
    <t>Percentage of the cohort who are NEET</t>
  </si>
  <si>
    <t>NEET quintile</t>
  </si>
  <si>
    <t>DfE LFS NEET</t>
  </si>
  <si>
    <t>DfE LFS NEET lower bound (95% confidence interval)</t>
  </si>
  <si>
    <t>ONS LFS NEET seasonally adjusted</t>
  </si>
  <si>
    <t>DfE LFS NEET upper bound (95% confidence interval)</t>
  </si>
  <si>
    <t>NEET/not known proportion</t>
  </si>
  <si>
    <t>Participation release NEET</t>
  </si>
  <si>
    <t>NEET proportion</t>
  </si>
  <si>
    <t>DfE LFS NET</t>
  </si>
  <si>
    <t>Participation release NET</t>
  </si>
  <si>
    <t>No activity captured in data</t>
  </si>
  <si>
    <t>Non-designated provision</t>
  </si>
  <si>
    <t>Level not assigned</t>
  </si>
  <si>
    <t>Activity not known quintile</t>
  </si>
  <si>
    <t>Education or employment not sustained</t>
  </si>
  <si>
    <t>Education or employment not sustained and known to be NEET</t>
  </si>
  <si>
    <t>Destination not sustained and in receipt of benefits</t>
  </si>
  <si>
    <t>Destination not sustained and not on benefits</t>
  </si>
  <si>
    <t>Destination not sustained</t>
  </si>
  <si>
    <t>Number</t>
  </si>
  <si>
    <t>Number NEET who are ILO unemployed for less than 6 months</t>
  </si>
  <si>
    <t>Number NEET who are ILO unemployed for more than 6 months</t>
  </si>
  <si>
    <t>Number NEET who were inactive and does not want a job</t>
  </si>
  <si>
    <t>Number NEET who were inactive and want a job</t>
  </si>
  <si>
    <t>Number NET</t>
  </si>
  <si>
    <t>Number NEET where reason for inactivity was long-term or temporarily sick</t>
  </si>
  <si>
    <t>Number NEET where reason for inactivity was looking after family/home</t>
  </si>
  <si>
    <t>Number NEET where reason for inactivity was other</t>
  </si>
  <si>
    <t>Number of learners matched to LEO data</t>
  </si>
  <si>
    <t>Number of learners in sustained employment</t>
  </si>
  <si>
    <t>Number of learners with earnings</t>
  </si>
  <si>
    <t>No participation and known to be NEET</t>
  </si>
  <si>
    <t>Other education destination</t>
  </si>
  <si>
    <t>Percentage of the cohort in other education and training</t>
  </si>
  <si>
    <t>Number of pupils studying other level 3 qualifications</t>
  </si>
  <si>
    <t>Other level 3 national comparator</t>
  </si>
  <si>
    <t>Other level 3 students who sustained L4+ destination</t>
  </si>
  <si>
    <t>Other level 3 progression score</t>
  </si>
  <si>
    <t>Sustained education, apprenticeship or employment</t>
  </si>
  <si>
    <t>Overall sustained destinations after one year</t>
  </si>
  <si>
    <t>Overall sustained destinations after three years</t>
  </si>
  <si>
    <t>Overall sustained destinations after five years</t>
  </si>
  <si>
    <t>Participation in education and training quintile</t>
  </si>
  <si>
    <t>Participation type</t>
  </si>
  <si>
    <t>Percent</t>
  </si>
  <si>
    <t>Confidence interval (95%) for the annual change in NEET rate</t>
  </si>
  <si>
    <t>Confidence interval (95%) for the annual change in NET rate</t>
  </si>
  <si>
    <t>Annual change in NEET rate</t>
  </si>
  <si>
    <t>Annual change in NET rate</t>
  </si>
  <si>
    <t>Confidence interval (95%) for the percentage NEET unemployed for less than 6 months</t>
  </si>
  <si>
    <t>Confidence interval (95%) for the percentage NEET unemployed for more than 6 months</t>
  </si>
  <si>
    <t>Confidence interval (95%) for the percentage NEET inactive and does not want a job</t>
  </si>
  <si>
    <t>Confidence interval (95%) for the percentage NEET inactive and want a job</t>
  </si>
  <si>
    <t>Confidence interval (95%) for the percentage NEET</t>
  </si>
  <si>
    <t>Confidence interval (95%) for the percentage NET</t>
  </si>
  <si>
    <t>Confidence interval (95%) for the percentage NEET with reason inactive as long-term or temporary sick</t>
  </si>
  <si>
    <t>Confidence interval (95%) for the percentage NEET with reason inactive as looking after family/home</t>
  </si>
  <si>
    <t>Confidence interval (95%) for the percentage of NEET with reason inactive as other</t>
  </si>
  <si>
    <t>Percentage of NEET ILO unemployed for less than 6 months</t>
  </si>
  <si>
    <t>Percentage of NEET ILO unemployed for more than 6 months</t>
  </si>
  <si>
    <t>Percentage of NEET who were inactive and does not want a job</t>
  </si>
  <si>
    <t>Percentage of NEET who were inactive and want a job</t>
  </si>
  <si>
    <t>Percentage of population NEET</t>
  </si>
  <si>
    <t>Percentage of population NET</t>
  </si>
  <si>
    <t>Percentage of NEET 16-24 year olds</t>
  </si>
  <si>
    <t>Percentage of 16-24 year olds</t>
  </si>
  <si>
    <t>Percentage of NEET where reason for inactivity was long-term or temporarily sick</t>
  </si>
  <si>
    <t>Percentage of NEET where reason for inactivity was looking after family/home</t>
  </si>
  <si>
    <t>Percentage of NEET where reason for inactivity was other</t>
  </si>
  <si>
    <t>Population (ONS estimate)</t>
  </si>
  <si>
    <t>Progression for learner overall</t>
  </si>
  <si>
    <t>Sustained progression from achieved aim</t>
  </si>
  <si>
    <t>Proportion in education and training</t>
  </si>
  <si>
    <t>Provider Type - Filter by provider type</t>
  </si>
  <si>
    <t>Provision - Filter by provision type</t>
  </si>
  <si>
    <t>9-4 standard pass in English and maths GCSEs</t>
  </si>
  <si>
    <t>Qualification</t>
  </si>
  <si>
    <t>Qualification title - Filter by qualification title</t>
  </si>
  <si>
    <t>Quarter - Filter by quarter of the year (Q4 used in analysis)</t>
  </si>
  <si>
    <t>Quarter of the year - Filter by quarter of the year. Not all comparisons are possible with all quarters.</t>
  </si>
  <si>
    <t>Number of 16-24 year olds surveyed</t>
  </si>
  <si>
    <t>Self-employed rate</t>
  </si>
  <si>
    <t>September Guarantee quintile</t>
  </si>
  <si>
    <t>Annual change in the percentage of September Guarantee offers made</t>
  </si>
  <si>
    <t>Percentage of September Guarantee offers made</t>
  </si>
  <si>
    <t>Overall absence (% of sessions)</t>
  </si>
  <si>
    <t>Persistent absentees (% of pupils)</t>
  </si>
  <si>
    <t>Sixth form college</t>
  </si>
  <si>
    <t>School sixth form &amp; Sixth form college</t>
  </si>
  <si>
    <t>Sustained positive destination rate</t>
  </si>
  <si>
    <t>Specialist provision</t>
  </si>
  <si>
    <t>Special school</t>
  </si>
  <si>
    <t>Specialist post-16 institution</t>
  </si>
  <si>
    <t>Sector subject area tier 1 - Filter by sector subject area tier 1</t>
  </si>
  <si>
    <t>Sector subject area (Tier 1 and 2) - Filter by sector subject area tier 2</t>
  </si>
  <si>
    <t>School sixth form</t>
  </si>
  <si>
    <t>Number of pupils studying tech levels</t>
  </si>
  <si>
    <t>Tech level national comparator</t>
  </si>
  <si>
    <t>Tech level students who sustained L4+ destination</t>
  </si>
  <si>
    <t>Tech level progression score</t>
  </si>
  <si>
    <t>Number in education and training</t>
  </si>
  <si>
    <t>Population estimate - Filter by NEET, NET or Total population estimates</t>
  </si>
  <si>
    <t>Percentage of the cohort participating in education and training</t>
  </si>
  <si>
    <t>Not identified in any data</t>
  </si>
  <si>
    <t>Identified as DWP/HMRC customer</t>
  </si>
  <si>
    <t>Upper bound number ILO unemployed less 6 months</t>
  </si>
  <si>
    <t>Upper bound number ILO unemployed more 6 months</t>
  </si>
  <si>
    <t>Upper bound number inactive does not want a job</t>
  </si>
  <si>
    <t>Upper bound number inactive wants a job</t>
  </si>
  <si>
    <t>Upper bound number NEET</t>
  </si>
  <si>
    <t>Upper bound number NET</t>
  </si>
  <si>
    <t>Upper bound number reason inactive long-term or temporary sick</t>
  </si>
  <si>
    <t>Upper bound number reason inactive looking after family or home</t>
  </si>
  <si>
    <t>Upper bound number reason inactive other</t>
  </si>
  <si>
    <t>Upper bound annual change in NEET rate</t>
  </si>
  <si>
    <t>Upper bound annual change in NET rate</t>
  </si>
  <si>
    <t>Upper bound percent ILO unemployed less 6 months</t>
  </si>
  <si>
    <t>Upper bound percent ILO unemployed more 6 months</t>
  </si>
  <si>
    <t>Upper bound percent inactive does not want a job</t>
  </si>
  <si>
    <t>Upper bound percent inactive wants a job</t>
  </si>
  <si>
    <t>Upper bound percent NEET</t>
  </si>
  <si>
    <t>Upper bound percent NET</t>
  </si>
  <si>
    <t>Upper bound of confidence interval (95%) for the percentage of 16-24 year olds</t>
  </si>
  <si>
    <t>Upper bound percent reason inactive long-term or temporary sick</t>
  </si>
  <si>
    <t>Upper bound percent reason inactive looking after family or home</t>
  </si>
  <si>
    <t>Upper bound percent reason inactive other</t>
  </si>
  <si>
    <t>Upper bound of confidence interval (95%) for the number of 16-24 year olds</t>
  </si>
  <si>
    <t>Cohort of vulnerable group (average of Dec/Jan/Feb)</t>
  </si>
  <si>
    <t>Percentage of the total cohort who are in a vulnerable group</t>
  </si>
  <si>
    <t>Percentage of the vulnerable group who are NEET or activity not known</t>
  </si>
  <si>
    <t>Number of years after achievement of learning aim</t>
  </si>
  <si>
    <t xml:space="preserve">vac_inc </t>
  </si>
  <si>
    <t xml:space="preserve">skillgap_inc </t>
  </si>
  <si>
    <t xml:space="preserve">sample_estab_w_vac_for_x_occ </t>
  </si>
  <si>
    <t xml:space="preserve">pt_neet </t>
  </si>
  <si>
    <t xml:space="preserve">pt_hiqual_nqf2  </t>
  </si>
  <si>
    <t xml:space="preserve">t_age_1964 </t>
  </si>
  <si>
    <t xml:space="preserve">expenditure_level </t>
  </si>
  <si>
    <t xml:space="preserve">expenditure_type </t>
  </si>
  <si>
    <t xml:space="preserve">t_expenditure_real_terms_millions </t>
  </si>
  <si>
    <t>Single site or one of multiple sites within organisation - Filter by single or multi-sites</t>
  </si>
  <si>
    <t>Establishment type - Filter by establishment type</t>
  </si>
  <si>
    <t>Number of establishments in population</t>
  </si>
  <si>
    <t>Number of establishments with at least one vacancy</t>
  </si>
  <si>
    <t>Number of establishments with at least one hard-to-fill vacancy</t>
  </si>
  <si>
    <t>Number of establishments with at least one skill gap (i.e. 1+ employee not fully proficient)</t>
  </si>
  <si>
    <t>Number of establishments with at least one skill-shortage vacancy</t>
  </si>
  <si>
    <t>Number of establishments that arranged or paid for any training in the past 12 months</t>
  </si>
  <si>
    <t>Number of vacancies</t>
  </si>
  <si>
    <t>Number of hard-to-fill vacancies</t>
  </si>
  <si>
    <t>Number of skill-shortage vacancies</t>
  </si>
  <si>
    <t>Number of skill gaps (employees not fully proficient)</t>
  </si>
  <si>
    <t>Number of employees trained in the past 12 months</t>
  </si>
  <si>
    <t>Total number of training days for employees</t>
  </si>
  <si>
    <t>Percentage of establishments with at least one vacancy</t>
  </si>
  <si>
    <t>Percentage of establishments with at least one hard-to-fill vacancy</t>
  </si>
  <si>
    <t>Percentage of establishments with at least one skill-shortage vacancy</t>
  </si>
  <si>
    <t>Percentage of establishments with at least one  skill gap (i.e. 1+ employee not fully proficient)</t>
  </si>
  <si>
    <t>Percentage of establishments that arranged or paid for any training in the past 12 months</t>
  </si>
  <si>
    <t>Vacancy density (vacancies per 100 employees)</t>
  </si>
  <si>
    <t>Hard-to-fill vacancy density (HtF vacancies as a share of vacancies)</t>
  </si>
  <si>
    <t>Skill-shortage vacancy density (SSVs as a share of vacancies)</t>
  </si>
  <si>
    <t>Skill gap density (the proportion of employees judged not fully proficient)</t>
  </si>
  <si>
    <t>Proportion of employees that received any training in the past 12 months</t>
  </si>
  <si>
    <t>Average number of days training per employee</t>
  </si>
  <si>
    <t>Average number of days training per trainee</t>
  </si>
  <si>
    <t>Sample size in the Investment in Training follow-up survey</t>
  </si>
  <si>
    <t>Investment in training per employee</t>
  </si>
  <si>
    <t>Investment in training per trainee</t>
  </si>
  <si>
    <t>Total investment through off-the-job training</t>
  </si>
  <si>
    <t>Total investment through on-the-job training</t>
  </si>
  <si>
    <t xml:space="preserve"> Total investment through all training</t>
  </si>
  <si>
    <t>Number of establishments with at least one vacancy at the 4 digit SOC level</t>
  </si>
  <si>
    <t>1 digit SOC code and name - Filter by 1 digit SOC code (SOC2010)</t>
  </si>
  <si>
    <t>2 digit SOC code and name - Filter by 2 digit SOC code (SOC2010)</t>
  </si>
  <si>
    <t>3 digit SOC code and name - Filter by 3 digit SOC code (SOC2010)</t>
  </si>
  <si>
    <t>4 digit SOC code and name - Filter by 4 digit SOC code (SOC2010)</t>
  </si>
  <si>
    <t>School type</t>
  </si>
  <si>
    <t>Number of schools</t>
  </si>
  <si>
    <t>Number of pupils</t>
  </si>
  <si>
    <t>Full-time equivalent number of teachers</t>
  </si>
  <si>
    <t>Pupil-teacher ratio</t>
  </si>
  <si>
    <t>Number of FE students</t>
  </si>
  <si>
    <t>Total economically inactive</t>
  </si>
  <si>
    <t xml:space="preserve"> Total people in relevant population group</t>
  </si>
  <si>
    <t>Total unemployed</t>
  </si>
  <si>
    <t>People who were NEET as a percentage of people in relevant population group</t>
  </si>
  <si>
    <t>Percentage of population with their highest qualification as NQF level 2 or above</t>
  </si>
  <si>
    <t>Percentage of population with their highest qualification as NQF level 3 or above</t>
  </si>
  <si>
    <t>Percentage of population with their highest qualification as NQF level 4 or above</t>
  </si>
  <si>
    <t>Percentage of population with their highest qualification as SCQF level 5 or above</t>
  </si>
  <si>
    <t>Percentage of population with their highest qualification as SCQF level 6 or above</t>
  </si>
  <si>
    <t>Percentage of population with their highest qualification as SCQF level 7 or above</t>
  </si>
  <si>
    <t>Total 19-64 year olds in the population (thousands)</t>
  </si>
  <si>
    <t>Education function</t>
  </si>
  <si>
    <t>Expenditure level</t>
  </si>
  <si>
    <t>Expenditure type</t>
  </si>
  <si>
    <t>Total expenditure as a percentage of GDP</t>
  </si>
  <si>
    <t>Total expenditure (millions)</t>
  </si>
  <si>
    <t>Total expenditure in real terms (millions)</t>
  </si>
  <si>
    <t>Unweighted base of establishments with vacancies</t>
  </si>
  <si>
    <t>A</t>
  </si>
  <si>
    <t>B</t>
  </si>
  <si>
    <t>Number of employees</t>
  </si>
  <si>
    <t>estab_size</t>
  </si>
  <si>
    <t>Establishment size - Filter by establishment size</t>
  </si>
  <si>
    <t>Unweighted base of establishments</t>
  </si>
  <si>
    <t>Sector - Filter by sector</t>
  </si>
  <si>
    <t>Detailed destinations of 16 to 18 year olds in FE</t>
  </si>
  <si>
    <t>UKEdTraining</t>
  </si>
  <si>
    <t>Qualification levels</t>
  </si>
  <si>
    <t>detailedlevel</t>
  </si>
  <si>
    <t>learnerhomedepriv</t>
  </si>
  <si>
    <t>retentionrate</t>
  </si>
  <si>
    <t>passrate</t>
  </si>
  <si>
    <t>achievementrate</t>
  </si>
  <si>
    <t>academicyear</t>
  </si>
  <si>
    <t>Startacademicyear</t>
  </si>
  <si>
    <t>numberineducationandtraining</t>
  </si>
  <si>
    <t>percentineducationndtraining</t>
  </si>
  <si>
    <t>numbereducation,trainingandemployment</t>
  </si>
  <si>
    <t>Pecentineducation,trainingandemployment</t>
  </si>
  <si>
    <t>fundingtype</t>
  </si>
  <si>
    <t>Activitynotknownproportion</t>
  </si>
  <si>
    <t>Percentageofthecohortwithactivitynotknown</t>
  </si>
  <si>
    <t>Overall_Sustainededucation,employment&amp;apprenticeships</t>
  </si>
  <si>
    <t>Degreeclass</t>
  </si>
  <si>
    <t>GraduateEmploymentRate</t>
  </si>
  <si>
    <t>GraduateHigh-SkilledEmploymentRate</t>
  </si>
  <si>
    <t>MedianSalaryforGraduates(tothenearest£500)</t>
  </si>
  <si>
    <t>MedianSalaryPremiumforGraduatesoverNon-Graduates</t>
  </si>
  <si>
    <t>VariableName</t>
  </si>
  <si>
    <t>annual_change_apprenticeship</t>
  </si>
  <si>
    <t>annualchange_NEET</t>
  </si>
  <si>
    <t>Apprenticeship_percent</t>
  </si>
  <si>
    <t>VG_cohort_DJF_avg</t>
  </si>
  <si>
    <t>AppHigherPercentPA</t>
  </si>
  <si>
    <t>sess_overall_percent</t>
  </si>
  <si>
    <t>percent_NEET</t>
  </si>
  <si>
    <t>Full_time_education_percent</t>
  </si>
  <si>
    <t>TOTAL_participating_in_education_and_training_percent</t>
  </si>
  <si>
    <t>Notknown_percent</t>
  </si>
  <si>
    <t>sess_overall_percent_pa_10_exact</t>
  </si>
  <si>
    <t>cohort_March</t>
  </si>
  <si>
    <t>achievements_percentage_within_year</t>
  </si>
  <si>
    <t>a_full_level_2</t>
  </si>
  <si>
    <t>a_level_3</t>
  </si>
  <si>
    <t>a_level_4plus</t>
  </si>
  <si>
    <t>a_no_level_assigned</t>
  </si>
  <si>
    <t>learner_home_IMD</t>
  </si>
  <si>
    <t>p_level_2</t>
  </si>
  <si>
    <t>p_level_3</t>
  </si>
  <si>
    <t>starts_percent</t>
  </si>
  <si>
    <t>a_total</t>
  </si>
  <si>
    <t>tship_start_qtr</t>
  </si>
  <si>
    <t>multiple</t>
  </si>
  <si>
    <t>multiple count</t>
  </si>
  <si>
    <t>VarNameToUse</t>
  </si>
  <si>
    <t>This is not in the AllVar sheet</t>
  </si>
  <si>
    <t>Free school meal status</t>
  </si>
  <si>
    <t>Higher education institution region</t>
  </si>
  <si>
    <t>I think these need to be split out in the AllVar table</t>
  </si>
  <si>
    <t>Quarter of the year</t>
  </si>
  <si>
    <t>VarName</t>
  </si>
  <si>
    <t>VarName Check</t>
  </si>
  <si>
    <t>Activity not captured (Destinations)</t>
  </si>
  <si>
    <t>Number of institutions (Destinations)</t>
  </si>
  <si>
    <t>Characteristic group</t>
  </si>
  <si>
    <t>Characteristic detail</t>
  </si>
  <si>
    <t>Number of institutions (UKEdTraining)</t>
  </si>
  <si>
    <t>Comment</t>
  </si>
  <si>
    <t>agree</t>
  </si>
  <si>
    <t>These are looking at the annual change in different things can this be added and called Annual change in percent participating</t>
  </si>
  <si>
    <t>These are looking at the annual change in different things. Can this be added and called annual change in percent in education and training</t>
  </si>
  <si>
    <t>We discussed this one</t>
  </si>
  <si>
    <t>Apprenticeship percent</t>
  </si>
  <si>
    <t>annual_paticipation_percentage_change</t>
  </si>
  <si>
    <t>time period</t>
  </si>
  <si>
    <t>time identifier</t>
  </si>
  <si>
    <t>geographic level</t>
  </si>
  <si>
    <t>la name</t>
  </si>
  <si>
    <t>lad code</t>
  </si>
  <si>
    <t>lad name</t>
  </si>
  <si>
    <t>Framework standard</t>
  </si>
  <si>
    <t>Country code</t>
  </si>
  <si>
    <t>Country Name</t>
  </si>
  <si>
    <t>new la code</t>
  </si>
  <si>
    <t>old la code</t>
  </si>
  <si>
    <t>opportunity area code</t>
  </si>
  <si>
    <t>opportunity area name</t>
  </si>
  <si>
    <t>Local Enterprise Partnership code</t>
  </si>
  <si>
    <t>Local Enterprise Partnership name</t>
  </si>
  <si>
    <t>English devolved area code</t>
  </si>
  <si>
    <t>English devolved area name</t>
  </si>
  <si>
    <t>Standard Framework name code</t>
  </si>
  <si>
    <t>Characteristics Type</t>
  </si>
  <si>
    <t>Age Summary</t>
  </si>
  <si>
    <t>Age summary with unknown</t>
  </si>
  <si>
    <t>Sector subject area (tier 1) description</t>
  </si>
  <si>
    <t>Sector subject area (tier 2) description</t>
  </si>
  <si>
    <t>learner home deprivation</t>
  </si>
  <si>
    <t>Ethnicity detailed</t>
  </si>
  <si>
    <t>Academic Year</t>
  </si>
  <si>
    <t>Start Academic Year</t>
  </si>
  <si>
    <t>Start Age</t>
  </si>
  <si>
    <t>Tship starts</t>
  </si>
  <si>
    <t>Start rate per 10000 population</t>
  </si>
  <si>
    <t>Start Percentage with provider type</t>
  </si>
  <si>
    <t>Achievement</t>
  </si>
  <si>
    <t>Total</t>
  </si>
  <si>
    <t>Mode</t>
  </si>
  <si>
    <t>Mature</t>
  </si>
  <si>
    <t>Count</t>
  </si>
  <si>
    <t>Percentage in education and training</t>
  </si>
  <si>
    <t>Number in education, training and employment</t>
  </si>
  <si>
    <t>Percentage in education, training and employment</t>
  </si>
  <si>
    <t>Participation rate per 10000 population</t>
  </si>
  <si>
    <t>participation percentage change</t>
  </si>
  <si>
    <t>Annual percentage change et</t>
  </si>
  <si>
    <t>Aim enrolment</t>
  </si>
  <si>
    <t>High learners</t>
  </si>
  <si>
    <t>Provider name</t>
  </si>
  <si>
    <t>Learn Percent</t>
  </si>
  <si>
    <t>First Time At Level</t>
  </si>
  <si>
    <t>Qualification TR</t>
  </si>
  <si>
    <t>Learn percent</t>
  </si>
  <si>
    <t>Funding Type</t>
  </si>
  <si>
    <t>Employment Percentage</t>
  </si>
  <si>
    <t>Positive Destination Rate</t>
  </si>
  <si>
    <t>E and T Aims enrolment</t>
  </si>
  <si>
    <t>E and T aims achievement</t>
  </si>
  <si>
    <t>Cohort Level Group</t>
  </si>
  <si>
    <t>Average Cohort</t>
  </si>
  <si>
    <t>Activity not know proportion</t>
  </si>
  <si>
    <t>Institution or apprenticeship grouping</t>
  </si>
  <si>
    <t>category grouping</t>
  </si>
  <si>
    <t>health condition grouping</t>
  </si>
  <si>
    <t>Overall Sustained education, employment and apprenticeships</t>
  </si>
  <si>
    <t>Below Level 2 Percent</t>
  </si>
  <si>
    <t>Level 2 Percent</t>
  </si>
  <si>
    <t>Level 3 Percent</t>
  </si>
  <si>
    <t>Not Assigned Percent</t>
  </si>
  <si>
    <t>Apprenticeship Advanced Percent</t>
  </si>
  <si>
    <t>Achievements Family English maths and language</t>
  </si>
  <si>
    <t>Participation Family English maths and language</t>
  </si>
  <si>
    <t>Participation - Family English maths and language</t>
  </si>
  <si>
    <t>Graduate Type</t>
  </si>
  <si>
    <t>parliamentary constituency code</t>
  </si>
  <si>
    <t>parliamentary constituency name</t>
  </si>
  <si>
    <t>Percentage starts</t>
  </si>
  <si>
    <t>Percentage achievements</t>
  </si>
  <si>
    <t>annual participation percentage change</t>
  </si>
  <si>
    <t>Apprenticeship Higher Percent</t>
  </si>
  <si>
    <t>School URN</t>
  </si>
  <si>
    <t>School LAESTAB</t>
  </si>
  <si>
    <t>School Name</t>
  </si>
  <si>
    <t>Age in Higher Education</t>
  </si>
  <si>
    <t>Employment  proportion</t>
  </si>
  <si>
    <t>Unemployment proportion</t>
  </si>
  <si>
    <t>total number of starts FY 2122</t>
  </si>
  <si>
    <t>qualification number</t>
  </si>
  <si>
    <t>GCSE</t>
  </si>
  <si>
    <t>SPD Percent</t>
  </si>
  <si>
    <t>Employment Percent</t>
  </si>
  <si>
    <t>Employment Only Percent</t>
  </si>
  <si>
    <t>Employment and learning percent</t>
  </si>
  <si>
    <t>Learn only percent</t>
  </si>
  <si>
    <t>Higher Education Percent</t>
  </si>
  <si>
    <t>Further Education Percent</t>
  </si>
  <si>
    <t>Education Percent</t>
  </si>
  <si>
    <t>Wholesale retail percent</t>
  </si>
  <si>
    <t>public administration percent</t>
  </si>
  <si>
    <t>professional scientific technical percent</t>
  </si>
  <si>
    <t>transport percent</t>
  </si>
  <si>
    <t>agriculture percent</t>
  </si>
  <si>
    <t>health and social care percent</t>
  </si>
  <si>
    <t>construction percent</t>
  </si>
  <si>
    <t>information and communication percent</t>
  </si>
  <si>
    <t>administration percent</t>
  </si>
  <si>
    <t>manufacturing percent</t>
  </si>
  <si>
    <t>real estate percent</t>
  </si>
  <si>
    <t>arts percent</t>
  </si>
  <si>
    <t>finance percent</t>
  </si>
  <si>
    <t>hospitality percent</t>
  </si>
  <si>
    <t>sector information not available percent</t>
  </si>
  <si>
    <t>science mathematics percent</t>
  </si>
  <si>
    <t>retail commercial percent</t>
  </si>
  <si>
    <t>history philosophy theology percent</t>
  </si>
  <si>
    <t>social sciences percent</t>
  </si>
  <si>
    <t>leisure travel tourism percent</t>
  </si>
  <si>
    <t>business admin law percent</t>
  </si>
  <si>
    <t>health services care percent</t>
  </si>
  <si>
    <t>life skills percent</t>
  </si>
  <si>
    <t>subject information not available percent</t>
  </si>
  <si>
    <t>sustained learning destination</t>
  </si>
  <si>
    <t>level group</t>
  </si>
  <si>
    <t>qualification rank</t>
  </si>
  <si>
    <t>pct qualification</t>
  </si>
  <si>
    <t>pct subject</t>
  </si>
  <si>
    <t>pct level</t>
  </si>
  <si>
    <t>pct subsector</t>
  </si>
  <si>
    <t>pct sector</t>
  </si>
  <si>
    <t>pct region</t>
  </si>
  <si>
    <t>next qualification title</t>
  </si>
  <si>
    <t>next level group</t>
  </si>
  <si>
    <t>next subject</t>
  </si>
  <si>
    <t>destination rank</t>
  </si>
  <si>
    <t>pct employees</t>
  </si>
  <si>
    <t>Employer Size</t>
  </si>
  <si>
    <t>Two Digit Sector</t>
  </si>
  <si>
    <t>Legal Status</t>
  </si>
  <si>
    <t>Number of Enterprises</t>
  </si>
  <si>
    <t>Apprentices Per 1k Employees</t>
  </si>
  <si>
    <t>Enterprises With Apps Per 1k Entrants</t>
  </si>
  <si>
    <t>number of participants reported</t>
  </si>
  <si>
    <t>number completing</t>
  </si>
  <si>
    <t>new opportunities</t>
  </si>
  <si>
    <t>new responsibilities</t>
  </si>
  <si>
    <t>new employment</t>
  </si>
  <si>
    <t>new role</t>
  </si>
  <si>
    <t>no change</t>
  </si>
  <si>
    <t>Employment</t>
  </si>
  <si>
    <t>Self Employment</t>
  </si>
  <si>
    <t>Learn Only</t>
  </si>
  <si>
    <t>Below Level 2</t>
  </si>
  <si>
    <t>English, maths</t>
  </si>
  <si>
    <t>Full Level2</t>
  </si>
  <si>
    <t>Full Level3</t>
  </si>
  <si>
    <t>Level 4 Plus</t>
  </si>
  <si>
    <t>Not Assigned</t>
  </si>
  <si>
    <t>App Intermediate</t>
  </si>
  <si>
    <t>App Advanced Plus</t>
  </si>
  <si>
    <t>Any Learn</t>
  </si>
  <si>
    <t>Not Sustained</t>
  </si>
  <si>
    <t>Not Sustained NB</t>
  </si>
  <si>
    <t>Not Sustained Benefit</t>
  </si>
  <si>
    <t>No Destination</t>
  </si>
  <si>
    <t>Type of higher Education level learning (broad)</t>
  </si>
  <si>
    <t>Phase of education (UKEdTraining)</t>
  </si>
  <si>
    <t>notional nvq level</t>
  </si>
  <si>
    <t>Qualification sublevel</t>
  </si>
  <si>
    <t>Achievement Percentage Change</t>
  </si>
  <si>
    <t>Apprenticeship Intermediate Percent</t>
  </si>
  <si>
    <t>other activities percent</t>
  </si>
  <si>
    <t>ents with apprenticeship starts per 1000</t>
  </si>
  <si>
    <t>Alternative provision</t>
  </si>
  <si>
    <t>Lower bound of confidence interval (95%) for the percentage of 16-24 year olds</t>
  </si>
  <si>
    <t>Total investment through all training</t>
  </si>
  <si>
    <t>Total people in relevant population group</t>
  </si>
  <si>
    <t>Percentage of employees starting apprenticeships in period</t>
  </si>
  <si>
    <t>Percentage of the cohort with no Special Education Needs</t>
  </si>
  <si>
    <t>Percentage of the cohort who have Special Educational Needs and Disability support</t>
  </si>
  <si>
    <t>Level based on Local Education Authority area or provider location</t>
  </si>
  <si>
    <t>Lower bound number not in education, employment or training</t>
  </si>
  <si>
    <t>Lower bound annual change in not in education, employment or training rate</t>
  </si>
  <si>
    <t>Lower bound percent not in education, employment or training</t>
  </si>
  <si>
    <t>Percentage with no Special Educational Needs who are not in education, employment or training or activity not known</t>
  </si>
  <si>
    <t>not in education, employment or training and activity not known quintile</t>
  </si>
  <si>
    <t>Percentage Special Educational Needs and Disability support who are not in education, employment or training or activity not known</t>
  </si>
  <si>
    <t>Percentage of the cohort who are not in education, employment or training or not known</t>
  </si>
  <si>
    <t>Percentage of the cohort who are not in education, employment or training</t>
  </si>
  <si>
    <t>Not in education, employment or training quintile</t>
  </si>
  <si>
    <t>Achievements, basic skills</t>
  </si>
  <si>
    <t>Annual change in: not in education, employment or training/not known rate</t>
  </si>
  <si>
    <t>Annual change in the percentage of the cohort who are not in education, employment or training or not known</t>
  </si>
  <si>
    <t>Annual change in the percentage of the cohort who are not in education, employment or training</t>
  </si>
  <si>
    <t>Below Level 2 (excluding English and maths)</t>
  </si>
  <si>
    <t>Percentage of the cohort with an Education Health and Care Plan</t>
  </si>
  <si>
    <t>Confidence interval (95%) for the number not in education, employment or training unemployed for more than 6 months</t>
  </si>
  <si>
    <t>Confidence interval (95%) for the number not in education, employment or training inactive and does not want a job</t>
  </si>
  <si>
    <t>Confidence interval (95%) for the number not in education, employment or training inactive and want a job</t>
  </si>
  <si>
    <t>Confidence interval (95%) for the number of not in education, employment or training</t>
  </si>
  <si>
    <t>Confidence interval (95%) for the number not in education, employment or training with reason inactive as long-term or temporary sick</t>
  </si>
  <si>
    <t>Confidence interval (95%) for the number not in education, employment or training with reason inactive as looking after family/home</t>
  </si>
  <si>
    <t>Confidence interval (95%) for the number not in education, employment or training with reason inactive as other</t>
  </si>
  <si>
    <t>English and maths</t>
  </si>
  <si>
    <t>Further education entry level and no identified level</t>
  </si>
  <si>
    <t>Lower bound percent not in education or training</t>
  </si>
  <si>
    <t>Participation release not in education or training</t>
  </si>
  <si>
    <t>Number not in education or training</t>
  </si>
  <si>
    <t>Confidence interval (95%) for the annual change in not in education or training rate</t>
  </si>
  <si>
    <t>Annual change in not in education or training rate</t>
  </si>
  <si>
    <t>Confidence interval (95%) for the percentage not in education or training</t>
  </si>
  <si>
    <t>Percentage of population not in education or training</t>
  </si>
  <si>
    <t>Upper bound number not in education or training</t>
  </si>
  <si>
    <t>Upper bound annual change in not in education or training rate</t>
  </si>
  <si>
    <t>Upper bound percent not in education or training</t>
  </si>
  <si>
    <t>Confidence interval (95%) for the number not in education or training</t>
  </si>
  <si>
    <t>Employment rate of the not in education or training group</t>
  </si>
  <si>
    <t>Lower bound number not in education or training</t>
  </si>
  <si>
    <t>Lower bound annual change in not in education or training rate</t>
  </si>
  <si>
    <t>Participation release not in education, employment or training</t>
  </si>
  <si>
    <t>Number not in education, employment or training who were inactive and does not want a job</t>
  </si>
  <si>
    <t>Number not in education, employment or training who were inactive and want a job</t>
  </si>
  <si>
    <t>Number not in education, employment or training</t>
  </si>
  <si>
    <t>Number not in education, employment or training where reason for inactivity was long-term or temporarily sick</t>
  </si>
  <si>
    <t>Number not in education, employment or training where reason for inactivity was looking after family/home</t>
  </si>
  <si>
    <t>Number not in education, employment or training where reason for inactivity was other</t>
  </si>
  <si>
    <t>Confidence interval (95%) for the annual change in not in education, employment or training rate</t>
  </si>
  <si>
    <t>Annual change in not in education, employment or training rate</t>
  </si>
  <si>
    <t>Confidence interval (95%) for the percentage not in education, employment or training unemployed for less than 6 months</t>
  </si>
  <si>
    <t>Confidence interval (95%) for the percentage not in education, employment or training unemployed for more than 6 months</t>
  </si>
  <si>
    <t>Confidence interval (95%) for the percentage not in education, employment or training inactive and does not want a job</t>
  </si>
  <si>
    <t>Confidence interval (95%) for the percentage not in education, employment or training inactive and want a job</t>
  </si>
  <si>
    <t>Confidence interval (95%) for the percentage not in education, employment or training</t>
  </si>
  <si>
    <t>Confidence interval (95%) for the percentage not in education, employment or training with reason inactive as long-term or temporary sick</t>
  </si>
  <si>
    <t>Confidence interval (95%) for the percentage not in education, employment or training with reason inactive as looking after family/home</t>
  </si>
  <si>
    <t>Confidence interval (95%) for the percentage of not in education, employment or training with reason inactive as other</t>
  </si>
  <si>
    <t>Percentage of not in education, employment or training who were inactive and does not want a job</t>
  </si>
  <si>
    <t>Percentage of not in education, employment or training who were inactive and want a job</t>
  </si>
  <si>
    <t>Percentage of population not in education, employment or training</t>
  </si>
  <si>
    <t>Percentage of not in education, employment or training 16-24 year olds</t>
  </si>
  <si>
    <t>Percentage of not in education, employment or training where reason for inactivity was long-term or temporarily sick</t>
  </si>
  <si>
    <t>Percentage of not in education, employment or training where reason for inactivity was looking after family/home</t>
  </si>
  <si>
    <t>Percentage of not in education, employment or training where reason for inactivity was other</t>
  </si>
  <si>
    <t>Upper bound number not in education, employment or training</t>
  </si>
  <si>
    <t>Upper bound annual change in not in education, employment or training rate</t>
  </si>
  <si>
    <t>Upper bound percent not in education, employment or training</t>
  </si>
  <si>
    <t>Top third higher education destination</t>
  </si>
  <si>
    <t>Not in education, employment or training proportion</t>
  </si>
  <si>
    <t>Higher education Entry Percentage by Age 25 (Females)</t>
  </si>
  <si>
    <t>Higher education Entry Percentage by Age 25 (First Degrees)</t>
  </si>
  <si>
    <t>Higher education Entry Percentage by Age 25 (Full Time)</t>
  </si>
  <si>
    <t>Regional higher education Entry Percentage by Age 25 (Lowest)</t>
  </si>
  <si>
    <t>Regional higher education Entry Percentage by Age 25 (Highest)</t>
  </si>
  <si>
    <t>Higher education Entry Percentage by Age 25 (Overall)</t>
  </si>
  <si>
    <t>Adult further education and skills - Level 4+</t>
  </si>
  <si>
    <t>Adult further education and skills - Full Level 2</t>
  </si>
  <si>
    <t>Adult further education and skills - Full Level3</t>
  </si>
  <si>
    <t>Individualised learner record snapshot and L3 offer course list used</t>
  </si>
  <si>
    <t>Science, Technology, Engineering and Mathematics</t>
  </si>
  <si>
    <t>Common aggregation hierarchy subject first level grouping</t>
  </si>
  <si>
    <t>Common aggregation hierarchy subject second level grouping</t>
  </si>
  <si>
    <t>High Tariff HE Progression Rate (Free School Meals)</t>
  </si>
  <si>
    <t>High Tariff Higher Education Progression Rate (Independent)</t>
  </si>
  <si>
    <t>High Tariff HE Progression Rate (Non-Free School Meals)</t>
  </si>
  <si>
    <t>High Tariff Higher Education Progression Rate (State)</t>
  </si>
  <si>
    <t>High Tariff Higher Education Progression Rate (lowest ethnic group - White)</t>
  </si>
  <si>
    <t>Number of higher education students</t>
  </si>
  <si>
    <t>Higher education Progression Rate (Free School Meals gap)</t>
  </si>
  <si>
    <t>Index of Multiple deprivation</t>
  </si>
  <si>
    <t>Information and communications technology percent</t>
  </si>
  <si>
    <t>Number of establishments with at least one vacancy at the 4 digit Standard Occupational Classification level</t>
  </si>
  <si>
    <t>People who were not in employment, education or training as a percentage of people in relevant population group</t>
  </si>
  <si>
    <t>Teaching excellence framework Rating</t>
  </si>
  <si>
    <t>Special educational needs status</t>
  </si>
  <si>
    <t>School Type (higher education)</t>
  </si>
  <si>
    <t>Higher education Progression Rate (State)</t>
  </si>
  <si>
    <t>Higher education Progression Rate (Independent)</t>
  </si>
  <si>
    <t>Higher education Progression Rate (greatest increase - Black)</t>
  </si>
  <si>
    <t>Higher education Progression Rate (free school meals highest region – Inner London)</t>
  </si>
  <si>
    <t>Higher education Progression Rate (free school meals)</t>
  </si>
  <si>
    <t>Higher education progression rate (Female)</t>
  </si>
  <si>
    <t>Higher education Progression Rate</t>
  </si>
  <si>
    <t>Percentage of higher education Students</t>
  </si>
  <si>
    <t>Number of learners matched to longitudinal education outcomes data</t>
  </si>
  <si>
    <t>Percentage with an education health and care plan who are not in education, employment or training or activity not known</t>
  </si>
  <si>
    <t>Institution or apprenticeship</t>
  </si>
  <si>
    <t>Apprenticeship level 3</t>
  </si>
  <si>
    <t>High-skilled Employment Proportion</t>
  </si>
  <si>
    <t>TableLink</t>
  </si>
  <si>
    <t>https://content.explore-education-statistics.service.gov.uk/api/releases/917e1faf-d197-4432-a774-2b9bb42250da/files</t>
  </si>
  <si>
    <t>https://content.explore-education-statistics.service.gov.uk/api/releases/9703a47c-8cf3-4a23-9d29-85fc92e97e2b/files</t>
  </si>
  <si>
    <t>https://content.explore-education-statistics.service.gov.uk/api/releases/91d6e6f6-3bb0-4d94-b50f-d7bc575490da/files</t>
  </si>
  <si>
    <t>https://content.explore-education-statistics.service.gov.uk/api/releases/62b83f1e-bd31-4f31-a057-08dafac27bd4/files</t>
  </si>
  <si>
    <t>https://content.explore-education-statistics.service.gov.uk/api/releases/12917af1-5ea9-4ccd-5204-08db5b5bbcc5/files</t>
  </si>
  <si>
    <t>https://content.explore-education-statistics.service.gov.uk/api/releases/e61fc007-b36c-4b43-3384-08dabce48ae9/files</t>
  </si>
  <si>
    <t>https://content.explore-education-statistics.service.gov.uk/api/releases/00f0cf1c-524c-4a16-bdfd-b7b88f404818/files</t>
  </si>
  <si>
    <t>https://content.explore-education-statistics.service.gov.uk/api/releases/6d697140-ea84-440b-8c19-097880336f07/files</t>
  </si>
  <si>
    <t>https://content.explore-education-statistics.service.gov.uk/api/releases/6681cbfd-2aee-43f7-da58-08da7ea18d85/files</t>
  </si>
  <si>
    <t>https://content.explore-education-statistics.service.gov.uk/api/releases/ba4d7736-6eb6-48f3-0adc-08da372be1c6/files</t>
  </si>
  <si>
    <t>https://content.explore-education-statistics.service.gov.uk/api/releases/0356970c-e995-468e-a9c0-48de8d0aaac2/files</t>
  </si>
  <si>
    <t>https://content.explore-education-statistics.service.gov.uk/api/releases/c015d818-6e80-4960-5b14-08dac15a79b3/files</t>
  </si>
  <si>
    <t>https://content.explore-education-statistics.service.gov.uk/api/releases/e51b8462-8e7a-4205-be75-08db3804aede/files</t>
  </si>
  <si>
    <t>https://content.explore-education-statistics.service.gov.uk/api/releases/7b5caba6-a9ee-41e2-be76-08db3804aede/files</t>
  </si>
  <si>
    <t>https://content.explore-education-statistics.service.gov.uk/api/releases/70f1d68f-717d-4c10-55ef-08da372979d8/files</t>
  </si>
  <si>
    <t>https://content.explore-education-statistics.service.gov.uk/api/releases/ead3872f-7a51-4d85-be3f-198b76672ae2/files</t>
  </si>
  <si>
    <t>https://content.explore-education-statistics.service.gov.uk/api/releases/6b862511-29b0-441d-eb38-08db2077a190/files</t>
  </si>
  <si>
    <t>https://content.explore-education-statistics.service.gov.uk/api/releases/62d8f524-af23-4e6a-ca78-08dacbb97919/files</t>
  </si>
  <si>
    <t>https://content.explore-education-statistics.service.gov.uk/api/releases/78d3da62-9128-4880-736f-08da11740e00/files</t>
  </si>
  <si>
    <t>https://content.explore-education-statistics.service.gov.uk/api/releases/5800b165-7f80-4666-5fc8-08da1877cf54/files</t>
  </si>
  <si>
    <t>https://content.explore-education-statistics.service.gov.uk/api/releases/bccf0815-c9bc-4d3f-9884-aad7fb8277fa/files</t>
  </si>
  <si>
    <t>https://content.explore-education-statistics.service.gov.uk/api/releases/2272779c-3acc-4573-c8d1-08d99ec2556d/files</t>
  </si>
  <si>
    <t>https://content.explore-education-statistics.service.gov.uk/api/releases/dbd30338-f0c9-4740-aec0-93e79f50f27c/files</t>
  </si>
  <si>
    <t>https://content.explore-education-statistics.service.gov.uk/api/releases/fdbb2b36-05ca-4009-ebfe-08dad5fc8492/files</t>
  </si>
  <si>
    <t>https://content.explore-education-statistics.service.gov.uk/api/releases/21eab3c3-5cf6-4165-972f-8d28e8562a26/files</t>
  </si>
  <si>
    <t>Metric or Attribute</t>
  </si>
  <si>
    <t>Metric</t>
  </si>
  <si>
    <t>Attribute</t>
  </si>
  <si>
    <t>Total learners</t>
  </si>
  <si>
    <t>Total free courses for jobs total achievements under original offer (April 21 to January 23)</t>
  </si>
  <si>
    <t>Total aim achievements</t>
  </si>
  <si>
    <t>Total free courses for jobs total achievements including extended offer (April 21 to January 23)</t>
  </si>
  <si>
    <t>Total enrolments by any adult on offer courses</t>
  </si>
  <si>
    <t xml:space="preserve">Total participation in education and training </t>
  </si>
  <si>
    <t>Total participation in further education and skills</t>
  </si>
  <si>
    <t>Total free courses for jobs total starts including extended offer (April 21 to January 23)</t>
  </si>
  <si>
    <t>Total free courses for jobs total starts under original offer (April 21 to January 23)</t>
  </si>
  <si>
    <t>Graduate Breakdown</t>
  </si>
  <si>
    <t>Graduate Characteristic</t>
  </si>
  <si>
    <t xml:space="preserve">Graduate Age Group </t>
  </si>
  <si>
    <t xml:space="preserve">Industry section group </t>
  </si>
  <si>
    <t>Graduate industry of employment one year after graduation</t>
  </si>
  <si>
    <t>Graduate industry of employment three year after graduation</t>
  </si>
  <si>
    <t>Graduate industry of employment five year after graduation</t>
  </si>
  <si>
    <t>Quarter (Q4 used in analysis)</t>
  </si>
  <si>
    <t>Access to Higher Education</t>
  </si>
  <si>
    <t>Age Group</t>
  </si>
  <si>
    <t>Apprenticeship type</t>
  </si>
  <si>
    <t>Ethnic Minority</t>
  </si>
  <si>
    <t>Benefit learner</t>
  </si>
  <si>
    <t>Main health condition reported by respondent</t>
  </si>
  <si>
    <t>Learning difficulties</t>
  </si>
  <si>
    <t>Level of learning</t>
  </si>
  <si>
    <t xml:space="preserve">Grouped level of learning </t>
  </si>
  <si>
    <t>Provider Type</t>
  </si>
  <si>
    <t>Qualification title</t>
  </si>
  <si>
    <t>Free school meals status</t>
  </si>
  <si>
    <t>Graduates' higher education institution region</t>
  </si>
  <si>
    <t>Sector subject area tier 1</t>
  </si>
  <si>
    <t xml:space="preserve">Sector subject area (Tier 1 and 2) </t>
  </si>
  <si>
    <t>Total not in employment, education or training, 'not in education or training' or Total population estimates</t>
  </si>
  <si>
    <t>Sector Subject Area</t>
  </si>
  <si>
    <t>Sub-sector</t>
  </si>
  <si>
    <t>Age band at start of stud</t>
  </si>
  <si>
    <t>Region</t>
  </si>
  <si>
    <t>Domicile</t>
  </si>
  <si>
    <t>Ethnicity broad (with Chinese)</t>
  </si>
  <si>
    <t>Region prior to Higher Education study</t>
  </si>
  <si>
    <t>Methodology</t>
  </si>
  <si>
    <t>Migration to university</t>
  </si>
  <si>
    <t>Migration from university</t>
  </si>
  <si>
    <t>Prior Attainment Band</t>
  </si>
  <si>
    <t>Local area Higher education participation grouping</t>
  </si>
  <si>
    <t>Prior attainment level</t>
  </si>
  <si>
    <t>Term time residence</t>
  </si>
  <si>
    <t>Selective status</t>
  </si>
  <si>
    <t>Study mode</t>
  </si>
  <si>
    <t>Subject name</t>
  </si>
  <si>
    <t>Years after graduation</t>
  </si>
  <si>
    <t>Establishment size</t>
  </si>
  <si>
    <t>Establishment type</t>
  </si>
  <si>
    <t>Sector</t>
  </si>
  <si>
    <t>Single site or one of multiple sites within organisation</t>
  </si>
  <si>
    <t>1 digit Standard Occupational Classification code and name (SOC2010)</t>
  </si>
  <si>
    <t>2 digit Standard Occupational Classification code and name (SOC2010)</t>
  </si>
  <si>
    <t>3 digit Standard Occupational Classification code and name  (SOC2010)</t>
  </si>
  <si>
    <t>4 digit Standard Occupational Classification code and name  (SOC2010)</t>
  </si>
  <si>
    <t>Average not in education, employment or training</t>
  </si>
  <si>
    <t>Number not in education, employment or training/activity not known</t>
  </si>
  <si>
    <t>Not in education, employment or training/not known proportion</t>
  </si>
  <si>
    <t>September guarantee quintile</t>
  </si>
  <si>
    <t>Percentage of September guarantee offers made</t>
  </si>
  <si>
    <t>Activity not captured (Higher Education)</t>
  </si>
  <si>
    <t>National Client Caseload Information System, not in education, employment or training/not known</t>
  </si>
  <si>
    <t>DfE, Labour Force Survey not in education, employment or training</t>
  </si>
  <si>
    <t>DfE, Labour Force Survey, not in education, employment or training upper bound (95% confidence interval)</t>
  </si>
  <si>
    <t>DfE, Labour Force Survey, not in education or training</t>
  </si>
  <si>
    <t>Education or employment not sustained and known to be not in education, employment or training</t>
  </si>
  <si>
    <t>No participation and known to be not in education, employment or training</t>
  </si>
  <si>
    <t>Higher education Progression Rate (Non-Free School Meals)</t>
  </si>
  <si>
    <t>Percentage of population with their highest qualification as national qualification framework level 2 or above</t>
  </si>
  <si>
    <t>Percentage of population with their highest qualification as national qualification framework level 3 or above</t>
  </si>
  <si>
    <t>Percentage of population with their highest qualification as national qualification framework level 4 or above</t>
  </si>
  <si>
    <t>Percentage of population with their highest qualification as Scottish Credit and Qualifications Framework level 5 or above</t>
  </si>
  <si>
    <t>Percentage of population with their highest qualification as Scottish Credit and Qualifications Framework level 6 or above</t>
  </si>
  <si>
    <t>Percentage of population with their highest qualification as Scottish Credit and Qualifications Framework level 7 or above</t>
  </si>
  <si>
    <t>Provider UK Provider Reference Number</t>
  </si>
  <si>
    <t>Apprenticeship Service Account Levy Supported Starts</t>
  </si>
  <si>
    <t>pct starts small and medium sized enterprises</t>
  </si>
  <si>
    <t>language literature culture percent</t>
  </si>
  <si>
    <t>Apprenticeship service account, levy upported</t>
  </si>
  <si>
    <t>Lower bound number International Labour Organisation unemployed more 6 months</t>
  </si>
  <si>
    <t>Lower bound percent International Labour Organisation unemployed less 6 months</t>
  </si>
  <si>
    <t>Lower bound percent International Labour Organisation unemployed more 6 months</t>
  </si>
  <si>
    <t>Number not in education, employment or training who are International Labour Organisation unemployed for less than 6 months</t>
  </si>
  <si>
    <t>Number not in education, employment or training who are International Labour Organisation unemployed for more than 6 months</t>
  </si>
  <si>
    <t>Percentage of not in education, employment or training International Labour Organisation unemployed for less than 6 months</t>
  </si>
  <si>
    <t>Percentage of not in education, employment or training International Labour Organisation unemployed for more than 6 months</t>
  </si>
  <si>
    <t>Upper bound number International Labour Organisation unemployed less 6 months</t>
  </si>
  <si>
    <t>Upper bound number International Labour Organisation unemployed more 6 months</t>
  </si>
  <si>
    <t>Upper bound percent International Labour Organisation unemployed less 6 months</t>
  </si>
  <si>
    <t>Upper bound percent International Labour Organisation unemployed more 6 months</t>
  </si>
  <si>
    <t>confidence interval plus minus International Labour Organisation unemployed less 6 months</t>
  </si>
  <si>
    <t>lower bound number International Labour Organisation unemployed less 6months</t>
  </si>
  <si>
    <t>Theme</t>
  </si>
  <si>
    <t>Variable Name</t>
  </si>
  <si>
    <t>DfE, Labour Force Survey not in education, employment or training lower bound (95% confidence interval)</t>
  </si>
  <si>
    <t>ONS, Labour Force Survey, not in education, employment or training seasonally adjusted</t>
  </si>
  <si>
    <t>Total aim Enrolments</t>
  </si>
  <si>
    <t>agriculture, horticulture animal care percent</t>
  </si>
  <si>
    <t>Engineering, manufacturing percent</t>
  </si>
  <si>
    <t>arts, media, and publishing percent</t>
  </si>
  <si>
    <t>number of heavy goods vehicle starts FY 2122</t>
  </si>
  <si>
    <t>number of non heavy goods vehicle starts FY 2122</t>
  </si>
  <si>
    <t>Academic/Applied general qualifications students who sustained L4+ destination</t>
  </si>
  <si>
    <t>Academic/Applied general qualifications progression score</t>
  </si>
  <si>
    <t>Name of Country</t>
  </si>
  <si>
    <t>Higher Education, Industry section</t>
  </si>
  <si>
    <t>Futher Education</t>
  </si>
  <si>
    <t>School and college outcomes and performance</t>
  </si>
  <si>
    <t>Further Education</t>
  </si>
  <si>
    <t>UK education and training statistics</t>
  </si>
  <si>
    <t>Higher Education</t>
  </si>
  <si>
    <t>Further and higher education, skills and vocational training</t>
  </si>
  <si>
    <t>Mixture</t>
  </si>
  <si>
    <t>Business, Industry and Trade</t>
  </si>
  <si>
    <t>Employment and labour market</t>
  </si>
  <si>
    <t>People, populationand community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</si>
</sst>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u/>
      <sz val="11"/>
      <color theme="10"/>
      <name val="Calibri"/>
      <family val="2"/>
      <scheme val="minor"/>
    </font>
    <font>
      <sz val="10"/>
      <color rgb="FF0B0C0C"/>
      <name val="Arial"/>
      <family val="2"/>
    </font>
    <font>
      <b/>
      <sz val="11"/>
      <color theme="1"/>
      <name val="Calibri"/>
      <family val="2"/>
      <scheme val="minor"/>
    </font>
    <font>
      <sz val="11"/>
      <color rgb="FF0B0C0C"/>
      <name val="Calibri"/>
      <family val="2"/>
      <scheme val="minor"/>
    </font>
    <font>
      <sz val="8"/>
      <name val="Calibri"/>
      <family val="2"/>
      <scheme val="minor"/>
    </font>
    <font>
      <sz val="11"/>
      <color theme="1"/>
      <name val="Arial"/>
      <family val="2"/>
    </font>
    <font>
      <sz val="11"/>
      <color rgb="FF0B0C0C"/>
      <name val="Arial"/>
      <family val="2"/>
    </font>
    <font>
      <sz val="10"/>
      <color theme="1"/>
      <name val="Arial"/>
      <family val="2"/>
    </font>
    <font>
      <sz val="12"/>
      <color theme="1"/>
      <name val="Arial"/>
      <family val="2"/>
    </font>
    <font>
      <b/>
      <sz val="12"/>
      <color theme="1"/>
      <name val="Arial"/>
      <family val="2"/>
    </font>
    <font>
      <u/>
      <sz val="12"/>
      <color theme="1"/>
      <name val="Arial"/>
      <family val="2"/>
    </font>
    <font>
      <u/>
      <sz val="12"/>
      <name val="Arial"/>
      <family val="2"/>
    </font>
    <font>
      <sz val="12"/>
      <name val="Arial"/>
      <family val="2"/>
    </font>
    <font>
      <sz val="11"/>
      <color rgb="FFFF0000"/>
      <name val="Calibri"/>
      <family val="2"/>
      <scheme val="minor"/>
    </font>
  </fonts>
  <fills count="9">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4"/>
        <bgColor indexed="64"/>
      </patternFill>
    </fill>
    <fill>
      <patternFill patternType="solid">
        <fgColor rgb="FFFFC000"/>
        <bgColor indexed="64"/>
      </patternFill>
    </fill>
    <fill>
      <patternFill patternType="solid">
        <fgColor rgb="FFFFFF00"/>
        <bgColor indexed="64"/>
      </patternFill>
    </fill>
    <fill>
      <patternFill patternType="solid">
        <fgColor theme="7"/>
        <bgColor indexed="64"/>
      </patternFill>
    </fill>
  </fills>
  <borders count="5">
    <border>
      <left/>
      <right/>
      <top/>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51">
    <xf numFmtId="0" fontId="0" fillId="0" borderId="0" xfId="0"/>
    <xf numFmtId="0" fontId="0" fillId="0" borderId="0" xfId="0" applyAlignment="1">
      <alignment wrapText="1"/>
    </xf>
    <xf numFmtId="0" fontId="2" fillId="0" borderId="0" xfId="0" applyFont="1" applyAlignment="1">
      <alignment wrapText="1"/>
    </xf>
    <xf numFmtId="0" fontId="4" fillId="0" borderId="0" xfId="0" applyFont="1" applyAlignment="1">
      <alignment wrapText="1"/>
    </xf>
    <xf numFmtId="0" fontId="6" fillId="0" borderId="0" xfId="0" applyFont="1" applyAlignment="1">
      <alignment wrapText="1"/>
    </xf>
    <xf numFmtId="0" fontId="0" fillId="2" borderId="0" xfId="0" applyFill="1" applyAlignment="1">
      <alignment wrapText="1"/>
    </xf>
    <xf numFmtId="0" fontId="8" fillId="0" borderId="0" xfId="0" applyFont="1" applyAlignment="1">
      <alignment wrapText="1"/>
    </xf>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0" fontId="0" fillId="8" borderId="0" xfId="0" applyFill="1"/>
    <xf numFmtId="0" fontId="0" fillId="8" borderId="0" xfId="0" applyFill="1" applyAlignment="1">
      <alignment wrapText="1"/>
    </xf>
    <xf numFmtId="0" fontId="2" fillId="0" borderId="0" xfId="0" applyFont="1"/>
    <xf numFmtId="0" fontId="7" fillId="0" borderId="0" xfId="0" applyFont="1" applyAlignment="1">
      <alignment wrapText="1"/>
    </xf>
    <xf numFmtId="0" fontId="1" fillId="0" borderId="0" xfId="1" applyAlignment="1">
      <alignment wrapText="1"/>
    </xf>
    <xf numFmtId="0" fontId="9" fillId="3" borderId="0" xfId="0" applyFont="1" applyFill="1" applyAlignment="1">
      <alignment wrapText="1"/>
    </xf>
    <xf numFmtId="0" fontId="9" fillId="0" borderId="0" xfId="0" applyFont="1" applyAlignment="1">
      <alignment wrapText="1"/>
    </xf>
    <xf numFmtId="0" fontId="9" fillId="3" borderId="1" xfId="0" applyFont="1" applyFill="1" applyBorder="1" applyAlignment="1">
      <alignment wrapText="1"/>
    </xf>
    <xf numFmtId="0" fontId="10" fillId="4" borderId="2" xfId="0" applyFont="1" applyFill="1" applyBorder="1" applyAlignment="1">
      <alignment horizontal="center" vertical="center" wrapText="1"/>
    </xf>
    <xf numFmtId="0" fontId="9" fillId="4" borderId="4" xfId="0" applyFont="1" applyFill="1" applyBorder="1" applyAlignment="1">
      <alignment wrapText="1"/>
    </xf>
    <xf numFmtId="0" fontId="11" fillId="4" borderId="4" xfId="1" applyFont="1" applyFill="1" applyBorder="1" applyAlignment="1">
      <alignment vertical="center" wrapText="1"/>
    </xf>
    <xf numFmtId="0" fontId="11" fillId="4" borderId="4" xfId="1" applyFont="1" applyFill="1" applyBorder="1" applyAlignment="1">
      <alignment wrapText="1"/>
    </xf>
    <xf numFmtId="0" fontId="9" fillId="4" borderId="0" xfId="0" applyFont="1" applyFill="1" applyAlignment="1">
      <alignment wrapText="1"/>
    </xf>
    <xf numFmtId="0" fontId="9" fillId="3" borderId="0" xfId="0" applyFont="1" applyFill="1" applyAlignment="1">
      <alignment vertical="center" wrapText="1"/>
    </xf>
    <xf numFmtId="0" fontId="9" fillId="3" borderId="1" xfId="0" applyFont="1" applyFill="1" applyBorder="1" applyAlignment="1">
      <alignment vertical="center" wrapText="1"/>
    </xf>
    <xf numFmtId="0" fontId="11" fillId="4" borderId="4" xfId="1" applyFont="1" applyFill="1" applyBorder="1" applyAlignment="1">
      <alignment vertical="top" wrapText="1"/>
    </xf>
    <xf numFmtId="0" fontId="9" fillId="4" borderId="4" xfId="0" applyFont="1" applyFill="1" applyBorder="1" applyAlignment="1">
      <alignment vertical="top" wrapText="1"/>
    </xf>
    <xf numFmtId="0" fontId="9" fillId="4" borderId="4" xfId="1" applyFont="1" applyFill="1" applyBorder="1" applyAlignment="1">
      <alignment wrapText="1"/>
    </xf>
    <xf numFmtId="0" fontId="11" fillId="4" borderId="4" xfId="1" applyFont="1" applyFill="1" applyBorder="1" applyAlignment="1">
      <alignment horizontal="left" vertical="center" wrapText="1"/>
    </xf>
    <xf numFmtId="0" fontId="9" fillId="4" borderId="4" xfId="0" applyFont="1" applyFill="1" applyBorder="1" applyAlignment="1">
      <alignment horizontal="left" vertical="top" wrapText="1"/>
    </xf>
    <xf numFmtId="0" fontId="11" fillId="4" borderId="4" xfId="1" applyFont="1" applyFill="1" applyBorder="1" applyAlignment="1">
      <alignment horizontal="left" vertical="top" wrapText="1"/>
    </xf>
    <xf numFmtId="0" fontId="9" fillId="4" borderId="4" xfId="0" applyFont="1" applyFill="1" applyBorder="1" applyAlignment="1">
      <alignment horizontal="left" vertical="center" wrapText="1"/>
    </xf>
    <xf numFmtId="0" fontId="9" fillId="4" borderId="4" xfId="0" applyFont="1" applyFill="1" applyBorder="1" applyAlignment="1">
      <alignment vertical="center" wrapText="1"/>
    </xf>
    <xf numFmtId="0" fontId="11" fillId="0" borderId="0" xfId="1" applyFont="1" applyAlignment="1">
      <alignment wrapText="1"/>
    </xf>
    <xf numFmtId="0" fontId="9" fillId="4" borderId="3" xfId="0" applyFont="1" applyFill="1" applyBorder="1" applyAlignment="1">
      <alignment wrapText="1"/>
    </xf>
    <xf numFmtId="0" fontId="12" fillId="4" borderId="3" xfId="1" applyFont="1" applyFill="1" applyBorder="1" applyAlignment="1">
      <alignment vertical="center" wrapText="1"/>
    </xf>
    <xf numFmtId="0" fontId="12" fillId="4" borderId="4" xfId="1" applyFont="1" applyFill="1" applyBorder="1" applyAlignment="1">
      <alignment vertical="center" wrapText="1"/>
    </xf>
    <xf numFmtId="0" fontId="13" fillId="4" borderId="4" xfId="0" applyFont="1" applyFill="1" applyBorder="1" applyAlignment="1">
      <alignment wrapText="1"/>
    </xf>
    <xf numFmtId="0" fontId="12" fillId="4" borderId="4" xfId="1" applyFont="1" applyFill="1" applyBorder="1" applyAlignment="1">
      <alignment wrapText="1"/>
    </xf>
    <xf numFmtId="0" fontId="12" fillId="4" borderId="4" xfId="1" applyFont="1" applyFill="1" applyBorder="1" applyAlignment="1">
      <alignment horizontal="left" vertical="center" wrapText="1"/>
    </xf>
    <xf numFmtId="0" fontId="13" fillId="4" borderId="4" xfId="0" applyFont="1" applyFill="1" applyBorder="1" applyAlignment="1">
      <alignment horizontal="left" vertical="center" wrapText="1"/>
    </xf>
    <xf numFmtId="0" fontId="0" fillId="0" borderId="0" xfId="0" applyAlignment="1">
      <alignment horizontal="left"/>
    </xf>
    <xf numFmtId="0" fontId="1" fillId="4" borderId="4" xfId="1" applyFill="1" applyBorder="1" applyAlignment="1">
      <alignment wrapText="1"/>
    </xf>
    <xf numFmtId="0" fontId="0" fillId="0" borderId="0" xfId="0" applyAlignment="1">
      <alignment horizontal="left" wrapText="1"/>
    </xf>
    <xf numFmtId="0" fontId="1" fillId="7" borderId="0" xfId="1" applyFill="1" applyAlignment="1">
      <alignment wrapText="1"/>
    </xf>
    <xf numFmtId="0" fontId="0" fillId="7" borderId="0" xfId="0" applyFill="1"/>
    <xf numFmtId="0" fontId="14" fillId="7" borderId="0" xfId="0" applyFont="1" applyFill="1" applyAlignment="1">
      <alignment wrapText="1"/>
    </xf>
    <xf numFmtId="0" fontId="0" fillId="0" borderId="0" xfId="0" applyAlignment="1">
      <alignment vertical="center" wrapText="1"/>
    </xf>
    <xf numFmtId="0" fontId="1" fillId="0" borderId="0" xfId="1" applyFill="1" applyAlignment="1">
      <alignment wrapText="1"/>
    </xf>
    <xf numFmtId="0" fontId="10" fillId="3" borderId="0" xfId="0" applyFont="1" applyFill="1" applyAlignment="1">
      <alignment horizontal="left" wrapText="1"/>
    </xf>
    <xf numFmtId="0" fontId="11" fillId="4" borderId="0" xfId="1" applyFont="1" applyFill="1" applyAlignment="1">
      <alignment wrapText="1"/>
    </xf>
  </cellXfs>
  <cellStyles count="2">
    <cellStyle name="Hyperlink" xfId="1" builtinId="8"/>
    <cellStyle name="Normal" xfId="0" builtinId="0"/>
  </cellStyles>
  <dxfs count="4">
    <dxf>
      <fill>
        <patternFill>
          <bgColor theme="5"/>
        </patternFill>
      </fill>
    </dxf>
    <dxf>
      <fill>
        <patternFill>
          <bgColor rgb="FFFF0000"/>
        </patternFill>
      </fill>
    </dxf>
    <dxf>
      <fill>
        <patternFill>
          <bgColor theme="5"/>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davies6\AppData\Local\Temp\Temp1_widening-participation-in-higher-education_2020-21.zip\data\school_type_gap.csv" TargetMode="External"/><Relationship Id="rId1" Type="http://schemas.openxmlformats.org/officeDocument/2006/relationships/externalLinkPath" Target="file:///C:\Users\cdavies6\AppData\Local\Temp\Temp1_widening-participation-in-higher-education_2020-21.zip\data\school_type_gap.csv"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cdavies6\AppData\Local\Temp\Temp1_further-education-outcome-based-success-measures_2019-20.zip\data\lad01_1314_1516.csv" TargetMode="External"/><Relationship Id="rId1" Type="http://schemas.openxmlformats.org/officeDocument/2006/relationships/externalLinkPath" Target="file:///C:\Users\cdavies6\AppData\Local\Temp\Temp1_further-education-outcome-based-success-measures_2019-20.zip\data\lad01_1314_1516.csv"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cdavies6\AppData\Local\Temp\Temp1_higher-level-learners-in-england_2020-21.zip\data\headline_stats_summary.csv" TargetMode="External"/><Relationship Id="rId1" Type="http://schemas.openxmlformats.org/officeDocument/2006/relationships/externalLinkPath" Target="file:///C:\Users\cdavies6\AppData\Local\Temp\Temp1_higher-level-learners-in-england_2020-21.zip\data\headline_stats_summary.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chool_type_gap"/>
    </sheetNames>
    <sheetDataSet>
      <sheetData sheetId="0" refreshError="1">
        <row r="1">
          <cell r="A1" t="str">
            <v>time_period</v>
          </cell>
          <cell r="B1" t="str">
            <v>time_identifier</v>
          </cell>
          <cell r="C1" t="str">
            <v>geographic_level</v>
          </cell>
          <cell r="D1" t="str">
            <v>country_code</v>
          </cell>
          <cell r="E1" t="str">
            <v>country_name</v>
          </cell>
          <cell r="F1" t="str">
            <v>A_level_Status</v>
          </cell>
          <cell r="G1" t="str">
            <v>progression_rate_state</v>
          </cell>
          <cell r="H1" t="str">
            <v>progression_rate_independent</v>
          </cell>
          <cell r="I1" t="str">
            <v>High_Tariff_progression_rate_state</v>
          </cell>
          <cell r="J1" t="str">
            <v>High_Tariff_progression_rate_independent</v>
          </cell>
          <cell r="K1" t="str">
            <v>progression_rate_gap</v>
          </cell>
          <cell r="L1" t="str">
            <v>High_Tariff_progression_rate_gap</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ad01_1314_1516"/>
    </sheetNames>
    <sheetDataSet>
      <sheetData sheetId="0">
        <row r="1">
          <cell r="A1" t="str">
            <v>time_period</v>
          </cell>
          <cell r="B1" t="str">
            <v>time_identifier</v>
          </cell>
          <cell r="C1" t="str">
            <v>geographic_level</v>
          </cell>
          <cell r="D1" t="str">
            <v>country_code</v>
          </cell>
          <cell r="E1" t="str">
            <v>country_name</v>
          </cell>
          <cell r="F1" t="str">
            <v>region_code</v>
          </cell>
          <cell r="G1" t="str">
            <v>region_name</v>
          </cell>
          <cell r="H1" t="str">
            <v>lad_code</v>
          </cell>
          <cell r="I1" t="str">
            <v>lad_name</v>
          </cell>
          <cell r="J1" t="str">
            <v>AgeYouthAdult</v>
          </cell>
          <cell r="K1" t="str">
            <v>AgeGroup</v>
          </cell>
          <cell r="L1" t="str">
            <v>sex</v>
          </cell>
          <cell r="M1" t="str">
            <v>LearningDifficulties</v>
          </cell>
          <cell r="N1" t="str">
            <v>Provision</v>
          </cell>
          <cell r="O1" t="str">
            <v>LevelOfLearningGroup</v>
          </cell>
          <cell r="P1" t="str">
            <v>LevelOfLearning</v>
          </cell>
          <cell r="Q1" t="str">
            <v>Total_Learners</v>
          </cell>
          <cell r="R1" t="str">
            <v>NumberOfMatchedLearners</v>
          </cell>
          <cell r="S1" t="str">
            <v>SPDPercent</v>
          </cell>
          <cell r="T1" t="str">
            <v>EmpPercent</v>
          </cell>
          <cell r="U1" t="str">
            <v>SelfEmpPercent</v>
          </cell>
          <cell r="V1" t="str">
            <v>EmpOnlyPercent</v>
          </cell>
          <cell r="W1" t="str">
            <v>EmpAndLearnPercent</v>
          </cell>
          <cell r="X1" t="str">
            <v>LearnPercent</v>
          </cell>
          <cell r="Y1" t="str">
            <v>LearnOnlyPercent</v>
          </cell>
          <cell r="Z1" t="str">
            <v>FEPercent</v>
          </cell>
          <cell r="AA1" t="str">
            <v>BelowL2Percent</v>
          </cell>
          <cell r="AB1" t="str">
            <v>EngMathPercent</v>
          </cell>
          <cell r="AC1" t="str">
            <v>Level2Percent</v>
          </cell>
          <cell r="AD1" t="str">
            <v>FullLevel2Percent</v>
          </cell>
          <cell r="AE1" t="str">
            <v>Level3Percent</v>
          </cell>
          <cell r="AF1" t="str">
            <v>FullLevel3Percent</v>
          </cell>
          <cell r="AG1" t="str">
            <v>Level4PlusPercent</v>
          </cell>
          <cell r="AH1" t="str">
            <v>NotAssignedPercent</v>
          </cell>
          <cell r="AI1" t="str">
            <v>HEPercent</v>
          </cell>
          <cell r="AJ1" t="str">
            <v>AppPercent</v>
          </cell>
          <cell r="AK1" t="str">
            <v>AppIntermediatePercent</v>
          </cell>
          <cell r="AL1" t="str">
            <v>AppAdvancedPlusPercent</v>
          </cell>
          <cell r="AM1" t="str">
            <v>AnyLearnPercent</v>
          </cell>
          <cell r="AN1" t="str">
            <v>ProgressionSustainedPriorPercent</v>
          </cell>
          <cell r="AO1" t="str">
            <v>NotSustainedPercent</v>
          </cell>
          <cell r="AP1" t="str">
            <v>NotSustainedNBPercent</v>
          </cell>
          <cell r="AQ1" t="str">
            <v>NotSustainedBenefitPercent</v>
          </cell>
          <cell r="AR1" t="str">
            <v>BenefitPercent</v>
          </cell>
          <cell r="AS1" t="str">
            <v>NoDestPercent</v>
          </cell>
          <cell r="AT1" t="str">
            <v>LearnersWithEarnings</v>
          </cell>
          <cell r="AU1" t="str">
            <v>25thPercentile</v>
          </cell>
          <cell r="AV1" t="str">
            <v>Median</v>
          </cell>
          <cell r="AW1" t="str">
            <v>75thPercentile</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eadline_stats_summary"/>
    </sheetNames>
    <sheetDataSet>
      <sheetData sheetId="0">
        <row r="1">
          <cell r="A1" t="str">
            <v>time_period</v>
          </cell>
          <cell r="B1" t="str">
            <v>time_identifier</v>
          </cell>
          <cell r="C1" t="str">
            <v>geographic_level</v>
          </cell>
          <cell r="D1" t="str">
            <v>country_code</v>
          </cell>
          <cell r="E1" t="str">
            <v>country_name</v>
          </cell>
          <cell r="F1" t="str">
            <v>entrants_level4</v>
          </cell>
          <cell r="G1" t="str">
            <v>entrants_level5</v>
          </cell>
          <cell r="H1" t="str">
            <v>entrants_level6</v>
          </cell>
          <cell r="I1" t="str">
            <v>entrants_level7</v>
          </cell>
          <cell r="J1" t="str">
            <v>entrants_level8</v>
          </cell>
          <cell r="K1" t="str">
            <v>percentage_HEPs</v>
          </cell>
        </row>
      </sheetData>
    </sheetDataSet>
  </externalBook>
</externalLink>
</file>

<file path=xl/persons/person.xml><?xml version="1.0" encoding="utf-8"?>
<personList xmlns="http://schemas.microsoft.com/office/spreadsheetml/2018/threadedcomments" xmlns:x="http://schemas.openxmlformats.org/spreadsheetml/2006/main">
  <person displayName="DAVIES, Claire" id="{34DE4ADD-65FB-4ECE-835A-12CF94F4E6F4}" userId="S::Claire.DAVIES@EDUCATION.GOV.UK::eb44c0c2-1eb2-4ab6-b8f4-525e72bc663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J2" dT="2023-04-21T15:35:59.98" personId="{34DE4ADD-65FB-4ECE-835A-12CF94F4E6F4}" id="{F71CA56A-1927-4D19-BF79-A54293438B39}">
    <text>E.g. percentage,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NJ1" dT="2023-04-21T15:35:59.98" personId="{34DE4ADD-65FB-4ECE-835A-12CF94F4E6F4}" id="{BF9933DA-A23B-4BCC-A881-C0C519DE3EA5}">
    <text>E.g. percentage, number..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NI1" dT="2023-04-21T15:35:59.98" personId="{34DE4ADD-65FB-4ECE-835A-12CF94F4E6F4}" id="{D79CA1A7-E98F-4943-A535-EF832FE6794F}">
    <text>E.g. percentage, number..</text>
  </threadedComment>
</ThreadedComments>
</file>

<file path=xl/threadedComments/threadedComment4.xml><?xml version="1.0" encoding="utf-8"?>
<ThreadedComments xmlns="http://schemas.microsoft.com/office/spreadsheetml/2018/threadedcomments" xmlns:x="http://schemas.openxmlformats.org/spreadsheetml/2006/main">
  <threadedComment ref="FH1" dT="2023-04-21T15:35:59.98" personId="{34DE4ADD-65FB-4ECE-835A-12CF94F4E6F4}" id="{74E0F7EA-EFA9-49C0-8F8D-6714B7E4062E}">
    <text>E.g. percentage, number..</text>
  </threadedComment>
</ThreadedComments>
</file>

<file path=xl/threadedComments/threadedComment5.xml><?xml version="1.0" encoding="utf-8"?>
<ThreadedComments xmlns="http://schemas.microsoft.com/office/spreadsheetml/2018/threadedcomments" xmlns:x="http://schemas.openxmlformats.org/spreadsheetml/2006/main">
  <threadedComment ref="NJ2" dT="2023-04-21T15:35:59.98" personId="{34DE4ADD-65FB-4ECE-835A-12CF94F4E6F4}" id="{D92D96B1-DC7D-4B66-B12E-09C1A8A0F687}">
    <text>E.g. percentage, number..</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explore-education-statistics.service.gov.uk/find-statistics/progression-to-higher-education-or-training" TargetMode="External"/><Relationship Id="rId18" Type="http://schemas.openxmlformats.org/officeDocument/2006/relationships/hyperlink" Target="https://explore-education-statistics.service.gov.uk/find-statistics/longer-term-destinations" TargetMode="External"/><Relationship Id="rId26" Type="http://schemas.openxmlformats.org/officeDocument/2006/relationships/hyperlink" Target="https://www.gov.uk/government/collections/business-population-estimates" TargetMode="External"/><Relationship Id="rId39" Type="http://schemas.openxmlformats.org/officeDocument/2006/relationships/hyperlink" Target="mailto:UFS.Contact@education.gov.uk" TargetMode="External"/><Relationship Id="rId21" Type="http://schemas.openxmlformats.org/officeDocument/2006/relationships/hyperlink" Target="https://explore-education-statistics.service.gov.uk/find-statistics/participation-measures-in-higher-education" TargetMode="External"/><Relationship Id="rId34" Type="http://schemas.openxmlformats.org/officeDocument/2006/relationships/hyperlink" Target="https://explore-education-statistics.service.gov.uk/find-statistics/further-education-outcome-based-success-measures/data-guidance" TargetMode="External"/><Relationship Id="rId42" Type="http://schemas.openxmlformats.org/officeDocument/2006/relationships/hyperlink" Target="mailto:ufs.contact@education.gov.uk" TargetMode="External"/><Relationship Id="rId47" Type="http://schemas.openxmlformats.org/officeDocument/2006/relationships/hyperlink" Target="mailto:FE.OUTCOMESDATA@education.gov.uk" TargetMode="External"/><Relationship Id="rId50" Type="http://schemas.openxmlformats.org/officeDocument/2006/relationships/hyperlink" Target="https://explore-education-statistics.service.gov.uk/find-statistics/skills-bootcamps-starts" TargetMode="External"/><Relationship Id="rId7" Type="http://schemas.openxmlformats.org/officeDocument/2006/relationships/hyperlink" Target="https://www.gov.uk/government/collections/statistics-destinations" TargetMode="External"/><Relationship Id="rId2" Type="http://schemas.openxmlformats.org/officeDocument/2006/relationships/hyperlink" Target="https://www.gov.uk/government/statistics/apprenticeships-in-england-by-industry-characteristics" TargetMode="External"/><Relationship Id="rId16" Type="http://schemas.openxmlformats.org/officeDocument/2006/relationships/hyperlink" Target="https://explore-education-statistics.service.gov.uk/find-statistics/progression-to-higher-education-or-training" TargetMode="External"/><Relationship Id="rId29" Type="http://schemas.openxmlformats.org/officeDocument/2006/relationships/hyperlink" Target="https://www.ons.gov.uk/employmentandlabourmarket/peopleinwork/employmentandemployeetypes/bulletins/businessregisterandemploymentsurveybresprovisionalresults/previousReleases" TargetMode="External"/><Relationship Id="rId11" Type="http://schemas.openxmlformats.org/officeDocument/2006/relationships/hyperlink" Target="https://explore-education-statistics.service.gov.uk/find-statistics/detailed-destinations-of-16-to-18-year-olds-in-further-education" TargetMode="External"/><Relationship Id="rId24"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www.gov.uk/education/further-and-higher-education-skills-and-vocational-training" TargetMode="External"/><Relationship Id="rId37" Type="http://schemas.openxmlformats.org/officeDocument/2006/relationships/hyperlink" Target="https://assets.publishing.service.gov.uk/government/uploads/system/uploads/attachment_data/file/835749/Further_Education_for_Benefit_Claimants.pdf" TargetMode="External"/><Relationship Id="rId40" Type="http://schemas.openxmlformats.org/officeDocument/2006/relationships/hyperlink" Target="mailto:Alicia.Heptinstall@education.gov.uk" TargetMode="External"/><Relationship Id="rId45" Type="http://schemas.openxmlformats.org/officeDocument/2006/relationships/hyperlink" Target="https://explore-education-statistics.service.gov.uk/find-statistics/employer-skills-survey" TargetMode="External"/><Relationship Id="rId53" Type="http://schemas.openxmlformats.org/officeDocument/2006/relationships/printerSettings" Target="../printerSettings/printerSettings1.bin"/><Relationship Id="rId5" Type="http://schemas.openxmlformats.org/officeDocument/2006/relationships/hyperlink" Target="https://www.gov.uk/government/collections/statistics-outcome-based-success-measures" TargetMode="External"/><Relationship Id="rId10" Type="http://schemas.openxmlformats.org/officeDocument/2006/relationships/hyperlink" Target="https://explore-education-statistics.service.gov.uk/find-statistics/higher-level-learners-in-england" TargetMode="External"/><Relationship Id="rId19" Type="http://schemas.openxmlformats.org/officeDocument/2006/relationships/hyperlink" Target="https://explore-education-statistics.service.gov.uk/find-statistics/participation-in-education-and-training-and-employment" TargetMode="External"/><Relationship Id="rId31" Type="http://schemas.openxmlformats.org/officeDocument/2006/relationships/hyperlink" Target="https://www.ons.gov.uk/releases/qualificationlevelsbycountryofbirth" TargetMode="External"/><Relationship Id="rId44" Type="http://schemas.openxmlformats.org/officeDocument/2006/relationships/hyperlink" Target="mailto:ufs.contact@education.gov.uk" TargetMode="External"/><Relationship Id="rId52" Type="http://schemas.openxmlformats.org/officeDocument/2006/relationships/hyperlink" Target="https://explore-education-statistics.service.gov.uk/find-statistics/widening-participation-in-higher-education" TargetMode="External"/><Relationship Id="rId4" Type="http://schemas.openxmlformats.org/officeDocument/2006/relationships/hyperlink" Target="https://explore-education-statistics.service.gov.uk/find-statistics/further-education-skills-index" TargetMode="External"/><Relationship Id="rId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neet-statistics-annual-brief" TargetMode="External"/><Relationship Id="rId22" Type="http://schemas.openxmlformats.org/officeDocument/2006/relationships/hyperlink" Target="https://explore-education-statistics.service.gov.uk/find-statistics/graduate-outcomes-leo-provider-level-data/data-guidance" TargetMode="External"/><Relationship Id="rId27" Type="http://schemas.openxmlformats.org/officeDocument/2006/relationships/hyperlink" Target="https://www.ons.gov.uk/businessindustryandtrade/business/activitysizeandlocation/bulletins/businessdemographyquarterlyexperimentalstatisticsuk/previousReleases" TargetMode="External"/><Relationship Id="rId30" Type="http://schemas.openxmlformats.org/officeDocument/2006/relationships/hyperlink" Target="https://www.ons.gov.uk/businessindustryandtrade/business/activitysizeandlocation/bulletins/businessdemography/2021" TargetMode="External"/><Relationship Id="rId35" Type="http://schemas.openxmlformats.org/officeDocument/2006/relationships/hyperlink" Target="https://www.hesa.ac.uk/news/18-04-2023/ah2304-degree-attainment-socioeconomic-background" TargetMode="External"/><Relationship Id="rId43" Type="http://schemas.openxmlformats.org/officeDocument/2006/relationships/hyperlink" Target="mailto:andy.cooke@education.gov.uk" TargetMode="External"/><Relationship Id="rId48" Type="http://schemas.openxmlformats.org/officeDocument/2006/relationships/hyperlink" Target="https://explore-education-statistics.service.gov.uk/find-statistics/leo-graduate-and-postgraduate-outcomes/2019-20)" TargetMode="External"/><Relationship Id="rId8" Type="http://schemas.openxmlformats.org/officeDocument/2006/relationships/hyperlink" Target="https://www.gov.uk/government/collections/statistics-attainment-at-19-years" TargetMode="External"/><Relationship Id="rId51" Type="http://schemas.openxmlformats.org/officeDocument/2006/relationships/hyperlink" Target="mailto:Simon.Groonell@education.gov.uk" TargetMode="External"/><Relationship Id="rId3" Type="http://schemas.openxmlformats.org/officeDocument/2006/relationships/hyperlink" Target="https://www.gov.uk/government/collections/statistics-neet" TargetMode="External"/><Relationship Id="rId12" Type="http://schemas.openxmlformats.org/officeDocument/2006/relationships/hyperlink" Target="https://www.gov.uk/government/collections/sfa-national-success-rates-tables" TargetMode="External"/><Relationship Id="rId17" Type="http://schemas.openxmlformats.org/officeDocument/2006/relationships/hyperlink" Target="https://explore-education-statistics.service.gov.uk/find-statistics/key-stage-4-destination-measures" TargetMode="External"/><Relationship Id="rId25" Type="http://schemas.openxmlformats.org/officeDocument/2006/relationships/hyperlink" Target="https://www.ons.gov.uk/businessindustryandtrade/business/activitysizeandlocation/bulletins/ukbusinessactivitysizeandlocation/previousReleases" TargetMode="External"/><Relationship Id="rId33" Type="http://schemas.openxmlformats.org/officeDocument/2006/relationships/hyperlink" Target="https://explore-education-statistics.service.gov.uk/find-statistics/16-18-destination-measures" TargetMode="External"/><Relationship Id="rId38" Type="http://schemas.openxmlformats.org/officeDocument/2006/relationships/hyperlink" Target="https://www.hesa.ac.uk/news/16-06-2022/sb263-higher-education-graduate-outcomes-statistics" TargetMode="External"/><Relationship Id="rId46" Type="http://schemas.openxmlformats.org/officeDocument/2006/relationships/hyperlink" Target="https://explore-education-statistics.service.gov.uk/find-statistics/fe-learners-going-into-employment-and-learning-destinations-by-local-authority-district" TargetMode="External"/><Relationship Id="rId20" Type="http://schemas.openxmlformats.org/officeDocument/2006/relationships/hyperlink" Target="https://explore-education-statistics.service.gov.uk/find-statistics/further-education-and-skills" TargetMode="External"/><Relationship Id="rId41" Type="http://schemas.openxmlformats.org/officeDocument/2006/relationships/hyperlink" Target="mailto:ufs.contact@education.gov.uk" TargetMode="External"/><Relationship Id="rId1" Type="http://schemas.openxmlformats.org/officeDocument/2006/relationships/hyperlink" Target="https://www.gov.uk/government/collections/further-education-and-skills-statistical-first-release-sfr" TargetMode="External"/><Relationship Id="rId6" Type="http://schemas.openxmlformats.org/officeDocument/2006/relationships/hyperlink" Target="https://explore-education-statistics.service.gov.uk/find-statistics/graduate-outcomes-leo" TargetMode="External"/><Relationship Id="rId15" Type="http://schemas.openxmlformats.org/officeDocument/2006/relationships/hyperlink" Target="https://explore-education-statistics.service.gov.uk/find-statistics/participation-in-education-training-and-neet-age-16-to-17-by-local-authority" TargetMode="External"/><Relationship Id="rId23" Type="http://schemas.openxmlformats.org/officeDocument/2006/relationships/hyperlink" Target="https://explore-education-statistics.service.gov.uk/find-statistics/graduate-labour-markets" TargetMode="External"/><Relationship Id="rId28" Type="http://schemas.openxmlformats.org/officeDocument/2006/relationships/hyperlink" Target="https://www.ons.gov.uk/businessindustryandtrade/business/activitysizeandlocation/methodologies/multiplebusinessregistrationsatasinglepostcode2020" TargetMode="External"/><Relationship Id="rId36" Type="http://schemas.openxmlformats.org/officeDocument/2006/relationships/hyperlink" Target="https://www.hesa.ac.uk/data-and-analysis/students" TargetMode="External"/><Relationship Id="rId49" Type="http://schemas.openxmlformats.org/officeDocument/2006/relationships/hyperlink" Target="https://explore-education-statistics.service.gov.uk/find-statistics/skills-bootcamps-outcome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17" Type="http://schemas.openxmlformats.org/officeDocument/2006/relationships/hyperlink" Target="https://explore-education-statistics.service.gov.uk/find-statistics/leo-graduate-and-postgraduate-outcomes" TargetMode="External"/><Relationship Id="rId21" Type="http://schemas.openxmlformats.org/officeDocument/2006/relationships/hyperlink" Target="https://explore-education-statistics.service.gov.uk/find-statistics/apprenticeships-and-traineeships" TargetMode="External"/><Relationship Id="rId42" Type="http://schemas.openxmlformats.org/officeDocument/2006/relationships/hyperlink" Target="https://explore-education-statistics.service.gov.uk/find-statistics/apprenticeships-and-traineeships" TargetMode="External"/><Relationship Id="rId47" Type="http://schemas.openxmlformats.org/officeDocument/2006/relationships/hyperlink" Target="https://explore-education-statistics.service.gov.uk/find-statistics/further-education-skills-index" TargetMode="External"/><Relationship Id="rId63" Type="http://schemas.openxmlformats.org/officeDocument/2006/relationships/hyperlink" Target="https://explore-education-statistics.service.gov.uk/find-statistics/further-education-outcome-based-success-measures" TargetMode="External"/><Relationship Id="rId68" Type="http://schemas.openxmlformats.org/officeDocument/2006/relationships/hyperlink" Target="https://explore-education-statistics.service.gov.uk/find-statistics/further-education-outcome-based-success-measures" TargetMode="External"/><Relationship Id="rId84" Type="http://schemas.openxmlformats.org/officeDocument/2006/relationships/hyperlink" Target="https://explore-education-statistics.service.gov.uk/find-statistics/progression-to-higher-education-or-training" TargetMode="External"/><Relationship Id="rId89" Type="http://schemas.openxmlformats.org/officeDocument/2006/relationships/hyperlink" Target="https://explore-education-statistics.service.gov.uk/find-statistics/career-pathways-post-16-qualifications-held-by-employees" TargetMode="External"/><Relationship Id="rId112" Type="http://schemas.openxmlformats.org/officeDocument/2006/relationships/hyperlink" Target="https://explore-education-statistics.service.gov.uk/find-statistics/leo-graduate-and-postgraduate-outcomes" TargetMode="External"/><Relationship Id="rId16" Type="http://schemas.openxmlformats.org/officeDocument/2006/relationships/hyperlink" Target="https://explore-education-statistics.service.gov.uk/find-statistics/apprenticeships-and-traineeships" TargetMode="External"/><Relationship Id="rId107" Type="http://schemas.openxmlformats.org/officeDocument/2006/relationships/hyperlink" Target="https://content.explore-education-statistics.service.gov.uk/api/releases/62b83f1e-bd31-4f31-a057-08dafac27bd4/files" TargetMode="External"/><Relationship Id="rId11"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explore-education-statistics.service.gov.uk/find-statistics/apprenticeships-and-traineeships" TargetMode="External"/><Relationship Id="rId37" Type="http://schemas.openxmlformats.org/officeDocument/2006/relationships/hyperlink" Target="https://explore-education-statistics.service.gov.uk/find-statistics/apprenticeships-and-traineeships" TargetMode="External"/><Relationship Id="rId53" Type="http://schemas.openxmlformats.org/officeDocument/2006/relationships/hyperlink" Target="https://explore-education-statistics.service.gov.uk/find-statistics/neet-statistics-annual-brief" TargetMode="External"/><Relationship Id="rId58" Type="http://schemas.openxmlformats.org/officeDocument/2006/relationships/hyperlink" Target="https://explore-education-statistics.service.gov.uk/find-statistics/key-stage-4-destination-measures" TargetMode="External"/><Relationship Id="rId74" Type="http://schemas.openxmlformats.org/officeDocument/2006/relationships/hyperlink" Target="https://explore-education-statistics.service.gov.uk/find-statistics/further-education-outcome-based-success-measures" TargetMode="External"/><Relationship Id="rId79" Type="http://schemas.openxmlformats.org/officeDocument/2006/relationships/hyperlink" Target="https://explore-education-statistics.service.gov.uk/find-statistics/further-education-outcome-based-success-measures" TargetMode="External"/><Relationship Id="rId102" Type="http://schemas.openxmlformats.org/officeDocument/2006/relationships/hyperlink" Target="https://explore-education-statistics.service.gov.uk/find-statistics/participation-measures-in-higher-education" TargetMode="External"/><Relationship Id="rId123" Type="http://schemas.openxmlformats.org/officeDocument/2006/relationships/hyperlink" Target="https://explore-education-statistics.service.gov.uk/find-statistics/graduate-labour-markets" TargetMode="External"/><Relationship Id="rId128" Type="http://schemas.openxmlformats.org/officeDocument/2006/relationships/comments" Target="../comments2.xml"/><Relationship Id="rId5" Type="http://schemas.openxmlformats.org/officeDocument/2006/relationships/hyperlink" Target="https://explore-education-statistics.service.gov.uk/find-statistics/apprenticeships-and-traineeships" TargetMode="External"/><Relationship Id="rId90" Type="http://schemas.openxmlformats.org/officeDocument/2006/relationships/hyperlink" Target="https://explore-education-statistics.service.gov.uk/find-statistics/career-pathways-post-16-qualifications-held-by-employees" TargetMode="External"/><Relationship Id="rId95" Type="http://schemas.openxmlformats.org/officeDocument/2006/relationships/hyperlink" Target="https://explore-education-statistics.service.gov.uk/find-statistics/fe-learners-going-into-employment-and-learning-destinations-by-local-authority-district" TargetMode="External"/><Relationship Id="rId22" Type="http://schemas.openxmlformats.org/officeDocument/2006/relationships/hyperlink" Target="https://explore-education-statistics.service.gov.uk/find-statistics/apprenticeships-and-traineeships" TargetMode="External"/><Relationship Id="rId27" Type="http://schemas.openxmlformats.org/officeDocument/2006/relationships/hyperlink" Target="https://explore-education-statistics.service.gov.uk/find-statistics/apprenticeships-and-traineeships" TargetMode="External"/><Relationship Id="rId43" Type="http://schemas.openxmlformats.org/officeDocument/2006/relationships/hyperlink" Target="https://explore-education-statistics.service.gov.uk/find-statistics/apprenticeships-and-traineeships" TargetMode="External"/><Relationship Id="rId48" Type="http://schemas.openxmlformats.org/officeDocument/2006/relationships/hyperlink" Target="https://explore-education-statistics.service.gov.uk/find-statistics/further-education-skills-index" TargetMode="External"/><Relationship Id="rId64" Type="http://schemas.openxmlformats.org/officeDocument/2006/relationships/hyperlink" Target="https://explore-education-statistics.service.gov.uk/find-statistics/further-education-outcome-based-success-measures" TargetMode="External"/><Relationship Id="rId69" Type="http://schemas.openxmlformats.org/officeDocument/2006/relationships/hyperlink" Target="https://explore-education-statistics.service.gov.uk/find-statistics/further-education-outcome-based-success-measures" TargetMode="External"/><Relationship Id="rId113" Type="http://schemas.openxmlformats.org/officeDocument/2006/relationships/hyperlink" Target="https://explore-education-statistics.service.gov.uk/find-statistics/leo-graduate-and-postgraduate-outcomes" TargetMode="External"/><Relationship Id="rId118" Type="http://schemas.openxmlformats.org/officeDocument/2006/relationships/hyperlink" Target="https://explore-education-statistics.service.gov.uk/find-statistics/graduate-outcomes-leo-provider-level-data" TargetMode="External"/><Relationship Id="rId80" Type="http://schemas.openxmlformats.org/officeDocument/2006/relationships/hyperlink" Target="https://explore-education-statistics.service.gov.uk/find-statistics/further-education-outcome-based-success-measures" TargetMode="External"/><Relationship Id="rId85" Type="http://schemas.openxmlformats.org/officeDocument/2006/relationships/hyperlink" Target="https://explore-education-statistics.service.gov.uk/find-statistics/progression-to-higher-education-or-training" TargetMode="External"/><Relationship Id="rId12" Type="http://schemas.openxmlformats.org/officeDocument/2006/relationships/hyperlink" Target="https://explore-education-statistics.service.gov.uk/find-statistics/apprenticeships-and-traineeships" TargetMode="External"/><Relationship Id="rId17" Type="http://schemas.openxmlformats.org/officeDocument/2006/relationships/hyperlink" Target="https://explore-education-statistics.service.gov.uk/find-statistics/apprenticeships-and-traineeships" TargetMode="External"/><Relationship Id="rId33" Type="http://schemas.openxmlformats.org/officeDocument/2006/relationships/hyperlink" Target="https://explore-education-statistics.service.gov.uk/find-statistics/apprenticeships-and-traineeships" TargetMode="External"/><Relationship Id="rId38" Type="http://schemas.openxmlformats.org/officeDocument/2006/relationships/hyperlink" Target="https://explore-education-statistics.service.gov.uk/find-statistics/apprenticeships-and-traineeships" TargetMode="External"/><Relationship Id="rId59" Type="http://schemas.openxmlformats.org/officeDocument/2006/relationships/hyperlink" Target="https://explore-education-statistics.service.gov.uk/find-statistics/16-18-destination-measures" TargetMode="External"/><Relationship Id="rId103" Type="http://schemas.openxmlformats.org/officeDocument/2006/relationships/hyperlink" Target="https://explore-education-statistics.service.gov.uk/find-statistics/participation-measures-in-higher-education" TargetMode="External"/><Relationship Id="rId108" Type="http://schemas.openxmlformats.org/officeDocument/2006/relationships/hyperlink" Target="https://content.explore-education-statistics.service.gov.uk/api/releases/6d697140-ea84-440b-8c19-097880336f07/files" TargetMode="External"/><Relationship Id="rId124" Type="http://schemas.openxmlformats.org/officeDocument/2006/relationships/hyperlink" Target="https://explore-education-statistics.service.gov.uk/find-statistics/graduate-labour-markets" TargetMode="External"/><Relationship Id="rId129" Type="http://schemas.microsoft.com/office/2017/10/relationships/threadedComment" Target="../threadedComments/threadedComment2.xml"/><Relationship Id="rId54" Type="http://schemas.openxmlformats.org/officeDocument/2006/relationships/hyperlink" Target="https://explore-education-statistics.service.gov.uk/find-statistics/neet-statistics-annual-brief" TargetMode="External"/><Relationship Id="rId70" Type="http://schemas.openxmlformats.org/officeDocument/2006/relationships/hyperlink" Target="https://explore-education-statistics.service.gov.uk/find-statistics/further-education-outcome-based-success-measures" TargetMode="External"/><Relationship Id="rId75" Type="http://schemas.openxmlformats.org/officeDocument/2006/relationships/hyperlink" Target="https://explore-education-statistics.service.gov.uk/find-statistics/further-education-outcome-based-success-measures" TargetMode="External"/><Relationship Id="rId91" Type="http://schemas.openxmlformats.org/officeDocument/2006/relationships/hyperlink" Target="https://explore-education-statistics.service.gov.uk/find-statistics/education-and-training-statistics-for-the-uk/2022" TargetMode="External"/><Relationship Id="rId96" Type="http://schemas.openxmlformats.org/officeDocument/2006/relationships/hyperlink" Target="https://explore-education-statistics.service.gov.uk/find-statistics/skills-bootcamps-outcomes" TargetMode="External"/><Relationship Id="rId1" Type="http://schemas.openxmlformats.org/officeDocument/2006/relationships/hyperlink" Target="https://explore-education-statistics.service.gov.uk/find-statistics/apprenticeships-and-traineeships" TargetMode="External"/><Relationship Id="rId6" Type="http://schemas.openxmlformats.org/officeDocument/2006/relationships/hyperlink" Target="https://explore-education-statistics.service.gov.uk/find-statistics/apprenticeships-and-traineeships" TargetMode="External"/><Relationship Id="rId23" Type="http://schemas.openxmlformats.org/officeDocument/2006/relationships/hyperlink" Target="https://explore-education-statistics.service.gov.uk/find-statistics/apprenticeships-and-traineeships" TargetMode="External"/><Relationship Id="rId28" Type="http://schemas.openxmlformats.org/officeDocument/2006/relationships/hyperlink" Target="https://explore-education-statistics.service.gov.uk/find-statistics/apprenticeships-and-traineeships" TargetMode="External"/><Relationship Id="rId49" Type="http://schemas.openxmlformats.org/officeDocument/2006/relationships/hyperlink" Target="https://explore-education-statistics.service.gov.uk/find-statistics/participation-in-education-training-and-neet-age-16-to-17-by-local-authority" TargetMode="External"/><Relationship Id="rId114" Type="http://schemas.openxmlformats.org/officeDocument/2006/relationships/hyperlink" Target="https://explore-education-statistics.service.gov.uk/find-statistics/leo-graduate-and-postgraduate-outcomes" TargetMode="External"/><Relationship Id="rId119" Type="http://schemas.openxmlformats.org/officeDocument/2006/relationships/hyperlink" Target="https://explore-education-statistics.service.gov.uk/find-statistics/graduate-outcomes-leo-provider-level-data" TargetMode="External"/><Relationship Id="rId44" Type="http://schemas.openxmlformats.org/officeDocument/2006/relationships/hyperlink" Target="https://explore-education-statistics.service.gov.uk/find-statistics/further-education-and-skills" TargetMode="External"/><Relationship Id="rId60" Type="http://schemas.openxmlformats.org/officeDocument/2006/relationships/hyperlink" Target="https://explore-education-statistics.service.gov.uk/find-statistics/16-18-destination-measures" TargetMode="External"/><Relationship Id="rId65" Type="http://schemas.openxmlformats.org/officeDocument/2006/relationships/hyperlink" Target="https://explore-education-statistics.service.gov.uk/find-statistics/further-education-outcome-based-success-measures" TargetMode="External"/><Relationship Id="rId81" Type="http://schemas.openxmlformats.org/officeDocument/2006/relationships/hyperlink" Target="https://explore-education-statistics.service.gov.uk/find-statistics/further-education-outcome-based-success-measures" TargetMode="External"/><Relationship Id="rId86" Type="http://schemas.openxmlformats.org/officeDocument/2006/relationships/hyperlink" Target="https://explore-education-statistics.service.gov.uk/find-statistics/longer-term-destinations" TargetMode="External"/><Relationship Id="rId13" Type="http://schemas.openxmlformats.org/officeDocument/2006/relationships/hyperlink" Target="https://explore-education-statistics.service.gov.uk/find-statistics/apprenticeships-and-traineeships" TargetMode="External"/><Relationship Id="rId18" Type="http://schemas.openxmlformats.org/officeDocument/2006/relationships/hyperlink" Target="https://explore-education-statistics.service.gov.uk/find-statistics/apprenticeships-and-traineeships" TargetMode="External"/><Relationship Id="rId39" Type="http://schemas.openxmlformats.org/officeDocument/2006/relationships/hyperlink" Target="https://explore-education-statistics.service.gov.uk/find-statistics/apprenticeships-and-traineeships" TargetMode="External"/><Relationship Id="rId109" Type="http://schemas.openxmlformats.org/officeDocument/2006/relationships/hyperlink" Target="https://explore-education-statistics.service.gov.uk/find-statistics/leo-graduate-and-postgraduate-outcomes" TargetMode="External"/><Relationship Id="rId34" Type="http://schemas.openxmlformats.org/officeDocument/2006/relationships/hyperlink" Target="https://explore-education-statistics.service.gov.uk/find-statistics/apprenticeships-and-traineeships" TargetMode="External"/><Relationship Id="rId50" Type="http://schemas.openxmlformats.org/officeDocument/2006/relationships/hyperlink" Target="https://explore-education-statistics.service.gov.uk/find-statistics/participation-in-education-training-and-neet-age-16-to-17-by-local-authority" TargetMode="External"/><Relationship Id="rId55" Type="http://schemas.openxmlformats.org/officeDocument/2006/relationships/hyperlink" Target="https://explore-education-statistics.service.gov.uk/find-statistics/neet-statistics-annual-brief" TargetMode="External"/><Relationship Id="rId76" Type="http://schemas.openxmlformats.org/officeDocument/2006/relationships/hyperlink" Target="https://explore-education-statistics.service.gov.uk/find-statistics/further-education-outcome-based-success-measures" TargetMode="External"/><Relationship Id="rId97" Type="http://schemas.openxmlformats.org/officeDocument/2006/relationships/hyperlink" Target="https://explore-education-statistics.service.gov.uk/find-statistics/skills-bootcamps-starts" TargetMode="External"/><Relationship Id="rId104" Type="http://schemas.openxmlformats.org/officeDocument/2006/relationships/hyperlink" Target="https://explore-education-statistics.service.gov.uk/find-statistics/apprenticeships-in-england-by-industry-characteristics" TargetMode="External"/><Relationship Id="rId120" Type="http://schemas.openxmlformats.org/officeDocument/2006/relationships/hyperlink" Target="https://explore-education-statistics.service.gov.uk/find-statistics/graduate-outcomes-leo-provider-level-data" TargetMode="External"/><Relationship Id="rId125" Type="http://schemas.openxmlformats.org/officeDocument/2006/relationships/hyperlink" Target="https://explore-education-statistics.service.gov.uk/find-statistics/detailed-destinations-of-16-to-18-year-olds-in-further-education" TargetMode="External"/><Relationship Id="rId7" Type="http://schemas.openxmlformats.org/officeDocument/2006/relationships/hyperlink" Target="https://explore-education-statistics.service.gov.uk/find-statistics/apprenticeships-and-traineeships" TargetMode="External"/><Relationship Id="rId71" Type="http://schemas.openxmlformats.org/officeDocument/2006/relationships/hyperlink" Target="https://explore-education-statistics.service.gov.uk/find-statistics/further-education-outcome-based-success-measures" TargetMode="External"/><Relationship Id="rId92" Type="http://schemas.openxmlformats.org/officeDocument/2006/relationships/hyperlink" Target="https://explore-education-statistics.service.gov.uk/find-statistics/education-and-training-statistics-for-the-uk/2022" TargetMode="External"/><Relationship Id="rId2" Type="http://schemas.openxmlformats.org/officeDocument/2006/relationships/hyperlink" Target="https://explore-education-statistics.service.gov.uk/find-statistics/apprenticeships-and-traineeships" TargetMode="External"/><Relationship Id="rId29" Type="http://schemas.openxmlformats.org/officeDocument/2006/relationships/hyperlink" Target="https://explore-education-statistics.service.gov.uk/find-statistics/apprenticeships-and-traineeships" TargetMode="External"/><Relationship Id="rId24" Type="http://schemas.openxmlformats.org/officeDocument/2006/relationships/hyperlink" Target="https://explore-education-statistics.service.gov.uk/find-statistics/apprenticeships-and-traineeships" TargetMode="External"/><Relationship Id="rId40" Type="http://schemas.openxmlformats.org/officeDocument/2006/relationships/hyperlink" Target="https://explore-education-statistics.service.gov.uk/find-statistics/apprenticeships-and-traineeships" TargetMode="External"/><Relationship Id="rId45" Type="http://schemas.openxmlformats.org/officeDocument/2006/relationships/hyperlink" Target="https://explore-education-statistics.service.gov.uk/find-statistics/further-education-and-skills" TargetMode="External"/><Relationship Id="rId66" Type="http://schemas.openxmlformats.org/officeDocument/2006/relationships/hyperlink" Target="https://explore-education-statistics.service.gov.uk/find-statistics/further-education-outcome-based-success-measures" TargetMode="External"/><Relationship Id="rId87" Type="http://schemas.openxmlformats.org/officeDocument/2006/relationships/hyperlink" Target="https://explore-education-statistics.service.gov.uk/find-statistics/longer-term-destinations" TargetMode="External"/><Relationship Id="rId110" Type="http://schemas.openxmlformats.org/officeDocument/2006/relationships/hyperlink" Target="https://explore-education-statistics.service.gov.uk/find-statistics/leo-graduate-and-postgraduate-outcomes" TargetMode="External"/><Relationship Id="rId115" Type="http://schemas.openxmlformats.org/officeDocument/2006/relationships/hyperlink" Target="https://explore-education-statistics.service.gov.uk/find-statistics/leo-graduate-and-postgraduate-outcomes" TargetMode="External"/><Relationship Id="rId61" Type="http://schemas.openxmlformats.org/officeDocument/2006/relationships/hyperlink" Target="https://explore-education-statistics.service.gov.uk/find-statistics/16-18-destination-measures" TargetMode="External"/><Relationship Id="rId82" Type="http://schemas.openxmlformats.org/officeDocument/2006/relationships/hyperlink" Target="https://explore-education-statistics.service.gov.uk/find-statistics/further-education-outcome-based-success-measures" TargetMode="External"/><Relationship Id="rId1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apprenticeships-and-traineeships" TargetMode="External"/><Relationship Id="rId30" Type="http://schemas.openxmlformats.org/officeDocument/2006/relationships/hyperlink" Target="https://explore-education-statistics.service.gov.uk/find-statistics/apprenticeships-and-traineeships" TargetMode="External"/><Relationship Id="rId35" Type="http://schemas.openxmlformats.org/officeDocument/2006/relationships/hyperlink" Target="https://explore-education-statistics.service.gov.uk/find-statistics/apprenticeships-and-traineeships" TargetMode="External"/><Relationship Id="rId56" Type="http://schemas.openxmlformats.org/officeDocument/2006/relationships/hyperlink" Target="https://explore-education-statistics.service.gov.uk/find-statistics/key-stage-4-destination-measures" TargetMode="External"/><Relationship Id="rId77" Type="http://schemas.openxmlformats.org/officeDocument/2006/relationships/hyperlink" Target="https://explore-education-statistics.service.gov.uk/find-statistics/further-education-outcome-based-success-measures" TargetMode="External"/><Relationship Id="rId100" Type="http://schemas.openxmlformats.org/officeDocument/2006/relationships/hyperlink" Target="https://explore-education-statistics.service.gov.uk/find-statistics/participation-in-education-and-training-and-employment" TargetMode="External"/><Relationship Id="rId105" Type="http://schemas.openxmlformats.org/officeDocument/2006/relationships/hyperlink" Target="https://explore-education-statistics.service.gov.uk/find-statistics/apprenticeships-in-england-by-industry-characteristics" TargetMode="External"/><Relationship Id="rId126" Type="http://schemas.openxmlformats.org/officeDocument/2006/relationships/hyperlink" Target="https://explore-education-statistics.service.gov.uk/find-statistics/detailed-destinations-of-16-to-18-year-olds-in-further-education" TargetMode="External"/><Relationship Id="rId8" Type="http://schemas.openxmlformats.org/officeDocument/2006/relationships/hyperlink" Target="https://explore-education-statistics.service.gov.uk/find-statistics/apprenticeships-and-traineeships" TargetMode="External"/><Relationship Id="rId51" Type="http://schemas.openxmlformats.org/officeDocument/2006/relationships/hyperlink" Target="https://explore-education-statistics.service.gov.uk/find-statistics/participation-in-education-training-and-neet-age-16-to-17-by-local-authority" TargetMode="External"/><Relationship Id="rId72" Type="http://schemas.openxmlformats.org/officeDocument/2006/relationships/hyperlink" Target="https://explore-education-statistics.service.gov.uk/find-statistics/further-education-outcome-based-success-measures" TargetMode="External"/><Relationship Id="rId93" Type="http://schemas.openxmlformats.org/officeDocument/2006/relationships/hyperlink" Target="https://explore-education-statistics.service.gov.uk/find-statistics/employer-skills-survey" TargetMode="External"/><Relationship Id="rId98" Type="http://schemas.openxmlformats.org/officeDocument/2006/relationships/hyperlink" Target="https://explore-education-statistics.service.gov.uk/find-statistics/widening-participation-in-higher-education" TargetMode="External"/><Relationship Id="rId121" Type="http://schemas.openxmlformats.org/officeDocument/2006/relationships/hyperlink" Target="https://explore-education-statistics.service.gov.uk/find-statistics/higher-level-learners-in-england" TargetMode="External"/><Relationship Id="rId3" Type="http://schemas.openxmlformats.org/officeDocument/2006/relationships/hyperlink" Target="https://explore-education-statistics.service.gov.uk/find-statistics/apprenticeships-and-traineeships" TargetMode="External"/><Relationship Id="rId25" Type="http://schemas.openxmlformats.org/officeDocument/2006/relationships/hyperlink" Target="https://explore-education-statistics.service.gov.uk/find-statistics/apprenticeships-and-traineeships" TargetMode="External"/><Relationship Id="rId46" Type="http://schemas.openxmlformats.org/officeDocument/2006/relationships/hyperlink" Target="https://explore-education-statistics.service.gov.uk/find-statistics/further-education-and-skills" TargetMode="External"/><Relationship Id="rId67" Type="http://schemas.openxmlformats.org/officeDocument/2006/relationships/hyperlink" Target="https://explore-education-statistics.service.gov.uk/find-statistics/further-education-outcome-based-success-measures" TargetMode="External"/><Relationship Id="rId116" Type="http://schemas.openxmlformats.org/officeDocument/2006/relationships/hyperlink" Target="https://explore-education-statistics.service.gov.uk/find-statistics/leo-graduate-and-postgraduate-outcomes" TargetMode="External"/><Relationship Id="rId20" Type="http://schemas.openxmlformats.org/officeDocument/2006/relationships/hyperlink" Target="https://explore-education-statistics.service.gov.uk/find-statistics/apprenticeships-and-traineeships" TargetMode="External"/><Relationship Id="rId41" Type="http://schemas.openxmlformats.org/officeDocument/2006/relationships/hyperlink" Target="https://explore-education-statistics.service.gov.uk/find-statistics/apprenticeships-and-traineeships" TargetMode="External"/><Relationship Id="rId62" Type="http://schemas.openxmlformats.org/officeDocument/2006/relationships/hyperlink" Target="https://explore-education-statistics.service.gov.uk/find-statistics/further-education-outcome-based-success-measures" TargetMode="External"/><Relationship Id="rId83" Type="http://schemas.openxmlformats.org/officeDocument/2006/relationships/hyperlink" Target="https://explore-education-statistics.service.gov.uk/find-statistics/further-education-outcome-based-success-measures" TargetMode="External"/><Relationship Id="rId88" Type="http://schemas.openxmlformats.org/officeDocument/2006/relationships/hyperlink" Target="https://explore-education-statistics.service.gov.uk/find-statistics/longer-term-destinations" TargetMode="External"/><Relationship Id="rId111" Type="http://schemas.openxmlformats.org/officeDocument/2006/relationships/hyperlink" Target="https://explore-education-statistics.service.gov.uk/find-statistics/leo-graduate-and-postgraduate-outcomes" TargetMode="External"/><Relationship Id="rId15" Type="http://schemas.openxmlformats.org/officeDocument/2006/relationships/hyperlink" Target="https://explore-education-statistics.service.gov.uk/find-statistics/apprenticeships-and-traineeships" TargetMode="External"/><Relationship Id="rId36" Type="http://schemas.openxmlformats.org/officeDocument/2006/relationships/hyperlink" Target="https://explore-education-statistics.service.gov.uk/find-statistics/apprenticeships-and-traineeships" TargetMode="External"/><Relationship Id="rId57" Type="http://schemas.openxmlformats.org/officeDocument/2006/relationships/hyperlink" Target="https://explore-education-statistics.service.gov.uk/find-statistics/key-stage-4-destination-measures" TargetMode="External"/><Relationship Id="rId106" Type="http://schemas.openxmlformats.org/officeDocument/2006/relationships/hyperlink" Target="https://content.explore-education-statistics.service.gov.uk/api/releases/917e1faf-d197-4432-a774-2b9bb42250da/files" TargetMode="External"/><Relationship Id="rId127" Type="http://schemas.openxmlformats.org/officeDocument/2006/relationships/vmlDrawing" Target="../drawings/vmlDrawing2.vml"/><Relationship Id="rId10" Type="http://schemas.openxmlformats.org/officeDocument/2006/relationships/hyperlink" Target="https://explore-education-statistics.service.gov.uk/find-statistics/apprenticeships-and-traineeships" TargetMode="External"/><Relationship Id="rId31" Type="http://schemas.openxmlformats.org/officeDocument/2006/relationships/hyperlink" Target="https://explore-education-statistics.service.gov.uk/find-statistics/apprenticeships-and-traineeships" TargetMode="External"/><Relationship Id="rId52" Type="http://schemas.openxmlformats.org/officeDocument/2006/relationships/hyperlink" Target="https://explore-education-statistics.service.gov.uk/find-statistics/participation-in-education-training-and-neet-age-16-to-17-by-local-authority" TargetMode="External"/><Relationship Id="rId73" Type="http://schemas.openxmlformats.org/officeDocument/2006/relationships/hyperlink" Target="https://explore-education-statistics.service.gov.uk/find-statistics/further-education-outcome-based-success-measures" TargetMode="External"/><Relationship Id="rId78" Type="http://schemas.openxmlformats.org/officeDocument/2006/relationships/hyperlink" Target="https://explore-education-statistics.service.gov.uk/find-statistics/further-education-outcome-based-success-measures" TargetMode="External"/><Relationship Id="rId94" Type="http://schemas.openxmlformats.org/officeDocument/2006/relationships/hyperlink" Target="https://explore-education-statistics.service.gov.uk/find-statistics/employer-skills-survey" TargetMode="External"/><Relationship Id="rId99" Type="http://schemas.openxmlformats.org/officeDocument/2006/relationships/hyperlink" Target="https://explore-education-statistics.service.gov.uk/find-statistics/widening-participation-in-higher-education" TargetMode="External"/><Relationship Id="rId101" Type="http://schemas.openxmlformats.org/officeDocument/2006/relationships/hyperlink" Target="https://explore-education-statistics.service.gov.uk/find-statistics/participation-in-education-and-training-and-employment" TargetMode="External"/><Relationship Id="rId122" Type="http://schemas.openxmlformats.org/officeDocument/2006/relationships/hyperlink" Target="https://explore-education-statistics.service.gov.uk/find-statistics/higher-level-learners-in-england" TargetMode="External"/><Relationship Id="rId4" Type="http://schemas.openxmlformats.org/officeDocument/2006/relationships/hyperlink" Target="https://explore-education-statistics.service.gov.uk/find-statistics/apprenticeships-and-traineeships" TargetMode="External"/><Relationship Id="rId9" Type="http://schemas.openxmlformats.org/officeDocument/2006/relationships/hyperlink" Target="https://explore-education-statistics.service.gov.uk/find-statistics/apprenticeships-and-traineeships" TargetMode="External"/><Relationship Id="rId26" Type="http://schemas.openxmlformats.org/officeDocument/2006/relationships/hyperlink" Target="https://explore-education-statistics.service.gov.uk/find-statistics/apprenticeships-and-traineeships"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xplore-education-statistics.service.gov.uk/find-statistics/apprenticeships-and-traineeships" TargetMode="External"/><Relationship Id="rId21" Type="http://schemas.openxmlformats.org/officeDocument/2006/relationships/hyperlink" Target="https://explore-education-statistics.service.gov.uk/find-statistics/apprenticeships-and-traineeships" TargetMode="External"/><Relationship Id="rId42" Type="http://schemas.openxmlformats.org/officeDocument/2006/relationships/hyperlink" Target="https://explore-education-statistics.service.gov.uk/find-statistics/apprenticeships-and-traineeships" TargetMode="External"/><Relationship Id="rId47" Type="http://schemas.openxmlformats.org/officeDocument/2006/relationships/hyperlink" Target="https://explore-education-statistics.service.gov.uk/find-statistics/further-education-skills-index" TargetMode="External"/><Relationship Id="rId63" Type="http://schemas.openxmlformats.org/officeDocument/2006/relationships/hyperlink" Target="https://explore-education-statistics.service.gov.uk/find-statistics/further-education-outcome-based-success-measures" TargetMode="External"/><Relationship Id="rId68" Type="http://schemas.openxmlformats.org/officeDocument/2006/relationships/hyperlink" Target="https://explore-education-statistics.service.gov.uk/find-statistics/further-education-outcome-based-success-measures" TargetMode="External"/><Relationship Id="rId84" Type="http://schemas.openxmlformats.org/officeDocument/2006/relationships/hyperlink" Target="https://explore-education-statistics.service.gov.uk/find-statistics/progression-to-higher-education-or-training" TargetMode="External"/><Relationship Id="rId89" Type="http://schemas.openxmlformats.org/officeDocument/2006/relationships/hyperlink" Target="https://explore-education-statistics.service.gov.uk/find-statistics/career-pathways-post-16-qualifications-held-by-employees" TargetMode="External"/><Relationship Id="rId16" Type="http://schemas.openxmlformats.org/officeDocument/2006/relationships/hyperlink" Target="https://explore-education-statistics.service.gov.uk/find-statistics/apprenticeships-and-traineeships" TargetMode="External"/><Relationship Id="rId107" Type="http://schemas.openxmlformats.org/officeDocument/2006/relationships/printerSettings" Target="../printerSettings/printerSettings3.bin"/><Relationship Id="rId11"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explore-education-statistics.service.gov.uk/find-statistics/apprenticeships-and-traineeships" TargetMode="External"/><Relationship Id="rId37" Type="http://schemas.openxmlformats.org/officeDocument/2006/relationships/hyperlink" Target="https://explore-education-statistics.service.gov.uk/find-statistics/apprenticeships-and-traineeships" TargetMode="External"/><Relationship Id="rId53" Type="http://schemas.openxmlformats.org/officeDocument/2006/relationships/hyperlink" Target="https://explore-education-statistics.service.gov.uk/find-statistics/neet-statistics-annual-brief" TargetMode="External"/><Relationship Id="rId58" Type="http://schemas.openxmlformats.org/officeDocument/2006/relationships/hyperlink" Target="https://explore-education-statistics.service.gov.uk/find-statistics/key-stage-4-destination-measures" TargetMode="External"/><Relationship Id="rId74" Type="http://schemas.openxmlformats.org/officeDocument/2006/relationships/hyperlink" Target="https://explore-education-statistics.service.gov.uk/find-statistics/further-education-outcome-based-success-measures" TargetMode="External"/><Relationship Id="rId79" Type="http://schemas.openxmlformats.org/officeDocument/2006/relationships/hyperlink" Target="https://explore-education-statistics.service.gov.uk/find-statistics/further-education-outcome-based-success-measures" TargetMode="External"/><Relationship Id="rId102" Type="http://schemas.openxmlformats.org/officeDocument/2006/relationships/hyperlink" Target="https://explore-education-statistics.service.gov.uk/find-statistics/participation-in-education-and-training-and-employment" TargetMode="External"/><Relationship Id="rId5" Type="http://schemas.openxmlformats.org/officeDocument/2006/relationships/hyperlink" Target="https://explore-education-statistics.service.gov.uk/find-statistics/apprenticeships-and-traineeships" TargetMode="External"/><Relationship Id="rId90" Type="http://schemas.openxmlformats.org/officeDocument/2006/relationships/hyperlink" Target="https://explore-education-statistics.service.gov.uk/find-statistics/career-pathways-post-16-qualifications-held-by-employees" TargetMode="External"/><Relationship Id="rId95" Type="http://schemas.openxmlformats.org/officeDocument/2006/relationships/hyperlink" Target="https://explore-education-statistics.service.gov.uk/find-statistics/fe-learners-going-into-employment-and-learning-destinations-by-local-authority-district" TargetMode="External"/><Relationship Id="rId22" Type="http://schemas.openxmlformats.org/officeDocument/2006/relationships/hyperlink" Target="https://explore-education-statistics.service.gov.uk/find-statistics/apprenticeships-and-traineeships" TargetMode="External"/><Relationship Id="rId27" Type="http://schemas.openxmlformats.org/officeDocument/2006/relationships/hyperlink" Target="https://explore-education-statistics.service.gov.uk/find-statistics/apprenticeships-and-traineeships" TargetMode="External"/><Relationship Id="rId43" Type="http://schemas.openxmlformats.org/officeDocument/2006/relationships/hyperlink" Target="https://explore-education-statistics.service.gov.uk/find-statistics/apprenticeships-and-traineeships" TargetMode="External"/><Relationship Id="rId48" Type="http://schemas.openxmlformats.org/officeDocument/2006/relationships/hyperlink" Target="https://explore-education-statistics.service.gov.uk/find-statistics/further-education-skills-index" TargetMode="External"/><Relationship Id="rId64" Type="http://schemas.openxmlformats.org/officeDocument/2006/relationships/hyperlink" Target="https://explore-education-statistics.service.gov.uk/find-statistics/further-education-outcome-based-success-measures" TargetMode="External"/><Relationship Id="rId69" Type="http://schemas.openxmlformats.org/officeDocument/2006/relationships/hyperlink" Target="https://explore-education-statistics.service.gov.uk/find-statistics/further-education-outcome-based-success-measures" TargetMode="External"/><Relationship Id="rId80" Type="http://schemas.openxmlformats.org/officeDocument/2006/relationships/hyperlink" Target="https://explore-education-statistics.service.gov.uk/find-statistics/further-education-outcome-based-success-measures" TargetMode="External"/><Relationship Id="rId85" Type="http://schemas.openxmlformats.org/officeDocument/2006/relationships/hyperlink" Target="https://explore-education-statistics.service.gov.uk/find-statistics/progression-to-higher-education-or-training" TargetMode="External"/><Relationship Id="rId12" Type="http://schemas.openxmlformats.org/officeDocument/2006/relationships/hyperlink" Target="https://explore-education-statistics.service.gov.uk/find-statistics/apprenticeships-and-traineeships" TargetMode="External"/><Relationship Id="rId17" Type="http://schemas.openxmlformats.org/officeDocument/2006/relationships/hyperlink" Target="https://explore-education-statistics.service.gov.uk/find-statistics/apprenticeships-and-traineeships" TargetMode="External"/><Relationship Id="rId33" Type="http://schemas.openxmlformats.org/officeDocument/2006/relationships/hyperlink" Target="https://explore-education-statistics.service.gov.uk/find-statistics/apprenticeships-and-traineeships" TargetMode="External"/><Relationship Id="rId38" Type="http://schemas.openxmlformats.org/officeDocument/2006/relationships/hyperlink" Target="https://explore-education-statistics.service.gov.uk/find-statistics/apprenticeships-and-traineeships" TargetMode="External"/><Relationship Id="rId59" Type="http://schemas.openxmlformats.org/officeDocument/2006/relationships/hyperlink" Target="https://explore-education-statistics.service.gov.uk/find-statistics/16-18-destination-measures" TargetMode="External"/><Relationship Id="rId103" Type="http://schemas.openxmlformats.org/officeDocument/2006/relationships/hyperlink" Target="https://explore-education-statistics.service.gov.uk/find-statistics/participation-measures-in-higher-education" TargetMode="External"/><Relationship Id="rId108" Type="http://schemas.openxmlformats.org/officeDocument/2006/relationships/vmlDrawing" Target="../drawings/vmlDrawing3.vml"/><Relationship Id="rId54" Type="http://schemas.openxmlformats.org/officeDocument/2006/relationships/hyperlink" Target="https://explore-education-statistics.service.gov.uk/find-statistics/neet-statistics-annual-brief" TargetMode="External"/><Relationship Id="rId70" Type="http://schemas.openxmlformats.org/officeDocument/2006/relationships/hyperlink" Target="https://explore-education-statistics.service.gov.uk/find-statistics/further-education-outcome-based-success-measures" TargetMode="External"/><Relationship Id="rId75" Type="http://schemas.openxmlformats.org/officeDocument/2006/relationships/hyperlink" Target="https://explore-education-statistics.service.gov.uk/find-statistics/further-education-outcome-based-success-measures" TargetMode="External"/><Relationship Id="rId91" Type="http://schemas.openxmlformats.org/officeDocument/2006/relationships/hyperlink" Target="https://explore-education-statistics.service.gov.uk/find-statistics/education-and-training-statistics-for-the-uk/2022" TargetMode="External"/><Relationship Id="rId96" Type="http://schemas.openxmlformats.org/officeDocument/2006/relationships/hyperlink" Target="https://explore-education-statistics.service.gov.uk/find-statistics/leo-graduate-and-postgraduate-outcomes/2019-20)" TargetMode="External"/><Relationship Id="rId1" Type="http://schemas.openxmlformats.org/officeDocument/2006/relationships/hyperlink" Target="https://explore-education-statistics.service.gov.uk/find-statistics/apprenticeships-and-traineeships" TargetMode="External"/><Relationship Id="rId6" Type="http://schemas.openxmlformats.org/officeDocument/2006/relationships/hyperlink" Target="https://explore-education-statistics.service.gov.uk/find-statistics/apprenticeships-and-traineeships" TargetMode="External"/><Relationship Id="rId15" Type="http://schemas.openxmlformats.org/officeDocument/2006/relationships/hyperlink" Target="https://explore-education-statistics.service.gov.uk/find-statistics/apprenticeships-and-traineeships" TargetMode="External"/><Relationship Id="rId23" Type="http://schemas.openxmlformats.org/officeDocument/2006/relationships/hyperlink" Target="https://explore-education-statistics.service.gov.uk/find-statistics/apprenticeships-and-traineeships" TargetMode="External"/><Relationship Id="rId28" Type="http://schemas.openxmlformats.org/officeDocument/2006/relationships/hyperlink" Target="https://explore-education-statistics.service.gov.uk/find-statistics/apprenticeships-and-traineeships" TargetMode="External"/><Relationship Id="rId36" Type="http://schemas.openxmlformats.org/officeDocument/2006/relationships/hyperlink" Target="https://explore-education-statistics.service.gov.uk/find-statistics/apprenticeships-and-traineeships" TargetMode="External"/><Relationship Id="rId49" Type="http://schemas.openxmlformats.org/officeDocument/2006/relationships/hyperlink" Target="https://explore-education-statistics.service.gov.uk/find-statistics/participation-in-education-training-and-neet-age-16-to-17-by-local-authority" TargetMode="External"/><Relationship Id="rId57" Type="http://schemas.openxmlformats.org/officeDocument/2006/relationships/hyperlink" Target="https://explore-education-statistics.service.gov.uk/find-statistics/key-stage-4-destination-measures" TargetMode="External"/><Relationship Id="rId106" Type="http://schemas.openxmlformats.org/officeDocument/2006/relationships/hyperlink" Target="https://explore-education-statistics.service.gov.uk/find-statistics/apprenticeships-in-england-by-industry-characteristics" TargetMode="External"/><Relationship Id="rId10" Type="http://schemas.openxmlformats.org/officeDocument/2006/relationships/hyperlink" Target="https://explore-education-statistics.service.gov.uk/find-statistics/apprenticeships-and-traineeships" TargetMode="External"/><Relationship Id="rId31" Type="http://schemas.openxmlformats.org/officeDocument/2006/relationships/hyperlink" Target="https://explore-education-statistics.service.gov.uk/find-statistics/apprenticeships-and-traineeships" TargetMode="External"/><Relationship Id="rId44" Type="http://schemas.openxmlformats.org/officeDocument/2006/relationships/hyperlink" Target="https://explore-education-statistics.service.gov.uk/find-statistics/further-education-and-skills" TargetMode="External"/><Relationship Id="rId52" Type="http://schemas.openxmlformats.org/officeDocument/2006/relationships/hyperlink" Target="https://explore-education-statistics.service.gov.uk/find-statistics/participation-in-education-training-and-neet-age-16-to-17-by-local-authority" TargetMode="External"/><Relationship Id="rId60" Type="http://schemas.openxmlformats.org/officeDocument/2006/relationships/hyperlink" Target="https://explore-education-statistics.service.gov.uk/find-statistics/16-18-destination-measures" TargetMode="External"/><Relationship Id="rId65" Type="http://schemas.openxmlformats.org/officeDocument/2006/relationships/hyperlink" Target="https://explore-education-statistics.service.gov.uk/find-statistics/further-education-outcome-based-success-measures" TargetMode="External"/><Relationship Id="rId73" Type="http://schemas.openxmlformats.org/officeDocument/2006/relationships/hyperlink" Target="https://explore-education-statistics.service.gov.uk/find-statistics/further-education-outcome-based-success-measures" TargetMode="External"/><Relationship Id="rId78" Type="http://schemas.openxmlformats.org/officeDocument/2006/relationships/hyperlink" Target="https://explore-education-statistics.service.gov.uk/find-statistics/further-education-outcome-based-success-measures" TargetMode="External"/><Relationship Id="rId81" Type="http://schemas.openxmlformats.org/officeDocument/2006/relationships/hyperlink" Target="https://explore-education-statistics.service.gov.uk/find-statistics/further-education-outcome-based-success-measures" TargetMode="External"/><Relationship Id="rId86" Type="http://schemas.openxmlformats.org/officeDocument/2006/relationships/hyperlink" Target="https://explore-education-statistics.service.gov.uk/find-statistics/longer-term-destinations" TargetMode="External"/><Relationship Id="rId94" Type="http://schemas.openxmlformats.org/officeDocument/2006/relationships/hyperlink" Target="https://explore-education-statistics.service.gov.uk/find-statistics/employer-skills-survey" TargetMode="External"/><Relationship Id="rId99" Type="http://schemas.openxmlformats.org/officeDocument/2006/relationships/hyperlink" Target="https://explore-education-statistics.service.gov.uk/find-statistics/widening-participation-in-higher-education" TargetMode="External"/><Relationship Id="rId101" Type="http://schemas.openxmlformats.org/officeDocument/2006/relationships/hyperlink" Target="https://explore-education-statistics.service.gov.uk/find-statistics/participation-in-education-and-training-and-employment" TargetMode="External"/><Relationship Id="rId4" Type="http://schemas.openxmlformats.org/officeDocument/2006/relationships/hyperlink" Target="https://explore-education-statistics.service.gov.uk/find-statistics/apprenticeships-and-traineeships" TargetMode="External"/><Relationship Id="rId9" Type="http://schemas.openxmlformats.org/officeDocument/2006/relationships/hyperlink" Target="https://explore-education-statistics.service.gov.uk/find-statistics/apprenticeships-and-traineeships" TargetMode="External"/><Relationship Id="rId13" Type="http://schemas.openxmlformats.org/officeDocument/2006/relationships/hyperlink" Target="https://explore-education-statistics.service.gov.uk/find-statistics/apprenticeships-and-traineeships" TargetMode="External"/><Relationship Id="rId18" Type="http://schemas.openxmlformats.org/officeDocument/2006/relationships/hyperlink" Target="https://explore-education-statistics.service.gov.uk/find-statistics/apprenticeships-and-traineeships" TargetMode="External"/><Relationship Id="rId39" Type="http://schemas.openxmlformats.org/officeDocument/2006/relationships/hyperlink" Target="https://explore-education-statistics.service.gov.uk/find-statistics/apprenticeships-and-traineeships" TargetMode="External"/><Relationship Id="rId109" Type="http://schemas.openxmlformats.org/officeDocument/2006/relationships/comments" Target="../comments3.xml"/><Relationship Id="rId34" Type="http://schemas.openxmlformats.org/officeDocument/2006/relationships/hyperlink" Target="https://explore-education-statistics.service.gov.uk/find-statistics/apprenticeships-and-traineeships" TargetMode="External"/><Relationship Id="rId50" Type="http://schemas.openxmlformats.org/officeDocument/2006/relationships/hyperlink" Target="https://explore-education-statistics.service.gov.uk/find-statistics/participation-in-education-training-and-neet-age-16-to-17-by-local-authority" TargetMode="External"/><Relationship Id="rId55" Type="http://schemas.openxmlformats.org/officeDocument/2006/relationships/hyperlink" Target="https://explore-education-statistics.service.gov.uk/find-statistics/neet-statistics-annual-brief" TargetMode="External"/><Relationship Id="rId76" Type="http://schemas.openxmlformats.org/officeDocument/2006/relationships/hyperlink" Target="https://explore-education-statistics.service.gov.uk/find-statistics/further-education-outcome-based-success-measures" TargetMode="External"/><Relationship Id="rId97" Type="http://schemas.openxmlformats.org/officeDocument/2006/relationships/hyperlink" Target="https://explore-education-statistics.service.gov.uk/find-statistics/skills-bootcamps-outcomes" TargetMode="External"/><Relationship Id="rId104" Type="http://schemas.openxmlformats.org/officeDocument/2006/relationships/hyperlink" Target="https://explore-education-statistics.service.gov.uk/find-statistics/participation-measures-in-higher-education" TargetMode="External"/><Relationship Id="rId7" Type="http://schemas.openxmlformats.org/officeDocument/2006/relationships/hyperlink" Target="https://explore-education-statistics.service.gov.uk/find-statistics/apprenticeships-and-traineeships" TargetMode="External"/><Relationship Id="rId71" Type="http://schemas.openxmlformats.org/officeDocument/2006/relationships/hyperlink" Target="https://explore-education-statistics.service.gov.uk/find-statistics/further-education-outcome-based-success-measures" TargetMode="External"/><Relationship Id="rId92" Type="http://schemas.openxmlformats.org/officeDocument/2006/relationships/hyperlink" Target="https://explore-education-statistics.service.gov.uk/find-statistics/education-and-training-statistics-for-the-uk/2022" TargetMode="External"/><Relationship Id="rId2" Type="http://schemas.openxmlformats.org/officeDocument/2006/relationships/hyperlink" Target="https://explore-education-statistics.service.gov.uk/find-statistics/apprenticeships-and-traineeships" TargetMode="External"/><Relationship Id="rId29" Type="http://schemas.openxmlformats.org/officeDocument/2006/relationships/hyperlink" Target="https://explore-education-statistics.service.gov.uk/find-statistics/apprenticeships-and-traineeships" TargetMode="External"/><Relationship Id="rId24" Type="http://schemas.openxmlformats.org/officeDocument/2006/relationships/hyperlink" Target="https://explore-education-statistics.service.gov.uk/find-statistics/apprenticeships-and-traineeships" TargetMode="External"/><Relationship Id="rId40" Type="http://schemas.openxmlformats.org/officeDocument/2006/relationships/hyperlink" Target="https://explore-education-statistics.service.gov.uk/find-statistics/apprenticeships-and-traineeships" TargetMode="External"/><Relationship Id="rId45" Type="http://schemas.openxmlformats.org/officeDocument/2006/relationships/hyperlink" Target="https://explore-education-statistics.service.gov.uk/find-statistics/further-education-and-skills" TargetMode="External"/><Relationship Id="rId66" Type="http://schemas.openxmlformats.org/officeDocument/2006/relationships/hyperlink" Target="https://explore-education-statistics.service.gov.uk/find-statistics/further-education-outcome-based-success-measures" TargetMode="External"/><Relationship Id="rId87" Type="http://schemas.openxmlformats.org/officeDocument/2006/relationships/hyperlink" Target="https://explore-education-statistics.service.gov.uk/find-statistics/longer-term-destinations" TargetMode="External"/><Relationship Id="rId110" Type="http://schemas.microsoft.com/office/2017/10/relationships/threadedComment" Target="../threadedComments/threadedComment3.xml"/><Relationship Id="rId61" Type="http://schemas.openxmlformats.org/officeDocument/2006/relationships/hyperlink" Target="https://explore-education-statistics.service.gov.uk/find-statistics/16-18-destination-measures" TargetMode="External"/><Relationship Id="rId82" Type="http://schemas.openxmlformats.org/officeDocument/2006/relationships/hyperlink" Target="https://explore-education-statistics.service.gov.uk/find-statistics/further-education-outcome-based-success-measures" TargetMode="External"/><Relationship Id="rId1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apprenticeships-and-traineeships" TargetMode="External"/><Relationship Id="rId30" Type="http://schemas.openxmlformats.org/officeDocument/2006/relationships/hyperlink" Target="https://explore-education-statistics.service.gov.uk/find-statistics/apprenticeships-and-traineeships" TargetMode="External"/><Relationship Id="rId35" Type="http://schemas.openxmlformats.org/officeDocument/2006/relationships/hyperlink" Target="https://explore-education-statistics.service.gov.uk/find-statistics/apprenticeships-and-traineeships" TargetMode="External"/><Relationship Id="rId56" Type="http://schemas.openxmlformats.org/officeDocument/2006/relationships/hyperlink" Target="https://explore-education-statistics.service.gov.uk/find-statistics/key-stage-4-destination-measures" TargetMode="External"/><Relationship Id="rId77" Type="http://schemas.openxmlformats.org/officeDocument/2006/relationships/hyperlink" Target="https://explore-education-statistics.service.gov.uk/find-statistics/further-education-outcome-based-success-measures" TargetMode="External"/><Relationship Id="rId100" Type="http://schemas.openxmlformats.org/officeDocument/2006/relationships/hyperlink" Target="https://explore-education-statistics.service.gov.uk/find-statistics/widening-participation-in-higher-education" TargetMode="External"/><Relationship Id="rId105" Type="http://schemas.openxmlformats.org/officeDocument/2006/relationships/hyperlink" Target="https://explore-education-statistics.service.gov.uk/find-statistics/apprenticeships-in-england-by-industry-characteristics" TargetMode="External"/><Relationship Id="rId8" Type="http://schemas.openxmlformats.org/officeDocument/2006/relationships/hyperlink" Target="https://explore-education-statistics.service.gov.uk/find-statistics/apprenticeships-and-traineeships" TargetMode="External"/><Relationship Id="rId51" Type="http://schemas.openxmlformats.org/officeDocument/2006/relationships/hyperlink" Target="https://explore-education-statistics.service.gov.uk/find-statistics/participation-in-education-training-and-neet-age-16-to-17-by-local-authority" TargetMode="External"/><Relationship Id="rId72" Type="http://schemas.openxmlformats.org/officeDocument/2006/relationships/hyperlink" Target="https://explore-education-statistics.service.gov.uk/find-statistics/further-education-outcome-based-success-measures" TargetMode="External"/><Relationship Id="rId93" Type="http://schemas.openxmlformats.org/officeDocument/2006/relationships/hyperlink" Target="https://explore-education-statistics.service.gov.uk/find-statistics/employer-skills-survey" TargetMode="External"/><Relationship Id="rId98" Type="http://schemas.openxmlformats.org/officeDocument/2006/relationships/hyperlink" Target="https://explore-education-statistics.service.gov.uk/find-statistics/skills-bootcamps-starts" TargetMode="External"/><Relationship Id="rId3" Type="http://schemas.openxmlformats.org/officeDocument/2006/relationships/hyperlink" Target="https://explore-education-statistics.service.gov.uk/find-statistics/apprenticeships-and-traineeships" TargetMode="External"/><Relationship Id="rId25" Type="http://schemas.openxmlformats.org/officeDocument/2006/relationships/hyperlink" Target="https://explore-education-statistics.service.gov.uk/find-statistics/apprenticeships-and-traineeships" TargetMode="External"/><Relationship Id="rId46" Type="http://schemas.openxmlformats.org/officeDocument/2006/relationships/hyperlink" Target="https://explore-education-statistics.service.gov.uk/find-statistics/further-education-and-skills" TargetMode="External"/><Relationship Id="rId67" Type="http://schemas.openxmlformats.org/officeDocument/2006/relationships/hyperlink" Target="https://explore-education-statistics.service.gov.uk/find-statistics/further-education-outcome-based-success-measures" TargetMode="External"/><Relationship Id="rId20" Type="http://schemas.openxmlformats.org/officeDocument/2006/relationships/hyperlink" Target="https://explore-education-statistics.service.gov.uk/find-statistics/apprenticeships-and-traineeships" TargetMode="External"/><Relationship Id="rId41" Type="http://schemas.openxmlformats.org/officeDocument/2006/relationships/hyperlink" Target="https://explore-education-statistics.service.gov.uk/find-statistics/apprenticeships-and-traineeships" TargetMode="External"/><Relationship Id="rId62" Type="http://schemas.openxmlformats.org/officeDocument/2006/relationships/hyperlink" Target="https://explore-education-statistics.service.gov.uk/find-statistics/further-education-outcome-based-success-measures" TargetMode="External"/><Relationship Id="rId83" Type="http://schemas.openxmlformats.org/officeDocument/2006/relationships/hyperlink" Target="https://explore-education-statistics.service.gov.uk/find-statistics/further-education-outcome-based-success-measures" TargetMode="External"/><Relationship Id="rId88" Type="http://schemas.openxmlformats.org/officeDocument/2006/relationships/hyperlink" Target="https://explore-education-statistics.service.gov.uk/find-statistics/longer-term-destination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7677C-D2B7-43DB-A89C-21935B49E66E}">
  <sheetPr codeName="Sheet1"/>
  <dimension ref="A1:K83"/>
  <sheetViews>
    <sheetView tabSelected="1" workbookViewId="0">
      <selection activeCell="B7" sqref="B7"/>
    </sheetView>
  </sheetViews>
  <sheetFormatPr defaultColWidth="45.7265625" defaultRowHeight="15.5" x14ac:dyDescent="0.35"/>
  <cols>
    <col min="1" max="1" width="45.7265625" style="16"/>
    <col min="2" max="2" width="21.7265625" style="16" customWidth="1"/>
    <col min="3" max="6" width="45.7265625" style="16"/>
    <col min="7" max="11" width="45.7265625" style="15"/>
    <col min="12" max="16384" width="45.7265625" style="16"/>
  </cols>
  <sheetData>
    <row r="1" spans="1:7" ht="28" customHeight="1" x14ac:dyDescent="0.35">
      <c r="A1" s="49" t="s">
        <v>0</v>
      </c>
      <c r="B1" s="49"/>
      <c r="C1" s="49"/>
      <c r="D1" s="15"/>
      <c r="E1" s="15"/>
      <c r="F1" s="15"/>
    </row>
    <row r="2" spans="1:7" ht="40" customHeight="1" x14ac:dyDescent="0.35">
      <c r="A2" s="49" t="s">
        <v>1</v>
      </c>
      <c r="B2" s="49"/>
      <c r="C2" s="49"/>
      <c r="D2" s="15"/>
      <c r="E2" s="15"/>
      <c r="F2" s="15"/>
    </row>
    <row r="3" spans="1:7" x14ac:dyDescent="0.35">
      <c r="A3" s="15"/>
      <c r="B3" s="15"/>
      <c r="C3" s="23"/>
      <c r="D3" s="15"/>
      <c r="E3" s="15"/>
      <c r="F3" s="15"/>
    </row>
    <row r="4" spans="1:7" x14ac:dyDescent="0.35">
      <c r="A4" s="15"/>
      <c r="B4" s="15"/>
      <c r="C4" s="23"/>
      <c r="D4" s="15"/>
      <c r="E4" s="15"/>
      <c r="F4" s="15"/>
    </row>
    <row r="5" spans="1:7" ht="16" thickBot="1" x14ac:dyDescent="0.4">
      <c r="A5" s="17"/>
      <c r="B5" s="17"/>
      <c r="C5" s="24"/>
      <c r="D5" s="17"/>
      <c r="E5" s="17"/>
      <c r="F5" s="17"/>
    </row>
    <row r="6" spans="1:7" ht="16" thickBot="1" x14ac:dyDescent="0.4">
      <c r="A6" s="18" t="s">
        <v>2</v>
      </c>
      <c r="B6" s="18" t="s">
        <v>2712</v>
      </c>
      <c r="C6" s="18" t="s">
        <v>3</v>
      </c>
      <c r="D6" s="18" t="s">
        <v>4</v>
      </c>
      <c r="E6" s="18" t="s">
        <v>5</v>
      </c>
      <c r="F6" s="18" t="s">
        <v>6</v>
      </c>
      <c r="G6" s="15" t="s">
        <v>1800</v>
      </c>
    </row>
    <row r="7" spans="1:7" ht="108.5" x14ac:dyDescent="0.35">
      <c r="A7" s="34" t="s">
        <v>7</v>
      </c>
      <c r="B7" s="34" t="s">
        <v>2733</v>
      </c>
      <c r="C7" s="35" t="s">
        <v>8</v>
      </c>
      <c r="D7" s="34" t="s">
        <v>9</v>
      </c>
      <c r="E7" s="34" t="s">
        <v>10</v>
      </c>
      <c r="F7" s="34"/>
      <c r="G7" s="15" t="str" cm="1">
        <f t="array" ref="G7">GetURL(C7)</f>
        <v>https://www.gov.uk/government/collections/business-population-estimates</v>
      </c>
    </row>
    <row r="8" spans="1:7" ht="31" x14ac:dyDescent="0.35">
      <c r="A8" s="19" t="s">
        <v>11</v>
      </c>
      <c r="B8" s="19" t="s">
        <v>2728</v>
      </c>
      <c r="C8" s="25" t="s">
        <v>12</v>
      </c>
      <c r="D8" s="26" t="s">
        <v>13</v>
      </c>
      <c r="E8" s="21" t="s">
        <v>14</v>
      </c>
      <c r="F8" s="19"/>
      <c r="G8" s="15" t="str" cm="1">
        <f t="array" ref="G8">GetURL(C8)</f>
        <v>https://www.gov.uk/government/statistics/apprenticeships-in-england-by-industry-characteristics</v>
      </c>
    </row>
    <row r="9" spans="1:7" ht="46.5" x14ac:dyDescent="0.35">
      <c r="A9" s="19" t="s">
        <v>11</v>
      </c>
      <c r="B9" s="19" t="s">
        <v>2726</v>
      </c>
      <c r="C9" s="25" t="s">
        <v>15</v>
      </c>
      <c r="D9" s="26" t="s">
        <v>16</v>
      </c>
      <c r="E9" s="21" t="s">
        <v>17</v>
      </c>
      <c r="F9" s="19"/>
      <c r="G9" s="15" t="str" cm="1">
        <f t="array" ref="G9">GetURL(C9)</f>
        <v>https://www.gov.uk/government/collections/statistics-outcome-based-success-measures</v>
      </c>
    </row>
    <row r="10" spans="1:7" ht="46.5" x14ac:dyDescent="0.35">
      <c r="A10" s="19" t="s">
        <v>11</v>
      </c>
      <c r="B10" s="19" t="s">
        <v>2727</v>
      </c>
      <c r="C10" s="25" t="s">
        <v>18</v>
      </c>
      <c r="D10" s="26" t="s">
        <v>19</v>
      </c>
      <c r="E10" s="19" t="s">
        <v>20</v>
      </c>
      <c r="F10" s="19"/>
      <c r="G10" s="15" t="str" cm="1">
        <f t="array" ref="G10">GetURL(C10)</f>
        <v>https://www.gov.uk/government/collections/statistics-attainment-at-19-years</v>
      </c>
    </row>
    <row r="11" spans="1:7" ht="62" x14ac:dyDescent="0.35">
      <c r="A11" s="19" t="s">
        <v>11</v>
      </c>
      <c r="B11" s="19" t="s">
        <v>859</v>
      </c>
      <c r="C11" s="21" t="s">
        <v>21</v>
      </c>
      <c r="D11" s="19" t="s">
        <v>22</v>
      </c>
      <c r="E11" s="19" t="s">
        <v>23</v>
      </c>
      <c r="F11" s="19"/>
      <c r="G11" s="15" t="str" cm="1">
        <f t="array" ref="G11">GetURL(C11)</f>
        <v>https://explore-education-statistics.service.gov.uk/find-statistics/16-18-destination-measures</v>
      </c>
    </row>
    <row r="12" spans="1:7" ht="46.5" x14ac:dyDescent="0.35">
      <c r="A12" s="19" t="s">
        <v>11</v>
      </c>
      <c r="B12" s="19" t="s">
        <v>2728</v>
      </c>
      <c r="C12" s="21" t="s">
        <v>24</v>
      </c>
      <c r="D12" s="27" t="s">
        <v>25</v>
      </c>
      <c r="E12" s="19" t="s">
        <v>26</v>
      </c>
      <c r="F12" s="19"/>
      <c r="G12" s="15" t="str" cm="1">
        <f t="array" ref="G12">GetURL(C12)</f>
        <v>https://explore-education-statistics.service.gov.uk/find-statistics/apprenticeships-and-traineeships</v>
      </c>
    </row>
    <row r="13" spans="1:7" ht="46.5" x14ac:dyDescent="0.35">
      <c r="A13" s="19" t="s">
        <v>11</v>
      </c>
      <c r="B13" s="19" t="s">
        <v>2728</v>
      </c>
      <c r="C13" s="21" t="s">
        <v>27</v>
      </c>
      <c r="D13" s="27" t="s">
        <v>28</v>
      </c>
      <c r="E13" s="19" t="s">
        <v>26</v>
      </c>
      <c r="F13" s="19"/>
      <c r="G13" s="15" t="str" cm="1">
        <f t="array" ref="G13">GetURL(C13)</f>
        <v>https://explore-education-statistics.service.gov.uk/find-statistics/apprenticeships-and-traineeships</v>
      </c>
    </row>
    <row r="14" spans="1:7" ht="46.5" x14ac:dyDescent="0.35">
      <c r="A14" s="19" t="s">
        <v>11</v>
      </c>
      <c r="B14" s="19" t="s">
        <v>2728</v>
      </c>
      <c r="C14" s="21" t="s">
        <v>29</v>
      </c>
      <c r="D14" s="27" t="s">
        <v>30</v>
      </c>
      <c r="E14" s="21" t="s">
        <v>31</v>
      </c>
      <c r="F14" s="19"/>
      <c r="G14" s="15" cm="1">
        <f t="array" ref="G14">GetURL(C14)</f>
        <v>0</v>
      </c>
    </row>
    <row r="15" spans="1:7" ht="46.5" x14ac:dyDescent="0.35">
      <c r="A15" s="19" t="s">
        <v>11</v>
      </c>
      <c r="B15" s="19" t="s">
        <v>859</v>
      </c>
      <c r="C15" s="25" t="s">
        <v>32</v>
      </c>
      <c r="D15" s="26" t="s">
        <v>33</v>
      </c>
      <c r="E15" s="19" t="s">
        <v>23</v>
      </c>
      <c r="F15" s="19"/>
      <c r="G15" s="15" t="str" cm="1">
        <f t="array" ref="G15">GetURL(C15)</f>
        <v>https://www.gov.uk/government/collections/statistics-destinations</v>
      </c>
    </row>
    <row r="16" spans="1:7" ht="139.5" x14ac:dyDescent="0.35">
      <c r="A16" s="19" t="s">
        <v>11</v>
      </c>
      <c r="B16" s="19" t="s">
        <v>859</v>
      </c>
      <c r="C16" s="21" t="s">
        <v>2235</v>
      </c>
      <c r="D16" s="19" t="s">
        <v>34</v>
      </c>
      <c r="E16" s="42" t="s">
        <v>31</v>
      </c>
      <c r="F16" s="19"/>
      <c r="G16" s="15" t="str" cm="1">
        <f t="array" ref="G16">GetURL(C16)</f>
        <v>https://explore-education-statistics.service.gov.uk/find-statistics/detailed-destinations-of-16-to-18-year-olds-in-further-education</v>
      </c>
    </row>
    <row r="17" spans="1:7" ht="77.5" x14ac:dyDescent="0.35">
      <c r="A17" s="19" t="s">
        <v>11</v>
      </c>
      <c r="B17" s="19" t="s">
        <v>2729</v>
      </c>
      <c r="C17" s="21" t="s">
        <v>35</v>
      </c>
      <c r="D17" s="19" t="s">
        <v>36</v>
      </c>
      <c r="E17" s="21" t="s">
        <v>37</v>
      </c>
      <c r="F17" s="19"/>
      <c r="G17" s="15" cm="1">
        <f t="array" ref="G17">GetURL(C17)</f>
        <v>0</v>
      </c>
    </row>
    <row r="18" spans="1:7" ht="62" x14ac:dyDescent="0.35">
      <c r="A18" s="19" t="s">
        <v>11</v>
      </c>
      <c r="B18" s="19" t="s">
        <v>2729</v>
      </c>
      <c r="C18" s="50" t="s">
        <v>38</v>
      </c>
      <c r="D18" s="19" t="s">
        <v>39</v>
      </c>
      <c r="E18" s="21" t="s">
        <v>40</v>
      </c>
      <c r="F18" s="19"/>
      <c r="G18" s="15" t="str" cm="1">
        <f t="array" ref="G18">GetURL(C18)</f>
        <v>https://explore-education-statistics.service.gov.uk/find-statistics/employer-skills-survey</v>
      </c>
    </row>
    <row r="19" spans="1:7" ht="46.5" x14ac:dyDescent="0.35">
      <c r="A19" s="19" t="s">
        <v>11</v>
      </c>
      <c r="B19" s="19" t="s">
        <v>2728</v>
      </c>
      <c r="C19" s="28" t="s">
        <v>41</v>
      </c>
      <c r="D19" s="29" t="s">
        <v>42</v>
      </c>
      <c r="E19" s="19" t="s">
        <v>26</v>
      </c>
      <c r="F19" s="19"/>
      <c r="G19" s="15" t="str" cm="1">
        <f t="array" ref="G19">GetURL(C19)</f>
        <v>https://www.gov.uk/government/collections/further-education-and-skills-statistical-first-release-sfr</v>
      </c>
    </row>
    <row r="20" spans="1:7" ht="108.5" x14ac:dyDescent="0.35">
      <c r="A20" s="19" t="s">
        <v>11</v>
      </c>
      <c r="B20" s="19" t="s">
        <v>2728</v>
      </c>
      <c r="C20" s="21" t="s">
        <v>43</v>
      </c>
      <c r="D20" s="19" t="s">
        <v>44</v>
      </c>
      <c r="E20" s="19" t="s">
        <v>26</v>
      </c>
      <c r="F20" s="19"/>
      <c r="G20" s="15" t="str" cm="1">
        <f t="array" ref="G20">GetURL(C20)</f>
        <v>https://explore-education-statistics.service.gov.uk/find-statistics/further-education-and-skills</v>
      </c>
    </row>
    <row r="21" spans="1:7" ht="124" x14ac:dyDescent="0.35">
      <c r="A21" s="19" t="s">
        <v>11</v>
      </c>
      <c r="B21" s="19" t="s">
        <v>2728</v>
      </c>
      <c r="C21" s="21" t="s">
        <v>45</v>
      </c>
      <c r="D21" s="19" t="s">
        <v>46</v>
      </c>
      <c r="E21" s="21" t="s">
        <v>47</v>
      </c>
      <c r="F21" s="19"/>
      <c r="G21" s="15" t="str" cm="1">
        <f t="array" ref="G21">GetURL(C21)</f>
        <v>https://explore-education-statistics.service.gov.uk/find-statistics/fe-learners-going-into-employment-and-learning-destinations-by-local-authority-district</v>
      </c>
    </row>
    <row r="22" spans="1:7" ht="108.5" x14ac:dyDescent="0.35">
      <c r="A22" s="19" t="s">
        <v>11</v>
      </c>
      <c r="B22" s="19" t="s">
        <v>2728</v>
      </c>
      <c r="C22" s="30" t="s">
        <v>48</v>
      </c>
      <c r="D22" s="31" t="s">
        <v>49</v>
      </c>
      <c r="E22" s="19" t="s">
        <v>50</v>
      </c>
      <c r="F22" s="19"/>
      <c r="G22" s="15" t="str" cm="1">
        <f t="array" ref="G22">GetURL(C22)</f>
        <v>https://explore-education-statistics.service.gov.uk/find-statistics/further-education-skills-index</v>
      </c>
    </row>
    <row r="23" spans="1:7" ht="108.5" x14ac:dyDescent="0.35">
      <c r="A23" s="19" t="s">
        <v>51</v>
      </c>
      <c r="B23" s="19" t="s">
        <v>2728</v>
      </c>
      <c r="C23" s="20" t="s">
        <v>52</v>
      </c>
      <c r="D23" s="19" t="s">
        <v>53</v>
      </c>
      <c r="E23" s="21" t="s">
        <v>31</v>
      </c>
      <c r="F23" s="19"/>
      <c r="G23" s="15" t="str" cm="1">
        <f t="array" ref="G23">GetURL(C23)</f>
        <v>https://explore-education-statistics.service.gov.uk/find-statistics/further-education-outcome-based-success-measures/data-guidance</v>
      </c>
    </row>
    <row r="24" spans="1:7" ht="186" x14ac:dyDescent="0.35">
      <c r="A24" s="19" t="s">
        <v>11</v>
      </c>
      <c r="B24" s="19" t="s">
        <v>2730</v>
      </c>
      <c r="C24" s="21" t="s">
        <v>54</v>
      </c>
      <c r="D24" s="19" t="s">
        <v>55</v>
      </c>
      <c r="E24" s="19" t="s">
        <v>56</v>
      </c>
      <c r="F24" s="19"/>
      <c r="G24" s="15" t="str" cm="1">
        <f t="array" ref="G24">GetURL(C24)</f>
        <v>https://explore-education-statistics.service.gov.uk/find-statistics/graduate-labour-markets</v>
      </c>
    </row>
    <row r="25" spans="1:7" ht="46.5" x14ac:dyDescent="0.35">
      <c r="A25" s="19" t="s">
        <v>11</v>
      </c>
      <c r="B25" s="19" t="s">
        <v>2730</v>
      </c>
      <c r="C25" s="25" t="s">
        <v>57</v>
      </c>
      <c r="D25" s="26" t="s">
        <v>58</v>
      </c>
      <c r="E25" s="19" t="s">
        <v>59</v>
      </c>
      <c r="F25" s="19"/>
      <c r="G25" s="15" t="str" cm="1">
        <f t="array" ref="G25">GetURL(C25)</f>
        <v>https://explore-education-statistics.service.gov.uk/find-statistics/graduate-outcomes-leo</v>
      </c>
    </row>
    <row r="26" spans="1:7" ht="77.5" x14ac:dyDescent="0.35">
      <c r="A26" s="19" t="s">
        <v>11</v>
      </c>
      <c r="B26" s="19" t="s">
        <v>2730</v>
      </c>
      <c r="C26" s="21" t="s">
        <v>60</v>
      </c>
      <c r="D26" s="19" t="s">
        <v>61</v>
      </c>
      <c r="E26" s="19" t="s">
        <v>62</v>
      </c>
      <c r="F26" s="19"/>
      <c r="G26" s="15" t="str" cm="1">
        <f t="array" ref="G26">GetURL(C26)</f>
        <v>https://explore-education-statistics.service.gov.uk/find-statistics/higher-level-learners-in-england</v>
      </c>
    </row>
    <row r="27" spans="1:7" ht="93" x14ac:dyDescent="0.35">
      <c r="A27" s="19" t="s">
        <v>11</v>
      </c>
      <c r="B27" s="19" t="s">
        <v>859</v>
      </c>
      <c r="C27" s="21" t="s">
        <v>63</v>
      </c>
      <c r="D27" s="19" t="s">
        <v>64</v>
      </c>
      <c r="E27" s="19" t="s">
        <v>23</v>
      </c>
      <c r="F27" s="19"/>
      <c r="G27" s="15" t="str" cm="1">
        <f t="array" ref="G27">GetURL(C27)</f>
        <v>https://explore-education-statistics.service.gov.uk/find-statistics/key-stage-4-destination-measures</v>
      </c>
    </row>
    <row r="28" spans="1:7" ht="77.5" x14ac:dyDescent="0.35">
      <c r="A28" s="19" t="s">
        <v>11</v>
      </c>
      <c r="B28" s="22" t="s">
        <v>2730</v>
      </c>
      <c r="C28" s="33" t="s">
        <v>65</v>
      </c>
      <c r="D28" s="19" t="s">
        <v>66</v>
      </c>
      <c r="E28" s="19" t="s">
        <v>67</v>
      </c>
      <c r="F28" s="19"/>
      <c r="G28" s="15" t="str" cm="1">
        <f t="array" ref="G28">GetURL(C28)</f>
        <v>https://explore-education-statistics.service.gov.uk/find-statistics/leo-graduate-and-postgraduate-outcomes/2019-20)</v>
      </c>
    </row>
    <row r="29" spans="1:7" ht="77.5" x14ac:dyDescent="0.35">
      <c r="A29" s="19" t="s">
        <v>11</v>
      </c>
      <c r="B29" s="19" t="s">
        <v>2730</v>
      </c>
      <c r="C29" s="21" t="s">
        <v>68</v>
      </c>
      <c r="D29" s="19" t="s">
        <v>69</v>
      </c>
      <c r="E29" s="19" t="s">
        <v>70</v>
      </c>
      <c r="F29" s="19"/>
      <c r="G29" s="15" t="str" cm="1">
        <f t="array" ref="G29">GetURL(C29)</f>
        <v>https://explore-education-statistics.service.gov.uk/find-statistics/graduate-outcomes-leo-provider-level-data/data-guidance</v>
      </c>
    </row>
    <row r="30" spans="1:7" ht="62" x14ac:dyDescent="0.35">
      <c r="A30" s="19" t="s">
        <v>11</v>
      </c>
      <c r="B30" s="19" t="s">
        <v>859</v>
      </c>
      <c r="C30" s="21" t="s">
        <v>71</v>
      </c>
      <c r="D30" s="19" t="s">
        <v>72</v>
      </c>
      <c r="E30" s="19" t="s">
        <v>23</v>
      </c>
      <c r="F30" s="19"/>
      <c r="G30" s="15" t="str" cm="1">
        <f t="array" ref="G30">GetURL(C30)</f>
        <v>https://explore-education-statistics.service.gov.uk/find-statistics/longer-term-destinations</v>
      </c>
    </row>
    <row r="31" spans="1:7" ht="46.5" x14ac:dyDescent="0.35">
      <c r="A31" s="19" t="s">
        <v>11</v>
      </c>
      <c r="B31" s="19" t="s">
        <v>2728</v>
      </c>
      <c r="C31" s="21" t="s">
        <v>73</v>
      </c>
      <c r="D31" s="19" t="s">
        <v>74</v>
      </c>
      <c r="E31" s="21" t="s">
        <v>75</v>
      </c>
      <c r="F31" s="19"/>
      <c r="G31" s="15" t="str" cm="1">
        <f t="array" ref="G31">GetURL(C31)</f>
        <v>https://www.gov.uk/government/collections/sfa-national-success-rates-tables</v>
      </c>
    </row>
    <row r="32" spans="1:7" ht="46.5" x14ac:dyDescent="0.35">
      <c r="A32" s="19" t="s">
        <v>11</v>
      </c>
      <c r="B32" s="19" t="s">
        <v>859</v>
      </c>
      <c r="C32" s="21" t="s">
        <v>76</v>
      </c>
      <c r="D32" s="19" t="s">
        <v>77</v>
      </c>
      <c r="E32" s="19" t="s">
        <v>78</v>
      </c>
      <c r="F32" s="19"/>
      <c r="G32" s="15" t="str" cm="1">
        <f t="array" ref="G32">GetURL(C32)</f>
        <v>https://explore-education-statistics.service.gov.uk/find-statistics/neet-statistics-annual-brief</v>
      </c>
    </row>
    <row r="33" spans="1:7" ht="108.5" x14ac:dyDescent="0.35">
      <c r="A33" s="19" t="s">
        <v>11</v>
      </c>
      <c r="B33" s="19" t="s">
        <v>859</v>
      </c>
      <c r="C33" s="25" t="s">
        <v>79</v>
      </c>
      <c r="D33" s="32" t="s">
        <v>80</v>
      </c>
      <c r="E33" s="19" t="s">
        <v>81</v>
      </c>
      <c r="F33" s="19"/>
      <c r="G33" s="15" t="str" cm="1">
        <f t="array" ref="G33">GetURL(C33)</f>
        <v>https://www.gov.uk/government/collections/statistics-neet</v>
      </c>
    </row>
    <row r="34" spans="1:7" ht="155" x14ac:dyDescent="0.35">
      <c r="A34" s="19" t="s">
        <v>11</v>
      </c>
      <c r="B34" s="19" t="s">
        <v>859</v>
      </c>
      <c r="C34" s="21" t="s">
        <v>82</v>
      </c>
      <c r="D34" s="19" t="s">
        <v>83</v>
      </c>
      <c r="E34" s="19" t="s">
        <v>81</v>
      </c>
      <c r="F34" s="19"/>
      <c r="G34" s="15" t="str" cm="1">
        <f t="array" ref="G34">GetURL(C34)</f>
        <v>https://explore-education-statistics.service.gov.uk/find-statistics/participation-in-education-and-training-and-employment</v>
      </c>
    </row>
    <row r="35" spans="1:7" ht="77.5" x14ac:dyDescent="0.35">
      <c r="A35" s="19" t="s">
        <v>11</v>
      </c>
      <c r="B35" s="19" t="s">
        <v>859</v>
      </c>
      <c r="C35" s="21" t="s">
        <v>84</v>
      </c>
      <c r="D35" s="19" t="s">
        <v>85</v>
      </c>
      <c r="E35" s="19" t="s">
        <v>86</v>
      </c>
      <c r="F35" s="19"/>
      <c r="G35" s="15" t="str" cm="1">
        <f t="array" ref="G35">GetURL(C35)</f>
        <v>https://explore-education-statistics.service.gov.uk/find-statistics/participation-in-education-training-and-neet-age-16-to-17-by-local-authority</v>
      </c>
    </row>
    <row r="36" spans="1:7" ht="108.5" x14ac:dyDescent="0.35">
      <c r="A36" s="19" t="s">
        <v>11</v>
      </c>
      <c r="B36" s="19" t="s">
        <v>2730</v>
      </c>
      <c r="C36" s="21" t="s">
        <v>87</v>
      </c>
      <c r="D36" s="19" t="s">
        <v>88</v>
      </c>
      <c r="E36" s="19" t="s">
        <v>62</v>
      </c>
      <c r="F36" s="19"/>
      <c r="G36" s="15" t="str" cm="1">
        <f t="array" ref="G36">GetURL(C36)</f>
        <v>https://explore-education-statistics.service.gov.uk/find-statistics/participation-measures-in-higher-education</v>
      </c>
    </row>
    <row r="37" spans="1:7" ht="124" x14ac:dyDescent="0.35">
      <c r="A37" s="19" t="s">
        <v>11</v>
      </c>
      <c r="B37" s="19" t="s">
        <v>2730</v>
      </c>
      <c r="C37" s="21" t="s">
        <v>89</v>
      </c>
      <c r="D37" s="19" t="s">
        <v>90</v>
      </c>
      <c r="E37" s="19" t="s">
        <v>91</v>
      </c>
      <c r="F37" s="19"/>
      <c r="G37" s="15" t="str" cm="1">
        <f t="array" ref="G37">GetURL(C37)</f>
        <v>https://explore-education-statistics.service.gov.uk/find-statistics/progression-to-higher-education-or-training</v>
      </c>
    </row>
    <row r="38" spans="1:7" ht="124" x14ac:dyDescent="0.35">
      <c r="A38" s="19" t="s">
        <v>11</v>
      </c>
      <c r="B38" s="19" t="s">
        <v>2730</v>
      </c>
      <c r="C38" s="21" t="s">
        <v>92</v>
      </c>
      <c r="D38" s="19" t="s">
        <v>90</v>
      </c>
      <c r="E38" s="19" t="s">
        <v>91</v>
      </c>
      <c r="F38" s="19"/>
      <c r="G38" s="15" t="str" cm="1">
        <f t="array" ref="G38">GetURL(C38)</f>
        <v>https://explore-education-statistics.service.gov.uk/find-statistics/progression-to-higher-education-or-training</v>
      </c>
    </row>
    <row r="39" spans="1:7" ht="77.5" x14ac:dyDescent="0.35">
      <c r="A39" s="19" t="s">
        <v>11</v>
      </c>
      <c r="B39" s="19" t="s">
        <v>2728</v>
      </c>
      <c r="C39" s="21" t="s">
        <v>93</v>
      </c>
      <c r="D39" s="19" t="s">
        <v>94</v>
      </c>
      <c r="E39" s="19" t="s">
        <v>95</v>
      </c>
      <c r="F39" s="19"/>
      <c r="G39" s="15" t="str" cm="1">
        <f t="array" ref="G39">GetURL(C39)</f>
        <v>https://explore-education-statistics.service.gov.uk/find-statistics/skills-bootcamps-outcomes</v>
      </c>
    </row>
    <row r="40" spans="1:7" ht="46.5" x14ac:dyDescent="0.35">
      <c r="A40" s="19" t="s">
        <v>11</v>
      </c>
      <c r="B40" s="19" t="s">
        <v>2728</v>
      </c>
      <c r="C40" s="21" t="s">
        <v>96</v>
      </c>
      <c r="D40" s="19" t="s">
        <v>97</v>
      </c>
      <c r="E40" s="21" t="s">
        <v>98</v>
      </c>
      <c r="F40" s="19"/>
      <c r="G40" s="15" t="str" cm="1">
        <f t="array" ref="G40">GetURL(C40)</f>
        <v>https://explore-education-statistics.service.gov.uk/find-statistics/skills-bootcamps-starts</v>
      </c>
    </row>
    <row r="41" spans="1:7" ht="93" x14ac:dyDescent="0.35">
      <c r="A41" s="19" t="s">
        <v>11</v>
      </c>
      <c r="B41" s="19" t="s">
        <v>2730</v>
      </c>
      <c r="C41" s="21" t="s">
        <v>99</v>
      </c>
      <c r="D41" s="19" t="s">
        <v>100</v>
      </c>
      <c r="E41" s="19" t="s">
        <v>101</v>
      </c>
      <c r="F41" s="19"/>
      <c r="G41" s="15" t="str" cm="1">
        <f t="array" ref="G41">GetURL(C41)</f>
        <v>https://explore-education-statistics.service.gov.uk/find-statistics/widening-participation-in-higher-education</v>
      </c>
    </row>
    <row r="42" spans="1:7" ht="93" x14ac:dyDescent="0.35">
      <c r="A42" s="19" t="s">
        <v>102</v>
      </c>
      <c r="B42" s="19" t="s">
        <v>2728</v>
      </c>
      <c r="C42" s="21" t="s">
        <v>103</v>
      </c>
      <c r="D42" s="19" t="s">
        <v>104</v>
      </c>
      <c r="E42" s="19" t="s">
        <v>105</v>
      </c>
      <c r="F42" s="19"/>
      <c r="G42" s="15" t="str" cm="1">
        <f t="array" ref="G42">GetURL(C42)</f>
        <v>https://assets.publishing.service.gov.uk/government/uploads/system/uploads/attachment_data/file/835749/Further_Education_for_Benefit_Claimants.pdf</v>
      </c>
    </row>
    <row r="43" spans="1:7" ht="31" x14ac:dyDescent="0.35">
      <c r="A43" s="19" t="s">
        <v>106</v>
      </c>
      <c r="B43" s="19" t="s">
        <v>2732</v>
      </c>
      <c r="C43" s="36" t="s">
        <v>2731</v>
      </c>
      <c r="D43" s="37" t="s">
        <v>107</v>
      </c>
      <c r="E43" s="19"/>
      <c r="F43" s="19"/>
      <c r="G43" s="15" t="str" cm="1">
        <f t="array" ref="G43">GetURL(C43)</f>
        <v>https://www.gov.uk/education/further-and-higher-education-skills-and-vocational-training</v>
      </c>
    </row>
    <row r="44" spans="1:7" ht="124" x14ac:dyDescent="0.35">
      <c r="A44" s="19" t="s">
        <v>108</v>
      </c>
      <c r="B44" s="19" t="s">
        <v>2730</v>
      </c>
      <c r="C44" s="36" t="s">
        <v>109</v>
      </c>
      <c r="D44" s="37" t="s">
        <v>110</v>
      </c>
      <c r="E44" s="19" t="s">
        <v>111</v>
      </c>
      <c r="F44" s="19"/>
      <c r="G44" s="15" t="str" cm="1">
        <f t="array" ref="G44">GetURL(C44)</f>
        <v>https://www.hesa.ac.uk/news/18-04-2023/ah2304-degree-attainment-socioeconomic-background</v>
      </c>
    </row>
    <row r="45" spans="1:7" ht="93" x14ac:dyDescent="0.35">
      <c r="A45" s="19" t="s">
        <v>108</v>
      </c>
      <c r="B45" s="19" t="s">
        <v>859</v>
      </c>
      <c r="C45" s="36" t="s">
        <v>112</v>
      </c>
      <c r="D45" s="19" t="s">
        <v>113</v>
      </c>
      <c r="E45" s="19" t="s">
        <v>114</v>
      </c>
      <c r="F45" s="19"/>
      <c r="G45" s="15" t="str" cm="1">
        <f t="array" ref="G45">GetURL(C45)</f>
        <v>https://www.hesa.ac.uk/news/16-06-2022/sb263-higher-education-graduate-outcomes-statistics</v>
      </c>
    </row>
    <row r="46" spans="1:7" ht="186" x14ac:dyDescent="0.35">
      <c r="A46" s="19" t="s">
        <v>108</v>
      </c>
      <c r="B46" s="19" t="s">
        <v>2730</v>
      </c>
      <c r="C46" s="38" t="s">
        <v>115</v>
      </c>
      <c r="D46" s="37" t="s">
        <v>116</v>
      </c>
      <c r="E46" s="19" t="s">
        <v>117</v>
      </c>
      <c r="F46" s="19"/>
      <c r="G46" s="15" t="str" cm="1">
        <f t="array" ref="G46">GetURL(C46)</f>
        <v>https://www.hesa.ac.uk/data-and-analysis/students</v>
      </c>
    </row>
    <row r="47" spans="1:7" ht="31" x14ac:dyDescent="0.35">
      <c r="A47" s="19" t="s">
        <v>118</v>
      </c>
      <c r="B47" s="19" t="s">
        <v>2733</v>
      </c>
      <c r="C47" s="36" t="s">
        <v>119</v>
      </c>
      <c r="D47" s="19" t="s">
        <v>120</v>
      </c>
      <c r="E47" s="19" t="s">
        <v>121</v>
      </c>
      <c r="F47" s="19"/>
      <c r="G47" s="15" t="str" cm="1">
        <f t="array" ref="G47">GetURL(C47)</f>
        <v>https://www.ons.gov.uk/businessindustryandtrade/business/activitysizeandlocation/bulletins/businessdemography/2021</v>
      </c>
    </row>
    <row r="48" spans="1:7" ht="77.5" x14ac:dyDescent="0.35">
      <c r="A48" s="19" t="s">
        <v>118</v>
      </c>
      <c r="B48" s="19" t="s">
        <v>2733</v>
      </c>
      <c r="C48" s="36" t="s">
        <v>122</v>
      </c>
      <c r="D48" s="19" t="s">
        <v>123</v>
      </c>
      <c r="E48" s="19" t="s">
        <v>124</v>
      </c>
      <c r="F48" s="19"/>
      <c r="G48" s="15" t="str" cm="1">
        <f t="array" ref="G48">GetURL(C48)</f>
        <v>https://www.ons.gov.uk/businessindustryandtrade/business/activitysizeandlocation/bulletins/businessdemographyquarterlyexperimentalstatisticsuk/previousReleases</v>
      </c>
    </row>
    <row r="49" spans="1:7" ht="62" x14ac:dyDescent="0.35">
      <c r="A49" s="19" t="s">
        <v>118</v>
      </c>
      <c r="B49" s="19" t="s">
        <v>2734</v>
      </c>
      <c r="C49" s="36" t="s">
        <v>125</v>
      </c>
      <c r="D49" s="19" t="s">
        <v>126</v>
      </c>
      <c r="E49" s="19" t="s">
        <v>127</v>
      </c>
      <c r="F49" s="19"/>
      <c r="G49" s="15" t="str" cm="1">
        <f t="array" ref="G49">GetURL(C49)</f>
        <v>https://www.ons.gov.uk/employmentandlabourmarket/peopleinwork/employmentandemployeetypes/bulletins/businessregisterandemploymentsurveybresprovisionalresults/previousReleases</v>
      </c>
    </row>
    <row r="50" spans="1:7" ht="46.5" x14ac:dyDescent="0.35">
      <c r="A50" s="19" t="s">
        <v>118</v>
      </c>
      <c r="B50" s="19" t="s">
        <v>2733</v>
      </c>
      <c r="C50" s="36" t="s">
        <v>128</v>
      </c>
      <c r="D50" s="19" t="s">
        <v>129</v>
      </c>
      <c r="E50" s="19" t="s">
        <v>130</v>
      </c>
      <c r="F50" s="19"/>
      <c r="G50" s="15" t="str" cm="1">
        <f t="array" ref="G50">GetURL(C50)</f>
        <v>https://www.ons.gov.uk/businessindustryandtrade/business/activitysizeandlocation/methodologies/multiplebusinessregistrationsatasinglepostcode2020</v>
      </c>
    </row>
    <row r="51" spans="1:7" ht="62" x14ac:dyDescent="0.35">
      <c r="A51" s="19" t="s">
        <v>118</v>
      </c>
      <c r="B51" s="19" t="s">
        <v>2735</v>
      </c>
      <c r="C51" s="39" t="s">
        <v>131</v>
      </c>
      <c r="D51" s="40" t="s">
        <v>132</v>
      </c>
      <c r="E51" s="19" t="s">
        <v>133</v>
      </c>
      <c r="F51" s="19"/>
      <c r="G51" s="15" t="str" cm="1">
        <f t="array" ref="G51">GetURL(C51)</f>
        <v>https://www.ons.gov.uk/releases/qualificationlevelsbycountryofbirth</v>
      </c>
    </row>
    <row r="52" spans="1:7" ht="46.5" x14ac:dyDescent="0.35">
      <c r="A52" s="19" t="s">
        <v>118</v>
      </c>
      <c r="B52" s="19" t="s">
        <v>2733</v>
      </c>
      <c r="C52" s="36" t="s">
        <v>134</v>
      </c>
      <c r="D52" s="19" t="s">
        <v>135</v>
      </c>
      <c r="E52" s="19" t="s">
        <v>121</v>
      </c>
      <c r="F52" s="19"/>
      <c r="G52" s="15" t="str" cm="1">
        <f t="array" ref="G52">GetURL(C52)</f>
        <v>https://www.ons.gov.uk/businessindustryandtrade/business/activitysizeandlocation/bulletins/ukbusinessactivitysizeandlocation/previousReleases</v>
      </c>
    </row>
    <row r="53" spans="1:7" x14ac:dyDescent="0.35">
      <c r="A53" s="22"/>
      <c r="B53" s="22"/>
      <c r="C53" s="22"/>
      <c r="D53" s="22"/>
      <c r="E53" s="22"/>
      <c r="F53" s="22"/>
    </row>
    <row r="54" spans="1:7" x14ac:dyDescent="0.35">
      <c r="A54" s="22"/>
      <c r="B54" s="22"/>
      <c r="C54" s="22"/>
      <c r="D54" s="22"/>
      <c r="E54" s="22"/>
      <c r="F54" s="22"/>
    </row>
    <row r="55" spans="1:7" x14ac:dyDescent="0.35">
      <c r="A55" s="22"/>
      <c r="B55" s="22"/>
      <c r="C55" s="22"/>
      <c r="D55" s="22"/>
      <c r="E55" s="22"/>
      <c r="F55" s="22"/>
    </row>
    <row r="56" spans="1:7" x14ac:dyDescent="0.35">
      <c r="A56" s="22"/>
      <c r="B56" s="22"/>
      <c r="C56" s="22"/>
      <c r="D56" s="22"/>
      <c r="E56" s="22"/>
      <c r="F56" s="22"/>
    </row>
    <row r="57" spans="1:7" x14ac:dyDescent="0.35">
      <c r="A57" s="22"/>
      <c r="B57" s="22"/>
      <c r="C57" s="22"/>
      <c r="D57" s="22"/>
      <c r="E57" s="22"/>
      <c r="F57" s="22"/>
    </row>
    <row r="58" spans="1:7" x14ac:dyDescent="0.35">
      <c r="A58" s="22"/>
      <c r="B58" s="22"/>
      <c r="C58" s="22"/>
      <c r="D58" s="22"/>
      <c r="E58" s="22"/>
      <c r="F58" s="22"/>
    </row>
    <row r="59" spans="1:7" x14ac:dyDescent="0.35">
      <c r="A59" s="22"/>
      <c r="B59" s="22"/>
      <c r="C59" s="22"/>
      <c r="D59" s="22"/>
      <c r="E59" s="22"/>
      <c r="F59" s="22"/>
    </row>
    <row r="60" spans="1:7" x14ac:dyDescent="0.35">
      <c r="A60" s="22"/>
      <c r="B60" s="22"/>
      <c r="C60" s="22"/>
      <c r="D60" s="22"/>
      <c r="E60" s="22"/>
      <c r="F60" s="22"/>
    </row>
    <row r="61" spans="1:7" x14ac:dyDescent="0.35">
      <c r="A61" s="22"/>
      <c r="B61" s="22"/>
      <c r="C61" s="22"/>
      <c r="D61" s="22"/>
      <c r="E61" s="22"/>
      <c r="F61" s="22"/>
    </row>
    <row r="62" spans="1:7" x14ac:dyDescent="0.35">
      <c r="A62" s="22"/>
      <c r="B62" s="22"/>
      <c r="C62" s="22"/>
      <c r="D62" s="22"/>
      <c r="E62" s="22"/>
      <c r="F62" s="22"/>
    </row>
    <row r="63" spans="1:7" x14ac:dyDescent="0.35">
      <c r="A63" s="22"/>
      <c r="B63" s="22"/>
      <c r="C63" s="22"/>
      <c r="D63" s="22"/>
      <c r="E63" s="22"/>
      <c r="F63" s="22"/>
    </row>
    <row r="64" spans="1:7" x14ac:dyDescent="0.35">
      <c r="A64" s="22"/>
      <c r="B64" s="22"/>
      <c r="C64" s="22"/>
      <c r="D64" s="22"/>
      <c r="E64" s="22"/>
      <c r="F64" s="22"/>
    </row>
    <row r="65" spans="1:6" x14ac:dyDescent="0.35">
      <c r="A65" s="22"/>
      <c r="B65" s="22"/>
      <c r="C65" s="22"/>
      <c r="D65" s="22"/>
      <c r="E65" s="22"/>
      <c r="F65" s="22"/>
    </row>
    <row r="66" spans="1:6" x14ac:dyDescent="0.35">
      <c r="A66" s="22"/>
      <c r="B66" s="22"/>
      <c r="C66" s="22"/>
      <c r="D66" s="22"/>
      <c r="E66" s="22"/>
      <c r="F66" s="22"/>
    </row>
    <row r="67" spans="1:6" x14ac:dyDescent="0.35">
      <c r="A67" s="22"/>
      <c r="B67" s="22"/>
      <c r="C67" s="22"/>
      <c r="D67" s="22"/>
      <c r="E67" s="22"/>
      <c r="F67" s="22"/>
    </row>
    <row r="68" spans="1:6" x14ac:dyDescent="0.35">
      <c r="A68" s="22"/>
      <c r="B68" s="22"/>
      <c r="C68" s="22"/>
      <c r="D68" s="22"/>
      <c r="E68" s="22"/>
      <c r="F68" s="22"/>
    </row>
    <row r="69" spans="1:6" x14ac:dyDescent="0.35">
      <c r="A69" s="22"/>
      <c r="B69" s="22"/>
      <c r="C69" s="22"/>
      <c r="D69" s="22"/>
      <c r="E69" s="22"/>
      <c r="F69" s="22"/>
    </row>
    <row r="70" spans="1:6" x14ac:dyDescent="0.35">
      <c r="A70" s="22"/>
      <c r="B70" s="22"/>
      <c r="C70" s="22"/>
      <c r="D70" s="22"/>
      <c r="E70" s="22"/>
      <c r="F70" s="22"/>
    </row>
    <row r="71" spans="1:6" x14ac:dyDescent="0.35">
      <c r="A71" s="22"/>
      <c r="B71" s="22"/>
      <c r="C71" s="22"/>
      <c r="D71" s="22"/>
      <c r="E71" s="22"/>
      <c r="F71" s="22"/>
    </row>
    <row r="72" spans="1:6" x14ac:dyDescent="0.35">
      <c r="A72" s="22"/>
      <c r="B72" s="22"/>
      <c r="C72" s="22"/>
      <c r="D72" s="22"/>
      <c r="E72" s="22"/>
      <c r="F72" s="22"/>
    </row>
    <row r="73" spans="1:6" x14ac:dyDescent="0.35">
      <c r="A73" s="22"/>
      <c r="B73" s="22"/>
      <c r="C73" s="22"/>
      <c r="D73" s="22"/>
      <c r="E73" s="22"/>
      <c r="F73" s="22"/>
    </row>
    <row r="74" spans="1:6" x14ac:dyDescent="0.35">
      <c r="A74" s="22"/>
      <c r="B74" s="22"/>
      <c r="C74" s="22"/>
      <c r="D74" s="22"/>
      <c r="E74" s="22"/>
      <c r="F74" s="22"/>
    </row>
    <row r="75" spans="1:6" x14ac:dyDescent="0.35">
      <c r="A75" s="22"/>
      <c r="B75" s="22"/>
      <c r="C75" s="22"/>
      <c r="D75" s="22"/>
      <c r="E75" s="22"/>
      <c r="F75" s="22"/>
    </row>
    <row r="76" spans="1:6" x14ac:dyDescent="0.35">
      <c r="A76" s="22"/>
      <c r="B76" s="22"/>
      <c r="C76" s="22"/>
      <c r="D76" s="22"/>
      <c r="E76" s="22"/>
      <c r="F76" s="22"/>
    </row>
    <row r="77" spans="1:6" x14ac:dyDescent="0.35">
      <c r="A77" s="22"/>
      <c r="B77" s="22"/>
      <c r="C77" s="22"/>
      <c r="D77" s="22"/>
      <c r="E77" s="22"/>
      <c r="F77" s="22"/>
    </row>
    <row r="78" spans="1:6" x14ac:dyDescent="0.35">
      <c r="A78" s="22"/>
      <c r="B78" s="22"/>
      <c r="C78" s="22"/>
      <c r="D78" s="22"/>
      <c r="E78" s="22"/>
      <c r="F78" s="22"/>
    </row>
    <row r="79" spans="1:6" x14ac:dyDescent="0.35">
      <c r="A79" s="22"/>
      <c r="B79" s="22"/>
      <c r="C79" s="22"/>
      <c r="D79" s="22"/>
      <c r="E79" s="22"/>
      <c r="F79" s="22"/>
    </row>
    <row r="80" spans="1:6" x14ac:dyDescent="0.35">
      <c r="A80" s="22"/>
      <c r="B80" s="22"/>
      <c r="C80" s="22"/>
      <c r="D80" s="22"/>
      <c r="E80" s="22"/>
      <c r="F80" s="22"/>
    </row>
    <row r="81" spans="1:6" x14ac:dyDescent="0.35">
      <c r="A81" s="22"/>
      <c r="B81" s="22"/>
      <c r="C81" s="22"/>
      <c r="D81" s="22"/>
      <c r="E81" s="22"/>
      <c r="F81" s="22"/>
    </row>
    <row r="82" spans="1:6" x14ac:dyDescent="0.35">
      <c r="A82" s="22"/>
      <c r="B82" s="22"/>
      <c r="C82" s="22"/>
      <c r="D82" s="22"/>
      <c r="E82" s="22"/>
      <c r="F82" s="22"/>
    </row>
    <row r="83" spans="1:6" x14ac:dyDescent="0.35">
      <c r="A83" s="22"/>
      <c r="B83" s="22"/>
      <c r="C83" s="22"/>
      <c r="D83" s="22"/>
      <c r="E83" s="22"/>
      <c r="F83" s="22"/>
    </row>
  </sheetData>
  <autoFilter ref="A6:K52" xr:uid="{7567677C-D2B7-43DB-A89C-21935B49E66E}"/>
  <mergeCells count="2">
    <mergeCell ref="A1:C1"/>
    <mergeCell ref="A2:C2"/>
  </mergeCells>
  <hyperlinks>
    <hyperlink ref="C19" r:id="rId1" display="https://www.gov.uk/government/collections/further-education-and-skills-statistical-first-release-sfr" xr:uid="{A87D638B-5FE2-4B5E-90E8-F90DF1F0C9DE}"/>
    <hyperlink ref="C8" r:id="rId2" display="https://www.gov.uk/government/statistics/apprenticeships-in-england-by-industry-characteristics" xr:uid="{2F7A783F-535C-4DCE-B8D6-67800A99B486}"/>
    <hyperlink ref="C33" r:id="rId3" display="https://www.gov.uk/government/collections/statistics-neet" xr:uid="{CD5064AF-939C-4B4B-B59F-2B7078BF2D97}"/>
    <hyperlink ref="C22" r:id="rId4" tooltip="https://explore-education-statistics.service.gov.uk/find-statistics/further-education-skills-index" display="https://explore-education-statistics.service.gov.uk/find-statistics/further-education-skills-index" xr:uid="{6B8B706F-5DED-4184-AB99-6800CACCA959}"/>
    <hyperlink ref="C9" r:id="rId5" display="https://www.gov.uk/government/collections/statistics-outcome-based-success-measures" xr:uid="{D4639769-F159-45F0-97B0-CBFE6E6BC52A}"/>
    <hyperlink ref="C25" r:id="rId6" tooltip="https://explore-education-statistics.service.gov.uk/find-statistics/graduate-outcomes-leo" display="https://explore-education-statistics.service.gov.uk/find-statistics/graduate-outcomes-leo" xr:uid="{A0653CFF-5B3C-401C-9C26-D4DDC465E56A}"/>
    <hyperlink ref="C15" r:id="rId7" tooltip="https://www.gov.uk/government/collections/statistics-destinations" display="https://www.gov.uk/government/collections/statistics-destinations" xr:uid="{FB9BB34A-CDA9-4ED9-9A4B-FCDA0C835D95}"/>
    <hyperlink ref="C10" r:id="rId8" display="https://www.gov.uk/government/collections/statistics-attainment-at-19-years" xr:uid="{A58C847D-B7DF-4A70-9596-10ABEF28D577}"/>
    <hyperlink ref="C13" r:id="rId9" display="Apprenticeships and traineeships" xr:uid="{256AF306-7406-4B3F-861A-401D148DF9A4}"/>
    <hyperlink ref="C26" r:id="rId10" xr:uid="{5969B157-8537-42BA-9221-E4F27488557C}"/>
    <hyperlink ref="C16" r:id="rId11" display="Deatailed destinations of 16 to 18 year olds in FE" xr:uid="{E193B429-1003-4AD6-A8EC-7CAD4FF4E83B}"/>
    <hyperlink ref="C31" r:id="rId12" location="full-publication-update-history" xr:uid="{226849C8-0B09-4BE2-97CD-022B507105EB}"/>
    <hyperlink ref="C38" r:id="rId13" display="https://explore-education-statistics.service.gov.uk/find-statistics/progression-to-higher-education-or-training" xr:uid="{E5C6FC45-0016-42A0-98BB-0EFFDFD0A805}"/>
    <hyperlink ref="C32" r:id="rId14" xr:uid="{D9FB4357-5A8A-4298-BEB5-24A03D30C97F}"/>
    <hyperlink ref="C35" r:id="rId15" xr:uid="{7160C659-735F-4135-AF31-FFDC343E2B0E}"/>
    <hyperlink ref="C37" r:id="rId16" xr:uid="{28171788-DA7F-4781-87F9-284691DDB1D0}"/>
    <hyperlink ref="C27" r:id="rId17" xr:uid="{B5B9BC61-D331-4EE8-9DA0-72550CE8797A}"/>
    <hyperlink ref="C30" r:id="rId18" xr:uid="{41E79EA5-4838-41F1-A5E1-583E8A64CAE3}"/>
    <hyperlink ref="C34" r:id="rId19" xr:uid="{9763409C-6A59-45DE-9E23-718E24DB3A3E}"/>
    <hyperlink ref="C20" r:id="rId20" display="Further education and skills" xr:uid="{56A1E562-91B3-4FDB-8D78-CE2F8E7A0440}"/>
    <hyperlink ref="C36" r:id="rId21" xr:uid="{80087533-C853-427B-830D-DEAF6E1D44E5}"/>
    <hyperlink ref="C29" r:id="rId22" xr:uid="{7600C959-8143-4A1D-A994-883C82E9BEFF}"/>
    <hyperlink ref="C24" r:id="rId23" location="contact-us" xr:uid="{EB07820C-E5A2-4EE4-8350-68D685F6F3BF}"/>
    <hyperlink ref="C12" r:id="rId24" location="contact-us" xr:uid="{F21300D0-7F08-475A-A621-F75CF8476824}"/>
    <hyperlink ref="C52" r:id="rId25" xr:uid="{5C4DE037-D452-47C7-BE6C-5700D6795C76}"/>
    <hyperlink ref="C7" r:id="rId26" xr:uid="{ED51507E-4A75-492F-BA2B-CB7666CA4304}"/>
    <hyperlink ref="C48" r:id="rId27" xr:uid="{95AA5078-8043-487C-B5D4-55DC3C42D4C4}"/>
    <hyperlink ref="C50" r:id="rId28" xr:uid="{5B92AFB7-3EE8-43C2-A4E6-36BA294F9B60}"/>
    <hyperlink ref="C49" r:id="rId29" xr:uid="{74C81B54-CA2C-4A46-8D74-0B8FC9A576A3}"/>
    <hyperlink ref="C47" r:id="rId30" xr:uid="{177E50DE-C988-4AF6-81A8-C7213CF83A92}"/>
    <hyperlink ref="C51" r:id="rId31" xr:uid="{20F5A550-09FA-4EA7-8518-7B939862E1B8}"/>
    <hyperlink ref="C43" r:id="rId32" display="https://www.gov.uk/education/further-and-higher-education-skills-and-vocational-training" xr:uid="{2058B6E8-888B-47BE-9853-1EAAC1E2CC7E}"/>
    <hyperlink ref="C11" r:id="rId33" xr:uid="{EFFD71A1-CBDB-4C8B-AC11-5BF2813602AA}"/>
    <hyperlink ref="C23" r:id="rId34" xr:uid="{5E8A21F3-D5F2-482F-BC43-B19BC98DC1E5}"/>
    <hyperlink ref="C44" r:id="rId35" location="intro" xr:uid="{2045FE45-32DD-45E5-8EE5-25A659371578}"/>
    <hyperlink ref="C46" r:id="rId36" xr:uid="{E3953D45-E165-4AD7-AA87-B755CB1B8C5D}"/>
    <hyperlink ref="C42" r:id="rId37" xr:uid="{CED9CAB7-06EE-413F-8A73-4C19A5788986}"/>
    <hyperlink ref="C45" r:id="rId38" xr:uid="{4820D305-54F3-425D-BC7E-28CCF2108C2B}"/>
    <hyperlink ref="E9" r:id="rId39" xr:uid="{BAEFDBF3-1362-43D8-A110-011099122A05}"/>
    <hyperlink ref="E8" r:id="rId40" xr:uid="{73C61E19-AB36-4F54-8D97-602EF3A1E122}"/>
    <hyperlink ref="E16" r:id="rId41" xr:uid="{A21DDA45-F4DC-4035-BD74-7C549B2D2121}"/>
    <hyperlink ref="E23" r:id="rId42" xr:uid="{06DB4697-4336-40D1-A3F5-B11A914179A7}"/>
    <hyperlink ref="E31" r:id="rId43" xr:uid="{FF09005F-3096-4F20-919C-B216A5D0F3DB}"/>
    <hyperlink ref="E14" r:id="rId44" xr:uid="{17698B0F-05CF-4435-9502-4F8E337CDD07}"/>
    <hyperlink ref="C18" r:id="rId45" xr:uid="{E8ED7F18-7AD0-426A-8B79-FCC616A00B9B}"/>
    <hyperlink ref="C21" r:id="rId46" xr:uid="{45DB7CF3-650F-4A90-8013-23072A703634}"/>
    <hyperlink ref="E21" r:id="rId47" display="FE.OUTCOMESDATA@education.gov.uk" xr:uid="{7D851D66-7BEB-4292-AAAE-AEE3BE4E5A2E}"/>
    <hyperlink ref="C28" r:id="rId48" xr:uid="{C9B17CD9-0B97-4762-9D85-565D11A82DEF}"/>
    <hyperlink ref="C39" r:id="rId49" xr:uid="{D49D8D6B-AB3A-4999-9DCD-9596BCFE8555}"/>
    <hyperlink ref="C40" r:id="rId50" xr:uid="{932288C4-9C24-4C6E-9451-E18B4E902D1E}"/>
    <hyperlink ref="E40" r:id="rId51" xr:uid="{BC0B3CA3-54C5-4D0A-B2BB-67B95D6AF35B}"/>
    <hyperlink ref="C41" r:id="rId52" xr:uid="{A634292F-9039-42F4-9F43-30780A894894}"/>
  </hyperlinks>
  <pageMargins left="0.7" right="0.7" top="0.75" bottom="0.75" header="0.3" footer="0.3"/>
  <pageSetup paperSize="9" orientation="portrait" r:id="rId5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99CB9-5D6F-4180-87CB-7CA58F958D98}">
  <sheetPr codeName="Sheet2"/>
  <dimension ref="A2:XR210"/>
  <sheetViews>
    <sheetView zoomScale="77" zoomScaleNormal="70" workbookViewId="0">
      <pane xSplit="3" ySplit="2" topLeftCell="D3" activePane="bottomRight" state="frozen"/>
      <selection pane="topRight" activeCell="D1" sqref="D1"/>
      <selection pane="bottomLeft" activeCell="A3" sqref="A3"/>
      <selection pane="bottomRight" activeCell="L4" sqref="L4"/>
    </sheetView>
  </sheetViews>
  <sheetFormatPr defaultColWidth="8.7265625" defaultRowHeight="14.5" x14ac:dyDescent="0.35"/>
  <cols>
    <col min="1" max="1" width="8.7265625" style="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0" width="8.7265625" style="1" customWidth="1"/>
    <col min="111" max="113" width="8.7265625" style="1"/>
    <col min="114" max="114" width="10.1796875" style="1" customWidth="1"/>
    <col min="115" max="120" width="9.1796875" style="1" customWidth="1"/>
    <col min="121" max="134" width="8.7265625" style="1"/>
    <col min="135" max="136" width="9.81640625" style="1" customWidth="1"/>
    <col min="137" max="137" width="8.7265625" style="1" customWidth="1"/>
    <col min="138" max="138" width="5.7265625" style="1" customWidth="1"/>
    <col min="139" max="139" width="8.7265625" style="1" customWidth="1"/>
    <col min="140" max="140" width="5.7265625" style="1" customWidth="1"/>
    <col min="141" max="143" width="8.7265625" style="1" customWidth="1"/>
    <col min="144" max="144" width="6.1796875" style="1" customWidth="1"/>
    <col min="145" max="145" width="8.7265625" style="1" customWidth="1"/>
    <col min="146" max="146" width="12.26953125" style="1" customWidth="1"/>
    <col min="147" max="167" width="8.7265625" style="1" customWidth="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ustomWidth="1"/>
    <col min="181" max="182" width="5.1796875" style="1" customWidth="1"/>
    <col min="183" max="183" width="8.26953125" style="1" customWidth="1"/>
    <col min="184" max="185" width="8.7265625" style="1" customWidth="1"/>
    <col min="186" max="186" width="9.81640625" style="1" customWidth="1"/>
    <col min="187" max="191" width="8.7265625" style="1" customWidth="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397" width="8.7265625" style="1"/>
    <col min="398" max="398" width="8.7265625" style="1" customWidth="1"/>
    <col min="399" max="522" width="8.7265625" style="1"/>
    <col min="523" max="532" width="8.7265625" style="1" customWidth="1"/>
    <col min="533" max="16384" width="8.7265625" style="1"/>
  </cols>
  <sheetData>
    <row r="2" spans="1:641" ht="112" customHeight="1" x14ac:dyDescent="0.35">
      <c r="B2" s="1" t="s">
        <v>136</v>
      </c>
      <c r="C2" s="1" t="s">
        <v>137</v>
      </c>
      <c r="D2" s="1" t="s">
        <v>138</v>
      </c>
      <c r="E2" s="1" t="s">
        <v>139</v>
      </c>
      <c r="F2" s="1" t="s">
        <v>140</v>
      </c>
      <c r="G2" s="1" t="s">
        <v>141</v>
      </c>
      <c r="H2" s="1" t="s">
        <v>142</v>
      </c>
      <c r="I2" s="1" t="s">
        <v>143</v>
      </c>
      <c r="J2" s="1" t="s">
        <v>144</v>
      </c>
      <c r="K2" s="1" t="s">
        <v>145</v>
      </c>
      <c r="L2" s="1" t="s">
        <v>146</v>
      </c>
      <c r="M2" s="1" t="s">
        <v>147</v>
      </c>
      <c r="N2" s="1" t="s">
        <v>148</v>
      </c>
      <c r="O2" s="1" t="s">
        <v>149</v>
      </c>
      <c r="P2" s="1" t="s">
        <v>150</v>
      </c>
      <c r="Q2" s="1" t="s">
        <v>151</v>
      </c>
      <c r="R2" s="1" t="s">
        <v>152</v>
      </c>
      <c r="S2" s="1" t="s">
        <v>153</v>
      </c>
      <c r="T2" s="1" t="s">
        <v>154</v>
      </c>
      <c r="U2" s="1" t="s">
        <v>155</v>
      </c>
      <c r="V2" s="1" t="s">
        <v>156</v>
      </c>
      <c r="W2" s="1" t="s">
        <v>157</v>
      </c>
      <c r="X2" s="1" t="s">
        <v>158</v>
      </c>
      <c r="Y2" s="1" t="s">
        <v>159</v>
      </c>
      <c r="Z2" s="1" t="s">
        <v>160</v>
      </c>
      <c r="AA2" s="1" t="s">
        <v>161</v>
      </c>
      <c r="AB2" s="1" t="s">
        <v>162</v>
      </c>
      <c r="AC2" s="1" t="s">
        <v>163</v>
      </c>
      <c r="AD2" s="1" t="s">
        <v>164</v>
      </c>
      <c r="AE2" s="1" t="s">
        <v>165</v>
      </c>
      <c r="AF2" s="1" t="s">
        <v>166</v>
      </c>
      <c r="AG2" s="1" t="s">
        <v>167</v>
      </c>
      <c r="AH2" s="1" t="s">
        <v>168</v>
      </c>
      <c r="AI2" s="1" t="s">
        <v>169</v>
      </c>
      <c r="AJ2" s="1" t="s">
        <v>170</v>
      </c>
      <c r="AK2" s="1" t="s">
        <v>171</v>
      </c>
      <c r="AL2" s="1" t="s">
        <v>172</v>
      </c>
      <c r="AM2" s="1" t="s">
        <v>173</v>
      </c>
      <c r="AN2" s="1" t="s">
        <v>174</v>
      </c>
      <c r="AO2" s="1" t="s">
        <v>175</v>
      </c>
      <c r="AP2" s="1" t="s">
        <v>176</v>
      </c>
      <c r="AQ2" s="1" t="s">
        <v>177</v>
      </c>
      <c r="AR2" s="1" t="s">
        <v>178</v>
      </c>
      <c r="AS2" s="1" t="s">
        <v>179</v>
      </c>
      <c r="AT2" s="1" t="s">
        <v>180</v>
      </c>
      <c r="AU2" s="1" t="s">
        <v>181</v>
      </c>
      <c r="AV2" s="1" t="s">
        <v>182</v>
      </c>
      <c r="AW2" s="1" t="s">
        <v>183</v>
      </c>
      <c r="AX2" s="1" t="s">
        <v>184</v>
      </c>
      <c r="AY2" s="1" t="s">
        <v>185</v>
      </c>
      <c r="AZ2" s="1" t="s">
        <v>186</v>
      </c>
      <c r="BA2" s="1" t="s">
        <v>187</v>
      </c>
      <c r="BB2" s="1" t="s">
        <v>188</v>
      </c>
      <c r="BC2" s="1" t="s">
        <v>189</v>
      </c>
      <c r="BD2" s="1" t="s">
        <v>190</v>
      </c>
      <c r="BE2" s="1" t="s">
        <v>191</v>
      </c>
      <c r="BF2" s="1" t="s">
        <v>192</v>
      </c>
      <c r="BG2" s="1" t="s">
        <v>193</v>
      </c>
      <c r="BH2" s="1" t="s">
        <v>194</v>
      </c>
      <c r="BI2" s="1" t="s">
        <v>195</v>
      </c>
      <c r="BJ2" s="1" t="s">
        <v>196</v>
      </c>
      <c r="BK2" s="1" t="s">
        <v>197</v>
      </c>
      <c r="BL2" s="1" t="s">
        <v>198</v>
      </c>
      <c r="BM2" s="1" t="s">
        <v>199</v>
      </c>
      <c r="BN2" s="1" t="s">
        <v>200</v>
      </c>
      <c r="BO2" s="1" t="s">
        <v>201</v>
      </c>
      <c r="BP2" s="1" t="s">
        <v>202</v>
      </c>
      <c r="BQ2" s="1" t="s">
        <v>203</v>
      </c>
      <c r="BR2" s="1" t="s">
        <v>204</v>
      </c>
      <c r="BS2" s="1" t="s">
        <v>205</v>
      </c>
      <c r="BT2" s="1" t="s">
        <v>206</v>
      </c>
      <c r="BU2" s="1" t="s">
        <v>207</v>
      </c>
      <c r="BV2" s="1" t="s">
        <v>208</v>
      </c>
      <c r="BW2" s="1" t="s">
        <v>209</v>
      </c>
      <c r="BX2" s="1" t="s">
        <v>210</v>
      </c>
      <c r="BY2" s="1" t="s">
        <v>211</v>
      </c>
      <c r="BZ2" s="1" t="s">
        <v>212</v>
      </c>
      <c r="CA2" s="1" t="s">
        <v>213</v>
      </c>
      <c r="CB2" s="1" t="s">
        <v>214</v>
      </c>
      <c r="CC2" s="1" t="s">
        <v>215</v>
      </c>
      <c r="CD2" s="1" t="s">
        <v>216</v>
      </c>
      <c r="CE2" s="1" t="s">
        <v>217</v>
      </c>
      <c r="CF2" s="1" t="s">
        <v>218</v>
      </c>
      <c r="CG2" s="1" t="s">
        <v>219</v>
      </c>
      <c r="CH2" s="1" t="s">
        <v>220</v>
      </c>
      <c r="CI2" s="1" t="s">
        <v>221</v>
      </c>
      <c r="CJ2" s="1" t="s">
        <v>222</v>
      </c>
      <c r="CK2" s="1" t="s">
        <v>223</v>
      </c>
      <c r="CL2" s="1" t="s">
        <v>224</v>
      </c>
      <c r="CM2" s="1" t="s">
        <v>225</v>
      </c>
      <c r="CN2" s="1" t="s">
        <v>226</v>
      </c>
      <c r="CO2" s="1" t="s">
        <v>227</v>
      </c>
      <c r="CP2" s="1" t="s">
        <v>228</v>
      </c>
      <c r="CQ2" s="1" t="s">
        <v>229</v>
      </c>
      <c r="CR2" s="1" t="s">
        <v>230</v>
      </c>
      <c r="CS2" s="1" t="s">
        <v>231</v>
      </c>
      <c r="CT2" s="1" t="s">
        <v>232</v>
      </c>
      <c r="CU2" s="1" t="s">
        <v>233</v>
      </c>
      <c r="CV2" s="1" t="s">
        <v>234</v>
      </c>
      <c r="CW2" s="1" t="s">
        <v>235</v>
      </c>
      <c r="CX2" s="1" t="s">
        <v>236</v>
      </c>
      <c r="CY2" s="1" t="s">
        <v>237</v>
      </c>
      <c r="CZ2" s="1" t="s">
        <v>238</v>
      </c>
      <c r="DA2" s="1" t="s">
        <v>239</v>
      </c>
      <c r="DB2" s="1" t="s">
        <v>240</v>
      </c>
      <c r="DC2" s="1" t="s">
        <v>241</v>
      </c>
      <c r="DD2" s="1" t="s">
        <v>242</v>
      </c>
      <c r="DE2" s="1" t="s">
        <v>243</v>
      </c>
      <c r="DF2" s="1" t="s">
        <v>244</v>
      </c>
      <c r="DG2" s="1" t="s">
        <v>245</v>
      </c>
      <c r="DH2" s="1" t="s">
        <v>246</v>
      </c>
      <c r="DI2" s="1" t="s">
        <v>247</v>
      </c>
      <c r="DJ2" s="1" t="s">
        <v>248</v>
      </c>
      <c r="DK2" s="1" t="s">
        <v>249</v>
      </c>
      <c r="DL2" s="1" t="s">
        <v>250</v>
      </c>
      <c r="DM2" s="1" t="s">
        <v>251</v>
      </c>
      <c r="DN2" s="1" t="s">
        <v>252</v>
      </c>
      <c r="DO2" s="1" t="s">
        <v>253</v>
      </c>
      <c r="DP2" s="1" t="s">
        <v>254</v>
      </c>
      <c r="DQ2" s="1" t="s">
        <v>255</v>
      </c>
      <c r="DR2" s="1" t="s">
        <v>256</v>
      </c>
      <c r="DS2" s="1" t="s">
        <v>257</v>
      </c>
      <c r="DT2" s="1" t="s">
        <v>258</v>
      </c>
      <c r="DU2" s="1" t="s">
        <v>259</v>
      </c>
      <c r="DV2" s="1" t="s">
        <v>260</v>
      </c>
      <c r="DW2" s="1" t="s">
        <v>261</v>
      </c>
      <c r="DX2" s="1" t="s">
        <v>262</v>
      </c>
      <c r="DY2" s="1" t="s">
        <v>263</v>
      </c>
      <c r="DZ2" s="1" t="s">
        <v>264</v>
      </c>
      <c r="EA2" s="1" t="s">
        <v>265</v>
      </c>
      <c r="EB2" s="1" t="s">
        <v>266</v>
      </c>
      <c r="EC2" s="1" t="s">
        <v>267</v>
      </c>
      <c r="ED2" s="1" t="s">
        <v>268</v>
      </c>
      <c r="EE2" s="1" t="s">
        <v>269</v>
      </c>
      <c r="EF2" s="1" t="s">
        <v>270</v>
      </c>
      <c r="EG2" s="1" t="s">
        <v>271</v>
      </c>
      <c r="EH2" s="1" t="s">
        <v>272</v>
      </c>
      <c r="EI2" s="1" t="s">
        <v>273</v>
      </c>
      <c r="EJ2" s="1" t="s">
        <v>274</v>
      </c>
      <c r="EK2" s="1" t="s">
        <v>275</v>
      </c>
      <c r="EL2" s="1" t="s">
        <v>276</v>
      </c>
      <c r="EM2" s="1" t="s">
        <v>277</v>
      </c>
      <c r="EN2" s="1" t="s">
        <v>278</v>
      </c>
      <c r="EO2" s="1" t="s">
        <v>279</v>
      </c>
      <c r="EP2" s="1" t="s">
        <v>280</v>
      </c>
      <c r="EQ2" s="1" t="s">
        <v>281</v>
      </c>
      <c r="ER2" s="1" t="s">
        <v>282</v>
      </c>
      <c r="ES2" s="1" t="s">
        <v>283</v>
      </c>
      <c r="ET2" s="1" t="s">
        <v>284</v>
      </c>
      <c r="EU2" s="1" t="s">
        <v>285</v>
      </c>
      <c r="EV2" s="1" t="s">
        <v>286</v>
      </c>
      <c r="EW2" s="1" t="s">
        <v>287</v>
      </c>
      <c r="EX2" s="1" t="s">
        <v>288</v>
      </c>
      <c r="EY2" s="1" t="s">
        <v>289</v>
      </c>
      <c r="EZ2" s="1" t="s">
        <v>290</v>
      </c>
      <c r="FA2" s="1" t="s">
        <v>291</v>
      </c>
      <c r="FB2" s="1" t="s">
        <v>292</v>
      </c>
      <c r="FC2" s="1" t="s">
        <v>293</v>
      </c>
      <c r="FD2" s="1" t="s">
        <v>294</v>
      </c>
      <c r="FE2" s="1" t="s">
        <v>295</v>
      </c>
      <c r="FF2" s="1" t="s">
        <v>296</v>
      </c>
      <c r="FG2" s="1" t="s">
        <v>297</v>
      </c>
      <c r="FH2" s="1" t="s">
        <v>298</v>
      </c>
      <c r="FI2" s="1" t="s">
        <v>299</v>
      </c>
      <c r="FJ2" s="1" t="s">
        <v>300</v>
      </c>
      <c r="FK2" s="1" t="s">
        <v>301</v>
      </c>
      <c r="FL2" s="1" t="s">
        <v>302</v>
      </c>
      <c r="FM2" s="1" t="s">
        <v>303</v>
      </c>
      <c r="FN2" s="1" t="s">
        <v>304</v>
      </c>
      <c r="FO2" s="1" t="s">
        <v>305</v>
      </c>
      <c r="FP2" s="1" t="s">
        <v>306</v>
      </c>
      <c r="FQ2" s="1" t="s">
        <v>307</v>
      </c>
      <c r="FR2" s="1" t="s">
        <v>308</v>
      </c>
      <c r="FS2" s="1" t="s">
        <v>309</v>
      </c>
      <c r="FT2" s="1" t="s">
        <v>310</v>
      </c>
      <c r="FU2" s="1" t="s">
        <v>311</v>
      </c>
      <c r="FV2" s="1" t="s">
        <v>312</v>
      </c>
      <c r="FW2" s="1" t="s">
        <v>313</v>
      </c>
      <c r="FX2" s="1" t="s">
        <v>314</v>
      </c>
      <c r="FY2" s="1" t="s">
        <v>315</v>
      </c>
      <c r="FZ2" s="1" t="s">
        <v>316</v>
      </c>
      <c r="GA2" s="1" t="s">
        <v>317</v>
      </c>
      <c r="GB2" s="1" t="s">
        <v>318</v>
      </c>
      <c r="GC2" s="1" t="s">
        <v>319</v>
      </c>
      <c r="GD2" s="1" t="s">
        <v>320</v>
      </c>
      <c r="GE2" s="1" t="s">
        <v>321</v>
      </c>
      <c r="GF2" s="1" t="s">
        <v>322</v>
      </c>
      <c r="GG2" s="1" t="s">
        <v>323</v>
      </c>
      <c r="GH2" s="1" t="s">
        <v>324</v>
      </c>
      <c r="GI2" s="1" t="s">
        <v>325</v>
      </c>
      <c r="GJ2" s="1" t="s">
        <v>326</v>
      </c>
      <c r="GK2" s="1" t="s">
        <v>327</v>
      </c>
      <c r="GL2" s="1" t="s">
        <v>328</v>
      </c>
      <c r="GM2" s="1" t="s">
        <v>329</v>
      </c>
      <c r="GN2" s="1" t="s">
        <v>330</v>
      </c>
      <c r="GO2" s="1" t="s">
        <v>331</v>
      </c>
      <c r="GP2" s="1" t="s">
        <v>332</v>
      </c>
      <c r="GQ2" s="1" t="s">
        <v>333</v>
      </c>
      <c r="GR2" s="1" t="s">
        <v>334</v>
      </c>
      <c r="GS2" s="1" t="s">
        <v>335</v>
      </c>
      <c r="GT2" s="1" t="s">
        <v>336</v>
      </c>
      <c r="GU2" s="1" t="s">
        <v>337</v>
      </c>
      <c r="GV2" s="1" t="s">
        <v>338</v>
      </c>
      <c r="GW2" s="1" t="s">
        <v>339</v>
      </c>
      <c r="GX2" s="1" t="s">
        <v>340</v>
      </c>
      <c r="GY2" s="1" t="s">
        <v>341</v>
      </c>
      <c r="GZ2" s="1" t="s">
        <v>342</v>
      </c>
      <c r="HA2" s="1" t="s">
        <v>343</v>
      </c>
      <c r="HB2" s="1" t="s">
        <v>344</v>
      </c>
      <c r="HC2" s="1" t="s">
        <v>345</v>
      </c>
      <c r="HD2" s="1" t="s">
        <v>346</v>
      </c>
      <c r="HE2" s="1" t="s">
        <v>347</v>
      </c>
      <c r="HF2" s="1" t="s">
        <v>348</v>
      </c>
      <c r="HG2" s="1" t="s">
        <v>349</v>
      </c>
      <c r="HH2" s="1" t="s">
        <v>350</v>
      </c>
      <c r="HI2" s="1" t="s">
        <v>351</v>
      </c>
      <c r="HJ2" s="1" t="s">
        <v>352</v>
      </c>
      <c r="HK2" s="1" t="s">
        <v>353</v>
      </c>
      <c r="HL2" s="1" t="s">
        <v>354</v>
      </c>
      <c r="HM2" s="1" t="s">
        <v>355</v>
      </c>
      <c r="HN2" s="1" t="s">
        <v>356</v>
      </c>
      <c r="HO2" s="1" t="s">
        <v>357</v>
      </c>
      <c r="HP2" s="1" t="s">
        <v>358</v>
      </c>
      <c r="HQ2" s="1" t="s">
        <v>359</v>
      </c>
      <c r="HR2" s="1" t="s">
        <v>360</v>
      </c>
      <c r="HS2" s="1" t="s">
        <v>361</v>
      </c>
      <c r="HT2" s="1" t="s">
        <v>362</v>
      </c>
      <c r="HU2" s="1" t="s">
        <v>363</v>
      </c>
      <c r="HV2" s="1" t="s">
        <v>364</v>
      </c>
      <c r="HW2" s="1" t="s">
        <v>365</v>
      </c>
      <c r="HX2" s="1" t="s">
        <v>366</v>
      </c>
      <c r="HY2" s="1" t="s">
        <v>367</v>
      </c>
      <c r="HZ2" s="1" t="s">
        <v>368</v>
      </c>
      <c r="IA2" s="1" t="s">
        <v>369</v>
      </c>
      <c r="IB2" s="1" t="s">
        <v>370</v>
      </c>
      <c r="IC2" s="1" t="s">
        <v>371</v>
      </c>
      <c r="ID2" s="1" t="s">
        <v>372</v>
      </c>
      <c r="IE2" s="1" t="s">
        <v>373</v>
      </c>
      <c r="IF2" s="1" t="s">
        <v>374</v>
      </c>
      <c r="IG2" s="1" t="s">
        <v>375</v>
      </c>
      <c r="IH2" s="1" t="s">
        <v>376</v>
      </c>
      <c r="II2" s="1" t="s">
        <v>377</v>
      </c>
      <c r="IJ2" s="1" t="s">
        <v>378</v>
      </c>
      <c r="IK2" s="1" t="s">
        <v>379</v>
      </c>
      <c r="IL2" s="1" t="s">
        <v>380</v>
      </c>
      <c r="IM2" s="1" t="s">
        <v>381</v>
      </c>
      <c r="IN2" s="1" t="s">
        <v>382</v>
      </c>
      <c r="IO2" s="1" t="s">
        <v>383</v>
      </c>
      <c r="IP2" s="1" t="s">
        <v>384</v>
      </c>
      <c r="IQ2" s="1" t="s">
        <v>385</v>
      </c>
      <c r="IR2" s="1" t="s">
        <v>386</v>
      </c>
      <c r="IS2" s="1" t="s">
        <v>387</v>
      </c>
      <c r="IT2" s="1" t="s">
        <v>388</v>
      </c>
      <c r="IU2" s="1" t="s">
        <v>389</v>
      </c>
      <c r="IV2" s="1" t="s">
        <v>390</v>
      </c>
      <c r="IW2" s="1" t="s">
        <v>391</v>
      </c>
      <c r="IX2" s="1" t="s">
        <v>392</v>
      </c>
      <c r="IY2" s="1" t="s">
        <v>393</v>
      </c>
      <c r="IZ2" s="1" t="s">
        <v>394</v>
      </c>
      <c r="JA2" s="1" t="s">
        <v>395</v>
      </c>
      <c r="JB2" s="1" t="s">
        <v>396</v>
      </c>
      <c r="JC2" s="1" t="s">
        <v>397</v>
      </c>
      <c r="JD2" s="1" t="s">
        <v>398</v>
      </c>
      <c r="JE2" s="1" t="s">
        <v>399</v>
      </c>
      <c r="JF2" s="1" t="s">
        <v>400</v>
      </c>
      <c r="JG2" s="1" t="s">
        <v>401</v>
      </c>
      <c r="JH2" s="1" t="s">
        <v>402</v>
      </c>
      <c r="JI2" s="1" t="s">
        <v>403</v>
      </c>
      <c r="JJ2" s="1" t="s">
        <v>404</v>
      </c>
      <c r="JK2" s="1" t="s">
        <v>405</v>
      </c>
      <c r="JL2" s="1" t="s">
        <v>406</v>
      </c>
      <c r="JM2" s="1" t="s">
        <v>407</v>
      </c>
      <c r="JN2" s="1" t="s">
        <v>408</v>
      </c>
      <c r="JO2" s="1" t="s">
        <v>409</v>
      </c>
      <c r="JP2" s="1" t="s">
        <v>410</v>
      </c>
      <c r="JQ2" s="1" t="s">
        <v>411</v>
      </c>
      <c r="JR2" s="1" t="s">
        <v>412</v>
      </c>
      <c r="JS2" s="1" t="s">
        <v>413</v>
      </c>
      <c r="JT2" s="1" t="s">
        <v>414</v>
      </c>
      <c r="JU2" s="1" t="s">
        <v>415</v>
      </c>
      <c r="JV2" s="1" t="s">
        <v>416</v>
      </c>
      <c r="JW2" s="1" t="s">
        <v>417</v>
      </c>
      <c r="JX2" s="1" t="s">
        <v>418</v>
      </c>
      <c r="JY2" s="1" t="s">
        <v>419</v>
      </c>
      <c r="JZ2" s="1" t="s">
        <v>420</v>
      </c>
      <c r="KA2" s="1" t="s">
        <v>421</v>
      </c>
      <c r="KB2" s="1" t="s">
        <v>422</v>
      </c>
      <c r="KC2" s="1" t="s">
        <v>423</v>
      </c>
      <c r="KD2" s="1" t="s">
        <v>424</v>
      </c>
      <c r="KE2" s="1" t="s">
        <v>425</v>
      </c>
      <c r="KF2" s="1" t="s">
        <v>426</v>
      </c>
      <c r="KG2" s="1" t="s">
        <v>427</v>
      </c>
      <c r="KH2" s="1" t="s">
        <v>428</v>
      </c>
      <c r="KI2" s="1" t="s">
        <v>429</v>
      </c>
      <c r="KJ2" s="1" t="s">
        <v>430</v>
      </c>
      <c r="KK2" s="1" t="s">
        <v>431</v>
      </c>
      <c r="KL2" s="1" t="s">
        <v>432</v>
      </c>
      <c r="KM2" s="1" t="s">
        <v>433</v>
      </c>
      <c r="KN2" s="1" t="s">
        <v>434</v>
      </c>
      <c r="KO2" s="1" t="s">
        <v>435</v>
      </c>
      <c r="KP2" s="1" t="s">
        <v>436</v>
      </c>
      <c r="KQ2" s="1" t="s">
        <v>437</v>
      </c>
      <c r="KR2" s="1" t="s">
        <v>438</v>
      </c>
      <c r="KS2" s="1" t="s">
        <v>439</v>
      </c>
      <c r="KT2" s="1" t="s">
        <v>440</v>
      </c>
      <c r="KU2" s="1" t="s">
        <v>441</v>
      </c>
      <c r="KV2" s="1" t="s">
        <v>442</v>
      </c>
      <c r="KW2" s="1" t="s">
        <v>443</v>
      </c>
      <c r="KX2" s="1" t="s">
        <v>444</v>
      </c>
      <c r="KY2" s="1" t="s">
        <v>445</v>
      </c>
      <c r="KZ2" s="1" t="s">
        <v>446</v>
      </c>
      <c r="LA2" s="1" t="s">
        <v>447</v>
      </c>
      <c r="LB2" s="1" t="s">
        <v>448</v>
      </c>
      <c r="LC2" s="1" t="s">
        <v>449</v>
      </c>
      <c r="LD2" s="1" t="s">
        <v>450</v>
      </c>
      <c r="LE2" s="1" t="s">
        <v>451</v>
      </c>
      <c r="LF2" s="1" t="s">
        <v>452</v>
      </c>
      <c r="LG2" s="1" t="s">
        <v>453</v>
      </c>
      <c r="LH2" s="1" t="s">
        <v>454</v>
      </c>
      <c r="LI2" s="1" t="s">
        <v>455</v>
      </c>
      <c r="LJ2" s="1" t="s">
        <v>456</v>
      </c>
      <c r="LK2" s="1" t="s">
        <v>457</v>
      </c>
      <c r="LL2" s="1" t="s">
        <v>458</v>
      </c>
      <c r="LM2" s="1" t="s">
        <v>459</v>
      </c>
      <c r="LN2" s="1" t="s">
        <v>460</v>
      </c>
      <c r="LO2" s="1" t="s">
        <v>461</v>
      </c>
      <c r="LP2" s="1" t="s">
        <v>462</v>
      </c>
      <c r="LQ2" s="1" t="s">
        <v>463</v>
      </c>
      <c r="LR2" s="1" t="s">
        <v>464</v>
      </c>
      <c r="LS2" s="1" t="s">
        <v>465</v>
      </c>
      <c r="LT2" s="1" t="s">
        <v>466</v>
      </c>
      <c r="LU2" s="1" t="s">
        <v>467</v>
      </c>
      <c r="LV2" s="1" t="s">
        <v>468</v>
      </c>
      <c r="LW2" s="1" t="s">
        <v>469</v>
      </c>
      <c r="LX2" s="1" t="s">
        <v>470</v>
      </c>
      <c r="LY2" s="1" t="s">
        <v>471</v>
      </c>
      <c r="LZ2" s="1" t="s">
        <v>472</v>
      </c>
      <c r="MA2" s="1" t="s">
        <v>473</v>
      </c>
      <c r="MB2" s="1" t="s">
        <v>474</v>
      </c>
      <c r="MC2" s="1" t="s">
        <v>475</v>
      </c>
      <c r="MD2" s="1" t="s">
        <v>476</v>
      </c>
      <c r="ME2" s="1" t="s">
        <v>477</v>
      </c>
      <c r="MF2" s="1" t="s">
        <v>478</v>
      </c>
      <c r="MG2" s="1" t="s">
        <v>479</v>
      </c>
      <c r="MH2" s="1" t="s">
        <v>480</v>
      </c>
      <c r="MI2" s="1" t="s">
        <v>481</v>
      </c>
      <c r="MJ2" s="1" t="s">
        <v>482</v>
      </c>
      <c r="MK2" s="1" t="s">
        <v>483</v>
      </c>
      <c r="ML2" s="1" t="s">
        <v>484</v>
      </c>
      <c r="MM2" s="1" t="s">
        <v>485</v>
      </c>
      <c r="MN2" s="1" t="s">
        <v>486</v>
      </c>
      <c r="MO2" s="1" t="s">
        <v>487</v>
      </c>
      <c r="MP2" s="1" t="s">
        <v>488</v>
      </c>
      <c r="MQ2" s="1" t="s">
        <v>489</v>
      </c>
      <c r="MR2" s="1" t="s">
        <v>490</v>
      </c>
      <c r="MS2" s="1" t="s">
        <v>491</v>
      </c>
      <c r="MT2" s="1" t="s">
        <v>492</v>
      </c>
      <c r="MU2" s="1" t="s">
        <v>493</v>
      </c>
      <c r="MV2" s="1" t="s">
        <v>494</v>
      </c>
      <c r="MW2" s="1" t="s">
        <v>495</v>
      </c>
      <c r="MX2" s="1" t="s">
        <v>496</v>
      </c>
      <c r="MY2" s="1" t="s">
        <v>497</v>
      </c>
      <c r="MZ2" s="1" t="s">
        <v>498</v>
      </c>
      <c r="NA2" s="1" t="s">
        <v>499</v>
      </c>
      <c r="NB2" s="1" t="s">
        <v>500</v>
      </c>
      <c r="NC2" s="1" t="s">
        <v>501</v>
      </c>
      <c r="ND2" s="1" t="s">
        <v>502</v>
      </c>
      <c r="NE2" s="1" t="s">
        <v>503</v>
      </c>
      <c r="NF2" s="1" t="s">
        <v>504</v>
      </c>
      <c r="NG2" s="1" t="s">
        <v>505</v>
      </c>
      <c r="NH2" s="1" t="s">
        <v>506</v>
      </c>
      <c r="NI2" s="1" t="s">
        <v>507</v>
      </c>
      <c r="NJ2" s="1" t="s">
        <v>508</v>
      </c>
      <c r="NK2" s="1" t="s">
        <v>509</v>
      </c>
      <c r="NL2" s="1" t="s">
        <v>510</v>
      </c>
      <c r="NM2" s="1" t="s">
        <v>511</v>
      </c>
      <c r="NN2" s="1" t="s">
        <v>512</v>
      </c>
      <c r="NO2" s="1" t="s">
        <v>513</v>
      </c>
      <c r="NP2" s="1" t="s">
        <v>514</v>
      </c>
      <c r="NQ2" s="1" t="s">
        <v>515</v>
      </c>
      <c r="NR2" s="1" t="s">
        <v>516</v>
      </c>
      <c r="NS2" s="1" t="s">
        <v>517</v>
      </c>
      <c r="NT2" s="1" t="s">
        <v>518</v>
      </c>
      <c r="NU2" s="1" t="s">
        <v>519</v>
      </c>
      <c r="NV2" s="1" t="s">
        <v>520</v>
      </c>
      <c r="NW2" s="1" t="s">
        <v>521</v>
      </c>
      <c r="NX2" s="1" t="s">
        <v>522</v>
      </c>
      <c r="NY2" s="1" t="s">
        <v>523</v>
      </c>
      <c r="NZ2" s="1" t="s">
        <v>524</v>
      </c>
      <c r="OA2" s="1" t="s">
        <v>525</v>
      </c>
      <c r="OB2" s="1" t="s">
        <v>526</v>
      </c>
      <c r="OC2" s="1" t="s">
        <v>527</v>
      </c>
      <c r="OD2" s="1" t="s">
        <v>528</v>
      </c>
      <c r="OE2" s="1" t="s">
        <v>529</v>
      </c>
      <c r="OF2" s="1" t="s">
        <v>530</v>
      </c>
      <c r="OG2" s="1" t="s">
        <v>531</v>
      </c>
      <c r="OH2" s="1" t="s">
        <v>532</v>
      </c>
      <c r="OI2" s="1" t="s">
        <v>533</v>
      </c>
      <c r="OJ2" s="1" t="s">
        <v>534</v>
      </c>
      <c r="OK2" s="1" t="s">
        <v>535</v>
      </c>
      <c r="OL2" s="1" t="s">
        <v>536</v>
      </c>
      <c r="OM2" s="1" t="s">
        <v>537</v>
      </c>
      <c r="ON2" s="1" t="s">
        <v>538</v>
      </c>
      <c r="OO2" s="1" t="s">
        <v>539</v>
      </c>
      <c r="OP2" s="1" t="s">
        <v>540</v>
      </c>
      <c r="OQ2" s="1" t="s">
        <v>541</v>
      </c>
      <c r="OR2" s="1" t="s">
        <v>542</v>
      </c>
      <c r="OS2" s="1" t="s">
        <v>543</v>
      </c>
      <c r="OT2" s="1" t="s">
        <v>544</v>
      </c>
      <c r="OU2" s="1" t="s">
        <v>545</v>
      </c>
      <c r="OV2" s="1" t="s">
        <v>546</v>
      </c>
      <c r="OW2" s="1" t="s">
        <v>547</v>
      </c>
      <c r="OX2" s="1" t="s">
        <v>548</v>
      </c>
      <c r="OY2" s="1" t="s">
        <v>549</v>
      </c>
      <c r="OZ2" s="1" t="s">
        <v>550</v>
      </c>
      <c r="PA2" s="1" t="s">
        <v>551</v>
      </c>
      <c r="PB2" s="1" t="s">
        <v>552</v>
      </c>
      <c r="PC2" s="1" t="s">
        <v>553</v>
      </c>
      <c r="PD2" s="1" t="s">
        <v>554</v>
      </c>
      <c r="PE2" s="1" t="s">
        <v>555</v>
      </c>
      <c r="PF2" s="1" t="s">
        <v>556</v>
      </c>
      <c r="PG2" s="1" t="s">
        <v>557</v>
      </c>
      <c r="PH2" s="1" t="s">
        <v>558</v>
      </c>
      <c r="PI2" s="1" t="s">
        <v>559</v>
      </c>
      <c r="PJ2" s="1" t="s">
        <v>560</v>
      </c>
      <c r="PK2" s="1" t="s">
        <v>561</v>
      </c>
      <c r="PL2" s="1" t="s">
        <v>562</v>
      </c>
      <c r="PM2" s="1" t="s">
        <v>563</v>
      </c>
      <c r="PN2" s="1" t="s">
        <v>564</v>
      </c>
      <c r="PO2" s="1" t="s">
        <v>565</v>
      </c>
      <c r="PP2" s="1" t="s">
        <v>566</v>
      </c>
      <c r="PQ2" s="1" t="s">
        <v>567</v>
      </c>
      <c r="PR2" s="1" t="s">
        <v>568</v>
      </c>
      <c r="PS2" s="1" t="s">
        <v>569</v>
      </c>
      <c r="PT2" s="1" t="s">
        <v>570</v>
      </c>
      <c r="PU2" s="1" t="s">
        <v>571</v>
      </c>
      <c r="PV2" s="1" t="s">
        <v>572</v>
      </c>
      <c r="PW2" s="1" t="s">
        <v>573</v>
      </c>
      <c r="PX2" s="1" t="s">
        <v>574</v>
      </c>
      <c r="PY2" s="1" t="s">
        <v>575</v>
      </c>
      <c r="PZ2" s="1" t="s">
        <v>576</v>
      </c>
      <c r="QA2" s="1" t="s">
        <v>577</v>
      </c>
      <c r="QB2" s="1" t="s">
        <v>578</v>
      </c>
      <c r="QC2" s="1" t="s">
        <v>579</v>
      </c>
      <c r="QD2" s="1" t="s">
        <v>580</v>
      </c>
      <c r="QE2" s="1" t="s">
        <v>581</v>
      </c>
      <c r="QF2" s="1" t="s">
        <v>582</v>
      </c>
      <c r="QG2" s="1" t="s">
        <v>583</v>
      </c>
      <c r="QH2" s="1" t="s">
        <v>584</v>
      </c>
      <c r="QI2" s="1" t="s">
        <v>585</v>
      </c>
      <c r="QJ2" s="1" t="s">
        <v>586</v>
      </c>
      <c r="QK2" s="1" t="s">
        <v>587</v>
      </c>
      <c r="QL2" s="1" t="s">
        <v>588</v>
      </c>
      <c r="QM2" s="1" t="s">
        <v>589</v>
      </c>
      <c r="QN2" s="1" t="s">
        <v>590</v>
      </c>
      <c r="QO2" s="1" t="s">
        <v>591</v>
      </c>
      <c r="QP2" s="1" t="s">
        <v>592</v>
      </c>
      <c r="QQ2" s="1" t="s">
        <v>593</v>
      </c>
      <c r="QR2" s="1" t="s">
        <v>594</v>
      </c>
      <c r="QS2" s="1" t="s">
        <v>595</v>
      </c>
      <c r="QT2" s="1" t="s">
        <v>596</v>
      </c>
      <c r="QU2" s="1" t="s">
        <v>597</v>
      </c>
      <c r="QV2" s="1" t="s">
        <v>598</v>
      </c>
      <c r="QW2" s="1" t="s">
        <v>599</v>
      </c>
      <c r="QX2" s="1" t="s">
        <v>600</v>
      </c>
      <c r="QY2" s="1" t="s">
        <v>601</v>
      </c>
      <c r="QZ2" s="1" t="s">
        <v>602</v>
      </c>
      <c r="RA2" s="1" t="s">
        <v>603</v>
      </c>
      <c r="RB2" s="1" t="s">
        <v>604</v>
      </c>
      <c r="RC2" s="1" t="s">
        <v>605</v>
      </c>
      <c r="RD2" s="1" t="s">
        <v>606</v>
      </c>
      <c r="RE2" s="1" t="s">
        <v>607</v>
      </c>
      <c r="RF2" s="1" t="s">
        <v>608</v>
      </c>
      <c r="RG2" s="1" t="s">
        <v>609</v>
      </c>
      <c r="RH2" s="1" t="s">
        <v>610</v>
      </c>
      <c r="RI2" s="1" t="s">
        <v>611</v>
      </c>
      <c r="RJ2" s="1" t="s">
        <v>612</v>
      </c>
      <c r="RK2" s="1" t="s">
        <v>613</v>
      </c>
      <c r="RL2" s="1" t="s">
        <v>614</v>
      </c>
      <c r="RM2" s="1" t="s">
        <v>615</v>
      </c>
      <c r="RN2" s="1" t="s">
        <v>616</v>
      </c>
      <c r="RO2" s="1" t="s">
        <v>617</v>
      </c>
      <c r="RP2" s="1" t="s">
        <v>618</v>
      </c>
      <c r="RQ2" s="1" t="s">
        <v>619</v>
      </c>
      <c r="RR2" s="1" t="s">
        <v>620</v>
      </c>
      <c r="RS2" s="1" t="s">
        <v>621</v>
      </c>
      <c r="RT2" s="1" t="s">
        <v>622</v>
      </c>
      <c r="RU2" s="1" t="s">
        <v>623</v>
      </c>
      <c r="RV2" s="1" t="s">
        <v>624</v>
      </c>
      <c r="RW2" s="1" t="s">
        <v>625</v>
      </c>
      <c r="RX2" s="1" t="s">
        <v>626</v>
      </c>
      <c r="RY2" s="1" t="s">
        <v>627</v>
      </c>
      <c r="RZ2" s="1" t="s">
        <v>628</v>
      </c>
      <c r="SA2" s="1" t="s">
        <v>629</v>
      </c>
      <c r="SB2" s="1" t="s">
        <v>630</v>
      </c>
      <c r="SC2" s="1" t="s">
        <v>631</v>
      </c>
      <c r="SD2" s="1" t="s">
        <v>632</v>
      </c>
      <c r="SE2" s="1" t="s">
        <v>633</v>
      </c>
      <c r="SF2" s="1" t="s">
        <v>634</v>
      </c>
      <c r="SG2" s="1" t="s">
        <v>635</v>
      </c>
      <c r="SH2" s="1" t="s">
        <v>636</v>
      </c>
      <c r="SI2" s="1" t="s">
        <v>637</v>
      </c>
      <c r="SJ2" s="1" t="s">
        <v>638</v>
      </c>
      <c r="SK2" s="1" t="s">
        <v>639</v>
      </c>
      <c r="SL2" s="1" t="s">
        <v>640</v>
      </c>
      <c r="SM2" s="1" t="s">
        <v>641</v>
      </c>
      <c r="SN2" s="1" t="s">
        <v>642</v>
      </c>
      <c r="SO2" s="1" t="s">
        <v>643</v>
      </c>
      <c r="SP2" s="1" t="s">
        <v>644</v>
      </c>
      <c r="SQ2" s="1" t="s">
        <v>645</v>
      </c>
      <c r="SR2" s="1" t="s">
        <v>646</v>
      </c>
      <c r="SS2" s="1" t="s">
        <v>647</v>
      </c>
      <c r="ST2" s="1" t="s">
        <v>648</v>
      </c>
      <c r="SU2" s="1" t="s">
        <v>649</v>
      </c>
      <c r="SV2" s="1" t="s">
        <v>650</v>
      </c>
      <c r="SW2" s="1" t="s">
        <v>651</v>
      </c>
      <c r="SX2" s="1" t="s">
        <v>652</v>
      </c>
      <c r="SY2" s="1" t="s">
        <v>653</v>
      </c>
      <c r="SZ2" s="1" t="s">
        <v>654</v>
      </c>
      <c r="TA2" s="1" t="s">
        <v>655</v>
      </c>
      <c r="TB2" s="1" t="s">
        <v>656</v>
      </c>
      <c r="TC2" s="1" t="s">
        <v>657</v>
      </c>
      <c r="TD2" s="1" t="s">
        <v>658</v>
      </c>
      <c r="TE2" s="1" t="s">
        <v>659</v>
      </c>
      <c r="TF2" s="1" t="s">
        <v>660</v>
      </c>
      <c r="TG2" s="1" t="s">
        <v>661</v>
      </c>
      <c r="TH2" s="1" t="s">
        <v>662</v>
      </c>
      <c r="TI2" s="1" t="s">
        <v>663</v>
      </c>
      <c r="TJ2" s="1" t="s">
        <v>664</v>
      </c>
      <c r="TK2" s="1" t="s">
        <v>665</v>
      </c>
      <c r="TL2" s="1" t="s">
        <v>666</v>
      </c>
      <c r="TM2" s="1" t="s">
        <v>667</v>
      </c>
      <c r="TN2" s="1" t="s">
        <v>668</v>
      </c>
      <c r="TO2" s="1" t="s">
        <v>669</v>
      </c>
      <c r="TP2" s="1" t="s">
        <v>670</v>
      </c>
      <c r="TQ2" s="1" t="s">
        <v>671</v>
      </c>
      <c r="TR2" s="1" t="s">
        <v>672</v>
      </c>
      <c r="TS2" s="1" t="s">
        <v>673</v>
      </c>
      <c r="TT2" s="1" t="s">
        <v>674</v>
      </c>
      <c r="TU2" s="1" t="s">
        <v>675</v>
      </c>
      <c r="TV2" s="1" t="s">
        <v>676</v>
      </c>
      <c r="TW2" s="1" t="s">
        <v>677</v>
      </c>
      <c r="TX2" s="1" t="s">
        <v>678</v>
      </c>
      <c r="TY2" s="1" t="s">
        <v>679</v>
      </c>
      <c r="TZ2" s="1" t="s">
        <v>680</v>
      </c>
      <c r="UA2" s="1" t="s">
        <v>681</v>
      </c>
      <c r="UB2" s="1" t="s">
        <v>682</v>
      </c>
      <c r="UC2" s="1" t="s">
        <v>683</v>
      </c>
      <c r="UD2" s="1" t="s">
        <v>684</v>
      </c>
      <c r="UE2" s="1" t="s">
        <v>685</v>
      </c>
      <c r="UF2" s="1" t="s">
        <v>686</v>
      </c>
      <c r="UG2" s="1" t="s">
        <v>687</v>
      </c>
      <c r="UH2" s="1" t="s">
        <v>688</v>
      </c>
      <c r="UI2" s="1" t="s">
        <v>689</v>
      </c>
      <c r="UJ2" s="1" t="s">
        <v>690</v>
      </c>
      <c r="UK2" s="1" t="s">
        <v>691</v>
      </c>
      <c r="UL2" s="1" t="s">
        <v>692</v>
      </c>
      <c r="UM2" s="1" t="s">
        <v>693</v>
      </c>
      <c r="UN2" s="1" t="s">
        <v>694</v>
      </c>
      <c r="UO2" s="1" t="s">
        <v>695</v>
      </c>
      <c r="UP2" s="1" t="s">
        <v>696</v>
      </c>
      <c r="UQ2" s="1" t="s">
        <v>697</v>
      </c>
      <c r="UR2" s="1" t="s">
        <v>698</v>
      </c>
      <c r="US2" s="1" t="s">
        <v>699</v>
      </c>
      <c r="UT2" s="1" t="s">
        <v>700</v>
      </c>
      <c r="UU2" s="1" t="s">
        <v>701</v>
      </c>
      <c r="UV2" s="1" t="s">
        <v>702</v>
      </c>
      <c r="UW2" s="1" t="s">
        <v>703</v>
      </c>
      <c r="UX2" s="1" t="s">
        <v>704</v>
      </c>
      <c r="UY2" s="1" t="s">
        <v>705</v>
      </c>
      <c r="UZ2" s="1" t="s">
        <v>706</v>
      </c>
      <c r="VA2" s="1" t="s">
        <v>707</v>
      </c>
      <c r="VB2" s="1" t="s">
        <v>708</v>
      </c>
      <c r="VC2" s="1" t="s">
        <v>709</v>
      </c>
      <c r="VD2" s="1" t="s">
        <v>710</v>
      </c>
      <c r="VE2" s="1" t="s">
        <v>711</v>
      </c>
      <c r="VF2" s="1" t="s">
        <v>712</v>
      </c>
      <c r="VG2" s="1" t="s">
        <v>713</v>
      </c>
      <c r="VH2" s="1" t="s">
        <v>714</v>
      </c>
      <c r="VI2" s="1" t="s">
        <v>715</v>
      </c>
      <c r="VJ2" s="1" t="s">
        <v>716</v>
      </c>
      <c r="VK2" s="1" t="s">
        <v>717</v>
      </c>
      <c r="VL2" s="1" t="s">
        <v>718</v>
      </c>
      <c r="VM2" s="1" t="s">
        <v>719</v>
      </c>
      <c r="VN2" s="1" t="s">
        <v>720</v>
      </c>
      <c r="VO2" s="1" t="s">
        <v>721</v>
      </c>
      <c r="VP2" s="1" t="s">
        <v>722</v>
      </c>
      <c r="VQ2" s="1" t="s">
        <v>723</v>
      </c>
      <c r="VR2" s="1" t="s">
        <v>724</v>
      </c>
      <c r="VS2" s="1" t="s">
        <v>725</v>
      </c>
      <c r="VT2" s="1" t="s">
        <v>726</v>
      </c>
      <c r="VU2" s="1" t="s">
        <v>727</v>
      </c>
      <c r="VV2" s="1" t="s">
        <v>728</v>
      </c>
      <c r="VW2" s="1" t="s">
        <v>729</v>
      </c>
      <c r="VX2" s="1" t="s">
        <v>730</v>
      </c>
      <c r="VY2" s="1" t="s">
        <v>731</v>
      </c>
      <c r="VZ2" s="1" t="s">
        <v>732</v>
      </c>
      <c r="WA2" s="1" t="s">
        <v>733</v>
      </c>
      <c r="WB2" s="1" t="s">
        <v>734</v>
      </c>
      <c r="WC2" s="1" t="s">
        <v>735</v>
      </c>
      <c r="WD2" s="1" t="s">
        <v>736</v>
      </c>
      <c r="WE2" s="1" t="s">
        <v>737</v>
      </c>
      <c r="WF2" s="1" t="s">
        <v>738</v>
      </c>
      <c r="WG2" s="1" t="s">
        <v>739</v>
      </c>
      <c r="WH2" s="1" t="s">
        <v>740</v>
      </c>
      <c r="WI2" s="1" t="s">
        <v>741</v>
      </c>
      <c r="WJ2" s="1" t="s">
        <v>742</v>
      </c>
      <c r="WK2" s="1" t="s">
        <v>743</v>
      </c>
      <c r="WL2" s="1" t="s">
        <v>744</v>
      </c>
      <c r="WM2" s="1" t="s">
        <v>745</v>
      </c>
      <c r="WN2" s="1" t="s">
        <v>746</v>
      </c>
      <c r="WO2" s="1" t="s">
        <v>747</v>
      </c>
      <c r="WP2" s="1" t="s">
        <v>748</v>
      </c>
      <c r="WQ2" s="1" t="s">
        <v>749</v>
      </c>
      <c r="WR2" s="1" t="s">
        <v>750</v>
      </c>
      <c r="WS2" s="1" t="s">
        <v>751</v>
      </c>
      <c r="WT2" s="1" t="s">
        <v>752</v>
      </c>
      <c r="WU2" s="1" t="s">
        <v>753</v>
      </c>
      <c r="WV2" s="1" t="s">
        <v>754</v>
      </c>
      <c r="WW2" s="1" t="s">
        <v>755</v>
      </c>
      <c r="WX2" s="1" t="s">
        <v>756</v>
      </c>
      <c r="WY2" s="1" t="s">
        <v>757</v>
      </c>
      <c r="WZ2" s="1" t="s">
        <v>758</v>
      </c>
      <c r="XA2" s="1" t="s">
        <v>759</v>
      </c>
      <c r="XB2" s="1" t="s">
        <v>760</v>
      </c>
      <c r="XC2" s="1" t="s">
        <v>761</v>
      </c>
      <c r="XD2" s="1" t="s">
        <v>762</v>
      </c>
      <c r="XE2" s="1" t="s">
        <v>763</v>
      </c>
      <c r="XF2" s="1" t="s">
        <v>764</v>
      </c>
      <c r="XG2" s="1" t="s">
        <v>765</v>
      </c>
      <c r="XH2" s="1" t="s">
        <v>766</v>
      </c>
      <c r="XI2" s="1" t="s">
        <v>767</v>
      </c>
      <c r="XJ2" s="1" t="s">
        <v>768</v>
      </c>
      <c r="XK2" s="1" t="s">
        <v>769</v>
      </c>
      <c r="XL2" s="1" t="s">
        <v>770</v>
      </c>
      <c r="XM2" s="1" t="s">
        <v>771</v>
      </c>
      <c r="XN2" s="1" t="s">
        <v>772</v>
      </c>
      <c r="XO2" s="1" t="s">
        <v>773</v>
      </c>
      <c r="XP2" s="1" t="s">
        <v>774</v>
      </c>
      <c r="XQ2" s="1" t="s">
        <v>775</v>
      </c>
    </row>
    <row r="3" spans="1:641" ht="43.5" x14ac:dyDescent="0.35">
      <c r="A3" s="1" t="s">
        <v>776</v>
      </c>
      <c r="B3" s="1" t="s">
        <v>24</v>
      </c>
      <c r="C3" s="1" t="s">
        <v>777</v>
      </c>
      <c r="D3" s="1" t="s">
        <v>778</v>
      </c>
      <c r="E3" s="1" t="s">
        <v>778</v>
      </c>
      <c r="F3" s="1" t="s">
        <v>778</v>
      </c>
      <c r="G3" s="1" t="s">
        <v>778</v>
      </c>
      <c r="H3" s="1" t="s">
        <v>778</v>
      </c>
      <c r="AJ3" s="1" t="s">
        <v>778</v>
      </c>
      <c r="AQ3" s="1" t="s">
        <v>778</v>
      </c>
      <c r="AS3" s="1" t="s">
        <v>778</v>
      </c>
      <c r="AX3" s="1" t="s">
        <v>778</v>
      </c>
      <c r="AY3"/>
      <c r="AZ3"/>
      <c r="BA3"/>
      <c r="BB3"/>
      <c r="BC3"/>
      <c r="BJ3" s="1" t="s">
        <v>778</v>
      </c>
      <c r="BR3" s="1" t="s">
        <v>778</v>
      </c>
      <c r="BS3" s="1" t="s">
        <v>778</v>
      </c>
      <c r="BZ3" s="1" t="s">
        <v>778</v>
      </c>
      <c r="CA3" s="1" t="s">
        <v>778</v>
      </c>
      <c r="CB3" s="1" t="s">
        <v>778</v>
      </c>
      <c r="CC3" s="1" t="s">
        <v>778</v>
      </c>
      <c r="CD3" s="1" t="s">
        <v>778</v>
      </c>
      <c r="CE3" s="1" t="s">
        <v>778</v>
      </c>
      <c r="FG3"/>
      <c r="FL3"/>
    </row>
    <row r="4" spans="1:641" ht="72.5" x14ac:dyDescent="0.35">
      <c r="A4" s="1" t="s">
        <v>776</v>
      </c>
      <c r="B4" s="1" t="s">
        <v>24</v>
      </c>
      <c r="C4" s="1" t="s">
        <v>779</v>
      </c>
      <c r="D4" s="1" t="s">
        <v>778</v>
      </c>
      <c r="E4" s="1" t="s">
        <v>778</v>
      </c>
      <c r="F4" s="1" t="s">
        <v>778</v>
      </c>
      <c r="G4" s="1" t="s">
        <v>778</v>
      </c>
      <c r="H4" s="1" t="s">
        <v>778</v>
      </c>
      <c r="AB4" s="1" t="s">
        <v>778</v>
      </c>
      <c r="AJ4" s="1" t="s">
        <v>778</v>
      </c>
      <c r="AO4" s="1" t="s">
        <v>778</v>
      </c>
      <c r="AQ4" s="1" t="s">
        <v>778</v>
      </c>
      <c r="AS4" s="1" t="s">
        <v>778</v>
      </c>
      <c r="AY4" t="s">
        <v>778</v>
      </c>
      <c r="AZ4"/>
      <c r="BA4"/>
      <c r="BB4"/>
      <c r="BC4" t="s">
        <v>778</v>
      </c>
      <c r="BN4" s="1" t="s">
        <v>778</v>
      </c>
      <c r="BZ4" s="1" t="s">
        <v>778</v>
      </c>
      <c r="CA4" s="1" t="s">
        <v>778</v>
      </c>
      <c r="CB4" s="1" t="s">
        <v>778</v>
      </c>
      <c r="CC4" s="1" t="s">
        <v>778</v>
      </c>
      <c r="CD4" s="1" t="s">
        <v>778</v>
      </c>
      <c r="CE4" s="1" t="s">
        <v>778</v>
      </c>
      <c r="FG4"/>
      <c r="FL4"/>
    </row>
    <row r="5" spans="1:641" ht="58" x14ac:dyDescent="0.35">
      <c r="A5" s="1" t="s">
        <v>776</v>
      </c>
      <c r="B5" s="1" t="s">
        <v>24</v>
      </c>
      <c r="C5" s="1" t="s">
        <v>780</v>
      </c>
      <c r="D5" s="1" t="s">
        <v>778</v>
      </c>
      <c r="E5" s="1" t="s">
        <v>778</v>
      </c>
      <c r="F5" s="1" t="s">
        <v>778</v>
      </c>
      <c r="G5" s="1" t="s">
        <v>778</v>
      </c>
      <c r="H5" s="1" t="s">
        <v>778</v>
      </c>
      <c r="AJ5" s="1" t="s">
        <v>778</v>
      </c>
      <c r="AQ5" s="1" t="s">
        <v>778</v>
      </c>
      <c r="AS5" s="1" t="s">
        <v>778</v>
      </c>
      <c r="AY5"/>
      <c r="AZ5"/>
      <c r="BA5"/>
      <c r="BB5"/>
      <c r="BC5" t="s">
        <v>778</v>
      </c>
      <c r="BZ5" s="1" t="s">
        <v>778</v>
      </c>
      <c r="CA5" s="1" t="s">
        <v>778</v>
      </c>
      <c r="CB5" s="1" t="s">
        <v>778</v>
      </c>
      <c r="CC5" s="1" t="s">
        <v>778</v>
      </c>
      <c r="CD5" s="1" t="s">
        <v>778</v>
      </c>
      <c r="CE5" s="1" t="s">
        <v>778</v>
      </c>
      <c r="FG5" t="s">
        <v>778</v>
      </c>
      <c r="FL5"/>
    </row>
    <row r="6" spans="1:641" ht="43.5" x14ac:dyDescent="0.35">
      <c r="A6" s="1" t="s">
        <v>776</v>
      </c>
      <c r="B6" s="1" t="s">
        <v>24</v>
      </c>
      <c r="C6" s="1" t="s">
        <v>781</v>
      </c>
      <c r="D6" s="1" t="s">
        <v>778</v>
      </c>
      <c r="E6" s="1" t="s">
        <v>778</v>
      </c>
      <c r="F6" s="1" t="s">
        <v>778</v>
      </c>
      <c r="G6" s="1" t="s">
        <v>778</v>
      </c>
      <c r="H6" s="1" t="s">
        <v>778</v>
      </c>
      <c r="AJ6" s="1" t="s">
        <v>778</v>
      </c>
      <c r="AQ6" s="1" t="s">
        <v>778</v>
      </c>
      <c r="AS6" s="1" t="s">
        <v>778</v>
      </c>
      <c r="AX6" s="1" t="s">
        <v>778</v>
      </c>
      <c r="BJ6" s="1" t="s">
        <v>778</v>
      </c>
      <c r="BR6" s="1" t="s">
        <v>778</v>
      </c>
      <c r="BS6" s="1" t="s">
        <v>778</v>
      </c>
      <c r="BZ6" s="1" t="s">
        <v>778</v>
      </c>
      <c r="CA6" s="1" t="s">
        <v>778</v>
      </c>
    </row>
    <row r="7" spans="1:641" ht="43.5" x14ac:dyDescent="0.35">
      <c r="A7" s="1" t="s">
        <v>776</v>
      </c>
      <c r="B7" s="1" t="s">
        <v>24</v>
      </c>
      <c r="C7" s="1" t="s">
        <v>782</v>
      </c>
      <c r="D7" s="1" t="s">
        <v>778</v>
      </c>
      <c r="E7" s="1" t="s">
        <v>778</v>
      </c>
      <c r="F7" s="1" t="s">
        <v>778</v>
      </c>
      <c r="G7" s="1" t="s">
        <v>778</v>
      </c>
      <c r="AB7" s="1" t="s">
        <v>778</v>
      </c>
      <c r="AJ7" s="1" t="s">
        <v>778</v>
      </c>
      <c r="AO7" s="1" t="s">
        <v>778</v>
      </c>
      <c r="AQ7" s="1" t="s">
        <v>778</v>
      </c>
      <c r="AS7" s="1" t="s">
        <v>778</v>
      </c>
      <c r="AY7" s="1" t="s">
        <v>778</v>
      </c>
      <c r="BC7" s="1" t="s">
        <v>778</v>
      </c>
      <c r="BN7" s="1" t="s">
        <v>778</v>
      </c>
      <c r="BZ7" s="1" t="s">
        <v>778</v>
      </c>
      <c r="CA7" s="1" t="s">
        <v>778</v>
      </c>
      <c r="CB7" s="1" t="s">
        <v>778</v>
      </c>
      <c r="CC7" s="1" t="s">
        <v>778</v>
      </c>
      <c r="CD7" s="1" t="s">
        <v>778</v>
      </c>
      <c r="CE7" s="1" t="s">
        <v>778</v>
      </c>
    </row>
    <row r="8" spans="1:641" ht="43.5" x14ac:dyDescent="0.35">
      <c r="A8" s="1" t="s">
        <v>776</v>
      </c>
      <c r="B8" s="1" t="s">
        <v>24</v>
      </c>
      <c r="C8" s="1" t="s">
        <v>783</v>
      </c>
      <c r="D8" s="1" t="s">
        <v>778</v>
      </c>
      <c r="E8" s="1" t="s">
        <v>778</v>
      </c>
      <c r="F8" s="1" t="s">
        <v>778</v>
      </c>
      <c r="G8" s="1" t="s">
        <v>778</v>
      </c>
      <c r="H8" s="1" t="s">
        <v>778</v>
      </c>
      <c r="AJ8" s="1" t="s">
        <v>778</v>
      </c>
      <c r="AQ8" s="1" t="s">
        <v>778</v>
      </c>
      <c r="AS8" s="1" t="s">
        <v>778</v>
      </c>
      <c r="BC8" s="1" t="s">
        <v>778</v>
      </c>
      <c r="BZ8" s="1" t="s">
        <v>778</v>
      </c>
      <c r="CA8" s="1" t="s">
        <v>778</v>
      </c>
      <c r="CB8" s="1" t="s">
        <v>778</v>
      </c>
      <c r="CC8" s="1" t="s">
        <v>778</v>
      </c>
      <c r="CD8" s="1" t="s">
        <v>778</v>
      </c>
      <c r="CE8" s="1" t="s">
        <v>778</v>
      </c>
      <c r="FG8" s="1" t="s">
        <v>778</v>
      </c>
    </row>
    <row r="9" spans="1:641" ht="43.5" x14ac:dyDescent="0.35">
      <c r="A9" s="1" t="s">
        <v>776</v>
      </c>
      <c r="B9" s="1" t="s">
        <v>24</v>
      </c>
      <c r="C9" s="1" t="s">
        <v>784</v>
      </c>
      <c r="D9" s="1" t="s">
        <v>778</v>
      </c>
      <c r="E9" s="1" t="s">
        <v>778</v>
      </c>
      <c r="F9" s="1" t="s">
        <v>778</v>
      </c>
      <c r="G9" s="1" t="s">
        <v>778</v>
      </c>
      <c r="H9" s="1" t="s">
        <v>778</v>
      </c>
      <c r="AB9" s="1" t="s">
        <v>778</v>
      </c>
      <c r="AJ9" s="1" t="s">
        <v>778</v>
      </c>
      <c r="AQ9" s="1" t="s">
        <v>778</v>
      </c>
      <c r="AS9" s="1" t="s">
        <v>778</v>
      </c>
      <c r="BC9" s="1" t="s">
        <v>778</v>
      </c>
      <c r="BZ9" s="1" t="s">
        <v>778</v>
      </c>
      <c r="CA9" s="1" t="s">
        <v>778</v>
      </c>
      <c r="CB9" s="1" t="s">
        <v>778</v>
      </c>
      <c r="CC9" s="1" t="s">
        <v>778</v>
      </c>
      <c r="CD9" s="1" t="s">
        <v>778</v>
      </c>
      <c r="CE9" s="1" t="s">
        <v>778</v>
      </c>
      <c r="FH9" s="1" t="s">
        <v>778</v>
      </c>
      <c r="FI9" s="1" t="s">
        <v>778</v>
      </c>
    </row>
    <row r="10" spans="1:641" ht="43.5" x14ac:dyDescent="0.35">
      <c r="A10" s="1" t="s">
        <v>776</v>
      </c>
      <c r="B10" s="1" t="s">
        <v>24</v>
      </c>
      <c r="C10" s="1" t="s">
        <v>785</v>
      </c>
      <c r="D10" s="1" t="s">
        <v>778</v>
      </c>
      <c r="E10" s="1" t="s">
        <v>778</v>
      </c>
      <c r="F10" s="1" t="s">
        <v>778</v>
      </c>
      <c r="G10" s="1" t="s">
        <v>778</v>
      </c>
      <c r="H10" s="1" t="s">
        <v>778</v>
      </c>
      <c r="AB10" s="1" t="s">
        <v>778</v>
      </c>
      <c r="AC10" s="1" t="s">
        <v>778</v>
      </c>
      <c r="AJ10" s="1" t="s">
        <v>778</v>
      </c>
      <c r="AO10" s="1" t="s">
        <v>778</v>
      </c>
      <c r="AQ10" s="1" t="s">
        <v>778</v>
      </c>
      <c r="AS10" s="1" t="s">
        <v>778</v>
      </c>
      <c r="AY10" s="1" t="s">
        <v>786</v>
      </c>
      <c r="BC10" s="1" t="s">
        <v>786</v>
      </c>
      <c r="BD10" s="1" t="s">
        <v>778</v>
      </c>
      <c r="BZ10" s="1" t="s">
        <v>778</v>
      </c>
      <c r="CA10" s="1" t="s">
        <v>778</v>
      </c>
      <c r="CB10" s="1" t="s">
        <v>778</v>
      </c>
      <c r="CC10" s="1" t="s">
        <v>778</v>
      </c>
      <c r="CD10" s="1" t="s">
        <v>778</v>
      </c>
      <c r="CE10" s="1" t="s">
        <v>778</v>
      </c>
      <c r="FK10" s="1" t="s">
        <v>778</v>
      </c>
    </row>
    <row r="11" spans="1:641" ht="58" x14ac:dyDescent="0.35">
      <c r="A11" s="1" t="s">
        <v>776</v>
      </c>
      <c r="B11" s="1" t="s">
        <v>24</v>
      </c>
      <c r="C11" s="1" t="s">
        <v>787</v>
      </c>
      <c r="D11" s="1" t="s">
        <v>778</v>
      </c>
      <c r="E11" s="1" t="s">
        <v>778</v>
      </c>
      <c r="F11" s="1" t="s">
        <v>778</v>
      </c>
      <c r="G11" s="1" t="s">
        <v>778</v>
      </c>
      <c r="H11" s="1" t="s">
        <v>778</v>
      </c>
      <c r="AJ11" s="1" t="s">
        <v>778</v>
      </c>
      <c r="AO11" s="1" t="s">
        <v>778</v>
      </c>
      <c r="AY11" s="1" t="s">
        <v>778</v>
      </c>
      <c r="BC11" s="1" t="s">
        <v>778</v>
      </c>
      <c r="BZ11" s="1" t="s">
        <v>778</v>
      </c>
      <c r="CA11" s="1" t="s">
        <v>778</v>
      </c>
      <c r="CB11" s="1" t="s">
        <v>778</v>
      </c>
      <c r="CC11" s="1" t="s">
        <v>778</v>
      </c>
      <c r="CD11" s="1" t="s">
        <v>778</v>
      </c>
      <c r="CE11" s="1" t="s">
        <v>778</v>
      </c>
    </row>
    <row r="12" spans="1:641" ht="43.5" x14ac:dyDescent="0.35">
      <c r="A12" s="1" t="s">
        <v>776</v>
      </c>
      <c r="B12" s="1" t="s">
        <v>24</v>
      </c>
      <c r="C12" s="1" t="s">
        <v>788</v>
      </c>
      <c r="D12" s="1" t="s">
        <v>778</v>
      </c>
      <c r="E12" s="1" t="s">
        <v>778</v>
      </c>
      <c r="F12" s="1" t="s">
        <v>778</v>
      </c>
      <c r="G12" s="1" t="s">
        <v>778</v>
      </c>
      <c r="H12" s="1" t="s">
        <v>778</v>
      </c>
      <c r="AJ12" s="1" t="s">
        <v>778</v>
      </c>
      <c r="CF12" s="1" t="s">
        <v>778</v>
      </c>
      <c r="CG12" s="1" t="s">
        <v>778</v>
      </c>
      <c r="CH12" s="1" t="s">
        <v>778</v>
      </c>
    </row>
    <row r="13" spans="1:641" ht="43.5" x14ac:dyDescent="0.35">
      <c r="A13" s="1" t="s">
        <v>776</v>
      </c>
      <c r="B13" s="1" t="s">
        <v>24</v>
      </c>
      <c r="C13" s="1" t="s">
        <v>789</v>
      </c>
      <c r="D13" s="1" t="s">
        <v>778</v>
      </c>
      <c r="E13" s="1" t="s">
        <v>778</v>
      </c>
      <c r="F13" s="1" t="s">
        <v>778</v>
      </c>
      <c r="G13" s="1" t="s">
        <v>778</v>
      </c>
      <c r="H13" s="1" t="s">
        <v>778</v>
      </c>
      <c r="AJ13" s="1" t="s">
        <v>778</v>
      </c>
      <c r="AS13" s="1" t="s">
        <v>778</v>
      </c>
      <c r="CJ13" s="1" t="s">
        <v>778</v>
      </c>
      <c r="CK13" s="1" t="s">
        <v>778</v>
      </c>
      <c r="CR13" s="1" t="s">
        <v>778</v>
      </c>
      <c r="CS13" s="1" t="s">
        <v>778</v>
      </c>
      <c r="CT13" s="1" t="s">
        <v>778</v>
      </c>
      <c r="CU13" s="1" t="s">
        <v>778</v>
      </c>
    </row>
    <row r="14" spans="1:641" ht="43.5" x14ac:dyDescent="0.35">
      <c r="A14" s="1" t="s">
        <v>776</v>
      </c>
      <c r="B14" s="1" t="s">
        <v>24</v>
      </c>
      <c r="C14" s="1" t="s">
        <v>790</v>
      </c>
      <c r="D14" s="1" t="s">
        <v>778</v>
      </c>
      <c r="E14" s="1" t="s">
        <v>778</v>
      </c>
      <c r="F14" s="1" t="s">
        <v>778</v>
      </c>
      <c r="G14" s="1" t="s">
        <v>778</v>
      </c>
      <c r="H14" s="1" t="s">
        <v>778</v>
      </c>
      <c r="AT14" s="1" t="s">
        <v>778</v>
      </c>
      <c r="CV14" s="1" t="s">
        <v>778</v>
      </c>
      <c r="CW14" s="1" t="s">
        <v>778</v>
      </c>
      <c r="CX14" s="1" t="s">
        <v>778</v>
      </c>
      <c r="CY14" s="1" t="s">
        <v>778</v>
      </c>
      <c r="CZ14" s="1" t="s">
        <v>778</v>
      </c>
      <c r="EI14" s="1" t="s">
        <v>778</v>
      </c>
    </row>
    <row r="15" spans="1:641" ht="43.5" x14ac:dyDescent="0.35">
      <c r="A15" s="1" t="s">
        <v>776</v>
      </c>
      <c r="B15" s="1" t="s">
        <v>24</v>
      </c>
      <c r="C15" s="1" t="s">
        <v>791</v>
      </c>
      <c r="D15" s="1" t="s">
        <v>778</v>
      </c>
      <c r="E15" s="1" t="s">
        <v>778</v>
      </c>
      <c r="F15" s="1" t="s">
        <v>778</v>
      </c>
      <c r="G15" s="1" t="s">
        <v>778</v>
      </c>
      <c r="H15" s="1" t="s">
        <v>778</v>
      </c>
      <c r="I15" s="1" t="s">
        <v>778</v>
      </c>
      <c r="J15" s="1" t="s">
        <v>778</v>
      </c>
      <c r="K15" s="1" t="s">
        <v>778</v>
      </c>
      <c r="L15" s="1" t="s">
        <v>778</v>
      </c>
      <c r="M15" s="1" t="s">
        <v>778</v>
      </c>
      <c r="P15" s="1" t="s">
        <v>778</v>
      </c>
      <c r="Q15" s="1" t="s">
        <v>778</v>
      </c>
      <c r="CI15" s="1" t="s">
        <v>778</v>
      </c>
      <c r="CZ15" s="1" t="s">
        <v>778</v>
      </c>
    </row>
    <row r="16" spans="1:641" ht="58" x14ac:dyDescent="0.35">
      <c r="A16" s="1" t="s">
        <v>776</v>
      </c>
      <c r="B16" s="1" t="s">
        <v>24</v>
      </c>
      <c r="C16" s="1" t="s">
        <v>792</v>
      </c>
      <c r="D16" s="1" t="s">
        <v>778</v>
      </c>
      <c r="E16" s="1" t="s">
        <v>778</v>
      </c>
      <c r="F16" s="1" t="s">
        <v>778</v>
      </c>
      <c r="G16" s="1" t="s">
        <v>778</v>
      </c>
      <c r="H16" s="1" t="s">
        <v>778</v>
      </c>
      <c r="N16" s="1" t="s">
        <v>778</v>
      </c>
      <c r="O16" s="1" t="s">
        <v>778</v>
      </c>
      <c r="P16" s="1" t="s">
        <v>778</v>
      </c>
      <c r="Q16" s="1" t="s">
        <v>778</v>
      </c>
      <c r="AS16" s="1" t="s">
        <v>778</v>
      </c>
      <c r="AX16" s="1" t="s">
        <v>778</v>
      </c>
      <c r="CZ16" s="1" t="s">
        <v>778</v>
      </c>
      <c r="DF16" s="1" t="s">
        <v>778</v>
      </c>
      <c r="DQ16" s="1" t="s">
        <v>778</v>
      </c>
      <c r="EH16" s="1" t="s">
        <v>778</v>
      </c>
    </row>
    <row r="17" spans="1:187" ht="101.5" x14ac:dyDescent="0.35">
      <c r="A17" s="1" t="s">
        <v>776</v>
      </c>
      <c r="B17" s="1" t="s">
        <v>24</v>
      </c>
      <c r="C17" s="1" t="s">
        <v>793</v>
      </c>
      <c r="D17" s="1" t="s">
        <v>778</v>
      </c>
      <c r="E17" s="1" t="s">
        <v>778</v>
      </c>
      <c r="F17" s="1" t="s">
        <v>778</v>
      </c>
      <c r="G17" s="1" t="s">
        <v>778</v>
      </c>
      <c r="H17" s="1" t="s">
        <v>778</v>
      </c>
      <c r="X17" s="1" t="s">
        <v>778</v>
      </c>
      <c r="Y17" s="1" t="s">
        <v>778</v>
      </c>
      <c r="Z17" s="1" t="s">
        <v>778</v>
      </c>
      <c r="AA17" s="1" t="s">
        <v>778</v>
      </c>
      <c r="AT17" s="1" t="s">
        <v>778</v>
      </c>
      <c r="AX17" s="1" t="s">
        <v>778</v>
      </c>
      <c r="BE17" s="1" t="s">
        <v>778</v>
      </c>
      <c r="BS17" s="1" t="s">
        <v>778</v>
      </c>
      <c r="CZ17" s="1" t="s">
        <v>778</v>
      </c>
      <c r="DF17" s="1" t="s">
        <v>778</v>
      </c>
      <c r="EH17" s="1" t="s">
        <v>778</v>
      </c>
    </row>
    <row r="18" spans="1:187" ht="130.5" x14ac:dyDescent="0.35">
      <c r="A18" s="1" t="s">
        <v>776</v>
      </c>
      <c r="B18" s="1" t="s">
        <v>24</v>
      </c>
      <c r="C18" s="1" t="s">
        <v>794</v>
      </c>
      <c r="D18" s="1" t="s">
        <v>778</v>
      </c>
      <c r="E18" s="1" t="s">
        <v>778</v>
      </c>
      <c r="F18" s="1" t="s">
        <v>778</v>
      </c>
      <c r="G18" s="1" t="s">
        <v>778</v>
      </c>
      <c r="H18" s="1" t="s">
        <v>778</v>
      </c>
      <c r="I18" s="1" t="s">
        <v>778</v>
      </c>
      <c r="J18" s="1" t="s">
        <v>778</v>
      </c>
      <c r="K18" s="1" t="s">
        <v>778</v>
      </c>
      <c r="L18" s="1" t="s">
        <v>778</v>
      </c>
      <c r="M18" s="1" t="s">
        <v>778</v>
      </c>
      <c r="N18" s="1" t="s">
        <v>778</v>
      </c>
      <c r="P18" s="1" t="s">
        <v>778</v>
      </c>
      <c r="Q18" s="1" t="s">
        <v>778</v>
      </c>
      <c r="AS18" s="1" t="s">
        <v>778</v>
      </c>
      <c r="CZ18" s="1" t="s">
        <v>778</v>
      </c>
      <c r="DB18" s="1" t="s">
        <v>778</v>
      </c>
      <c r="DF18" s="1" t="s">
        <v>778</v>
      </c>
      <c r="DH18" s="1" t="s">
        <v>778</v>
      </c>
      <c r="DQ18" s="1" t="s">
        <v>778</v>
      </c>
      <c r="DW18" s="1" t="s">
        <v>778</v>
      </c>
      <c r="EH18" s="1" t="s">
        <v>778</v>
      </c>
    </row>
    <row r="19" spans="1:187" ht="72.5" x14ac:dyDescent="0.35">
      <c r="A19" s="1" t="s">
        <v>776</v>
      </c>
      <c r="B19" s="1" t="s">
        <v>24</v>
      </c>
      <c r="C19" s="1" t="s">
        <v>795</v>
      </c>
      <c r="D19" s="1" t="s">
        <v>778</v>
      </c>
      <c r="E19" s="1" t="s">
        <v>778</v>
      </c>
      <c r="F19" s="1" t="s">
        <v>778</v>
      </c>
      <c r="G19" s="1" t="s">
        <v>778</v>
      </c>
      <c r="H19" s="1" t="s">
        <v>778</v>
      </c>
      <c r="I19" s="1" t="s">
        <v>778</v>
      </c>
      <c r="J19" s="1" t="s">
        <v>778</v>
      </c>
      <c r="N19" s="1" t="s">
        <v>778</v>
      </c>
      <c r="O19" s="1" t="s">
        <v>778</v>
      </c>
      <c r="AX19" s="1" t="s">
        <v>778</v>
      </c>
      <c r="BE19" s="1" t="s">
        <v>778</v>
      </c>
      <c r="BS19" s="1" t="s">
        <v>778</v>
      </c>
      <c r="CZ19" s="1" t="s">
        <v>778</v>
      </c>
      <c r="DF19" s="1" t="s">
        <v>778</v>
      </c>
      <c r="EH19" s="1" t="s">
        <v>778</v>
      </c>
    </row>
    <row r="20" spans="1:187" ht="72.5" x14ac:dyDescent="0.35">
      <c r="A20" s="1" t="s">
        <v>776</v>
      </c>
      <c r="B20" s="1" t="s">
        <v>24</v>
      </c>
      <c r="C20" s="1" t="s">
        <v>796</v>
      </c>
      <c r="D20" s="1" t="s">
        <v>778</v>
      </c>
      <c r="E20" s="1" t="s">
        <v>778</v>
      </c>
      <c r="F20" s="1" t="s">
        <v>778</v>
      </c>
      <c r="G20" s="1" t="s">
        <v>778</v>
      </c>
      <c r="H20" s="1" t="s">
        <v>778</v>
      </c>
      <c r="I20" s="1" t="s">
        <v>778</v>
      </c>
      <c r="J20" s="1" t="s">
        <v>778</v>
      </c>
      <c r="AJ20" s="1" t="s">
        <v>778</v>
      </c>
      <c r="AQ20" s="1" t="s">
        <v>778</v>
      </c>
      <c r="AS20" s="1" t="s">
        <v>778</v>
      </c>
      <c r="CZ20" s="1" t="s">
        <v>778</v>
      </c>
      <c r="DC20" s="1" t="s">
        <v>778</v>
      </c>
      <c r="DD20" s="1" t="s">
        <v>778</v>
      </c>
      <c r="DF20" s="1" t="s">
        <v>778</v>
      </c>
      <c r="DJ20" s="1" t="s">
        <v>778</v>
      </c>
      <c r="DK20" s="1" t="s">
        <v>778</v>
      </c>
      <c r="DQ20" s="1" t="s">
        <v>778</v>
      </c>
      <c r="FG20" s="1" t="s">
        <v>778</v>
      </c>
      <c r="FK20" s="1" t="s">
        <v>778</v>
      </c>
    </row>
    <row r="21" spans="1:187" ht="43.5" x14ac:dyDescent="0.35">
      <c r="A21" s="1" t="s">
        <v>776</v>
      </c>
      <c r="B21" s="1" t="s">
        <v>24</v>
      </c>
      <c r="C21" s="1" t="s">
        <v>797</v>
      </c>
      <c r="D21" s="1" t="s">
        <v>778</v>
      </c>
      <c r="E21" s="1" t="s">
        <v>778</v>
      </c>
      <c r="F21" s="1" t="s">
        <v>778</v>
      </c>
      <c r="G21" s="1" t="s">
        <v>778</v>
      </c>
      <c r="H21" s="1" t="s">
        <v>778</v>
      </c>
      <c r="I21" s="1" t="s">
        <v>778</v>
      </c>
      <c r="J21" s="1" t="s">
        <v>778</v>
      </c>
      <c r="AJ21" s="1" t="s">
        <v>778</v>
      </c>
      <c r="AQ21" s="1" t="s">
        <v>778</v>
      </c>
      <c r="AS21" s="1" t="s">
        <v>778</v>
      </c>
      <c r="CZ21" s="1" t="s">
        <v>778</v>
      </c>
      <c r="DC21" s="1" t="s">
        <v>778</v>
      </c>
      <c r="DD21" s="1" t="s">
        <v>778</v>
      </c>
      <c r="DF21" s="1" t="s">
        <v>778</v>
      </c>
      <c r="DJ21" s="1" t="s">
        <v>778</v>
      </c>
      <c r="DK21" s="1" t="s">
        <v>778</v>
      </c>
      <c r="DQ21" s="1" t="s">
        <v>778</v>
      </c>
      <c r="FG21" s="1" t="s">
        <v>778</v>
      </c>
      <c r="FK21" s="1" t="s">
        <v>778</v>
      </c>
    </row>
    <row r="22" spans="1:187" ht="58" x14ac:dyDescent="0.35">
      <c r="A22" s="1" t="s">
        <v>776</v>
      </c>
      <c r="B22" s="1" t="s">
        <v>24</v>
      </c>
      <c r="C22" s="1" t="s">
        <v>798</v>
      </c>
      <c r="D22" s="1" t="s">
        <v>778</v>
      </c>
      <c r="E22" s="1" t="s">
        <v>778</v>
      </c>
      <c r="F22" s="1" t="s">
        <v>778</v>
      </c>
      <c r="G22" s="1" t="s">
        <v>778</v>
      </c>
      <c r="H22" s="1" t="s">
        <v>778</v>
      </c>
      <c r="AQ22" s="1" t="s">
        <v>778</v>
      </c>
      <c r="AT22" s="1" t="s">
        <v>778</v>
      </c>
      <c r="BN22" s="1" t="s">
        <v>778</v>
      </c>
      <c r="DQ22" s="1" t="s">
        <v>778</v>
      </c>
      <c r="EP22" s="1" t="s">
        <v>778</v>
      </c>
      <c r="EQ22" s="1" t="s">
        <v>778</v>
      </c>
      <c r="FF22" s="1" t="s">
        <v>778</v>
      </c>
    </row>
    <row r="23" spans="1:187" ht="72.5" x14ac:dyDescent="0.35">
      <c r="A23" s="1" t="s">
        <v>776</v>
      </c>
      <c r="B23" s="1" t="s">
        <v>24</v>
      </c>
      <c r="C23" s="1" t="s">
        <v>799</v>
      </c>
      <c r="D23" s="1" t="s">
        <v>778</v>
      </c>
      <c r="E23" s="1" t="s">
        <v>778</v>
      </c>
      <c r="F23" s="1" t="s">
        <v>778</v>
      </c>
      <c r="G23" s="1" t="s">
        <v>778</v>
      </c>
      <c r="H23" s="1" t="s">
        <v>778</v>
      </c>
      <c r="AQ23" s="1" t="s">
        <v>778</v>
      </c>
      <c r="AT23" s="1" t="s">
        <v>778</v>
      </c>
      <c r="BE23" s="1" t="s">
        <v>778</v>
      </c>
      <c r="BN23" s="1" t="s">
        <v>778</v>
      </c>
      <c r="CZ23" s="1" t="s">
        <v>778</v>
      </c>
      <c r="DF23" s="1" t="s">
        <v>778</v>
      </c>
      <c r="EI23" s="1" t="s">
        <v>778</v>
      </c>
    </row>
    <row r="24" spans="1:187" ht="51" x14ac:dyDescent="0.35">
      <c r="A24" s="1" t="s">
        <v>776</v>
      </c>
      <c r="B24" s="1" t="s">
        <v>24</v>
      </c>
      <c r="C24" s="2" t="s">
        <v>800</v>
      </c>
      <c r="D24" s="1" t="s">
        <v>778</v>
      </c>
      <c r="E24" s="1" t="s">
        <v>778</v>
      </c>
      <c r="F24" s="1" t="s">
        <v>778</v>
      </c>
      <c r="G24" s="1" t="s">
        <v>778</v>
      </c>
      <c r="H24" s="1" t="s">
        <v>778</v>
      </c>
      <c r="I24" s="1" t="s">
        <v>778</v>
      </c>
      <c r="J24" s="1" t="s">
        <v>778</v>
      </c>
      <c r="AJ24" s="1" t="s">
        <v>778</v>
      </c>
      <c r="AQ24" s="1" t="s">
        <v>778</v>
      </c>
      <c r="AS24" s="1" t="s">
        <v>778</v>
      </c>
      <c r="CZ24" s="1" t="s">
        <v>778</v>
      </c>
      <c r="DC24" s="1" t="s">
        <v>778</v>
      </c>
      <c r="DD24" s="1" t="s">
        <v>778</v>
      </c>
      <c r="DF24" s="1" t="s">
        <v>778</v>
      </c>
      <c r="DJ24" s="1" t="s">
        <v>778</v>
      </c>
      <c r="DK24" s="1" t="s">
        <v>778</v>
      </c>
      <c r="DQ24" s="1" t="s">
        <v>778</v>
      </c>
      <c r="FG24" s="1" t="s">
        <v>778</v>
      </c>
      <c r="FK24" s="1" t="s">
        <v>778</v>
      </c>
    </row>
    <row r="25" spans="1:187" ht="72.5" x14ac:dyDescent="0.35">
      <c r="A25" s="1" t="s">
        <v>776</v>
      </c>
      <c r="B25" s="1" t="s">
        <v>24</v>
      </c>
      <c r="C25" s="1" t="s">
        <v>801</v>
      </c>
      <c r="D25" s="1" t="s">
        <v>778</v>
      </c>
      <c r="E25" s="1" t="s">
        <v>778</v>
      </c>
      <c r="F25" s="1" t="s">
        <v>778</v>
      </c>
      <c r="G25" s="1" t="s">
        <v>778</v>
      </c>
      <c r="H25" s="1" t="s">
        <v>778</v>
      </c>
      <c r="AQ25" s="1" t="s">
        <v>778</v>
      </c>
      <c r="AT25" s="1" t="s">
        <v>778</v>
      </c>
      <c r="BN25" s="1" t="s">
        <v>778</v>
      </c>
      <c r="DQ25" s="1" t="s">
        <v>778</v>
      </c>
      <c r="EP25" s="1" t="s">
        <v>778</v>
      </c>
      <c r="EQ25" s="1" t="s">
        <v>778</v>
      </c>
      <c r="FF25" s="1" t="s">
        <v>778</v>
      </c>
    </row>
    <row r="26" spans="1:187" ht="72.5" x14ac:dyDescent="0.35">
      <c r="A26" s="1" t="s">
        <v>776</v>
      </c>
      <c r="B26" s="1" t="s">
        <v>24</v>
      </c>
      <c r="C26" s="1" t="s">
        <v>802</v>
      </c>
      <c r="D26" s="1" t="s">
        <v>778</v>
      </c>
      <c r="E26" s="1" t="s">
        <v>778</v>
      </c>
      <c r="F26" s="1" t="s">
        <v>778</v>
      </c>
      <c r="G26" s="1" t="s">
        <v>778</v>
      </c>
      <c r="H26" s="1" t="s">
        <v>778</v>
      </c>
      <c r="AJ26" s="1" t="s">
        <v>778</v>
      </c>
      <c r="AQ26" s="1" t="s">
        <v>778</v>
      </c>
      <c r="AT26" s="1" t="s">
        <v>778</v>
      </c>
      <c r="AX26" s="1" t="s">
        <v>778</v>
      </c>
      <c r="BJ26" s="1" t="s">
        <v>778</v>
      </c>
      <c r="BR26" s="1" t="s">
        <v>778</v>
      </c>
      <c r="BS26" s="1" t="s">
        <v>778</v>
      </c>
      <c r="BT26" s="1" t="s">
        <v>778</v>
      </c>
      <c r="CZ26" s="1" t="s">
        <v>778</v>
      </c>
      <c r="DF26" s="1" t="s">
        <v>778</v>
      </c>
      <c r="DQ26" s="1" t="s">
        <v>778</v>
      </c>
    </row>
    <row r="27" spans="1:187" ht="43.5" x14ac:dyDescent="0.35">
      <c r="A27" s="1" t="s">
        <v>776</v>
      </c>
      <c r="B27" s="1" t="s">
        <v>24</v>
      </c>
      <c r="C27" s="1" t="s">
        <v>803</v>
      </c>
      <c r="D27" s="1" t="s">
        <v>778</v>
      </c>
      <c r="E27" s="1" t="s">
        <v>778</v>
      </c>
      <c r="F27" s="1" t="s">
        <v>778</v>
      </c>
      <c r="G27" s="1" t="s">
        <v>778</v>
      </c>
      <c r="H27" s="1" t="s">
        <v>778</v>
      </c>
      <c r="AM27" s="1" t="s">
        <v>778</v>
      </c>
      <c r="AN27" s="1" t="s">
        <v>778</v>
      </c>
      <c r="CZ27" s="1" t="s">
        <v>778</v>
      </c>
      <c r="DA27" s="1" t="s">
        <v>778</v>
      </c>
      <c r="DF27" s="1" t="s">
        <v>778</v>
      </c>
      <c r="DI27" s="1" t="s">
        <v>778</v>
      </c>
    </row>
    <row r="28" spans="1:187" ht="43.5" x14ac:dyDescent="0.35">
      <c r="A28" s="1" t="s">
        <v>776</v>
      </c>
      <c r="B28" s="1" t="s">
        <v>24</v>
      </c>
      <c r="C28" s="1" t="s">
        <v>804</v>
      </c>
      <c r="D28" s="1" t="s">
        <v>778</v>
      </c>
      <c r="E28" s="1" t="s">
        <v>778</v>
      </c>
      <c r="F28" s="1" t="s">
        <v>778</v>
      </c>
      <c r="G28" s="1" t="s">
        <v>778</v>
      </c>
      <c r="H28" s="1" t="s">
        <v>778</v>
      </c>
      <c r="AJ28" s="1" t="s">
        <v>778</v>
      </c>
      <c r="AQ28" s="1" t="s">
        <v>778</v>
      </c>
      <c r="AT28" s="1" t="s">
        <v>778</v>
      </c>
      <c r="BJ28" s="1" t="s">
        <v>778</v>
      </c>
      <c r="BK28" s="1" t="s">
        <v>778</v>
      </c>
      <c r="BR28" s="1" t="s">
        <v>778</v>
      </c>
      <c r="CZ28" s="1" t="s">
        <v>778</v>
      </c>
      <c r="DF28" s="1" t="s">
        <v>778</v>
      </c>
      <c r="DQ28" s="1" t="s">
        <v>778</v>
      </c>
    </row>
    <row r="29" spans="1:187" ht="58" x14ac:dyDescent="0.35">
      <c r="A29" s="1" t="s">
        <v>776</v>
      </c>
      <c r="B29" s="1" t="s">
        <v>24</v>
      </c>
      <c r="C29" s="1" t="s">
        <v>805</v>
      </c>
      <c r="D29" s="1" t="s">
        <v>778</v>
      </c>
      <c r="E29" s="1" t="s">
        <v>778</v>
      </c>
      <c r="F29" s="1" t="s">
        <v>778</v>
      </c>
      <c r="G29" s="1" t="s">
        <v>778</v>
      </c>
      <c r="H29" s="1" t="s">
        <v>778</v>
      </c>
      <c r="AB29" s="1" t="s">
        <v>778</v>
      </c>
      <c r="AJ29" s="1" t="s">
        <v>778</v>
      </c>
      <c r="AT29" s="1" t="s">
        <v>778</v>
      </c>
      <c r="CK29" s="1" t="s">
        <v>778</v>
      </c>
      <c r="CZ29" s="1" t="s">
        <v>778</v>
      </c>
      <c r="FK29" s="1" t="s">
        <v>778</v>
      </c>
    </row>
    <row r="30" spans="1:187" ht="72.5" x14ac:dyDescent="0.35">
      <c r="A30" s="1" t="s">
        <v>776</v>
      </c>
      <c r="B30" s="1" t="s">
        <v>24</v>
      </c>
      <c r="C30" s="1" t="s">
        <v>806</v>
      </c>
      <c r="D30" s="1" t="s">
        <v>778</v>
      </c>
      <c r="E30" s="1" t="s">
        <v>778</v>
      </c>
      <c r="F30" s="1" t="s">
        <v>778</v>
      </c>
      <c r="G30" s="1" t="s">
        <v>778</v>
      </c>
      <c r="H30" s="1" t="s">
        <v>778</v>
      </c>
      <c r="BE30" s="1" t="s">
        <v>778</v>
      </c>
      <c r="CZ30" s="1" t="s">
        <v>778</v>
      </c>
      <c r="DF30" s="1" t="s">
        <v>778</v>
      </c>
      <c r="EH30" s="1" t="s">
        <v>778</v>
      </c>
      <c r="FH30" s="1" t="s">
        <v>778</v>
      </c>
      <c r="FI30" s="1" t="s">
        <v>778</v>
      </c>
    </row>
    <row r="31" spans="1:187" ht="72.5" x14ac:dyDescent="0.35">
      <c r="A31" s="1" t="s">
        <v>776</v>
      </c>
      <c r="B31" s="1" t="s">
        <v>24</v>
      </c>
      <c r="C31" s="1" t="s">
        <v>807</v>
      </c>
      <c r="D31" s="1" t="s">
        <v>778</v>
      </c>
      <c r="E31" s="1" t="s">
        <v>778</v>
      </c>
      <c r="F31" s="1" t="s">
        <v>778</v>
      </c>
      <c r="G31" s="1" t="s">
        <v>778</v>
      </c>
      <c r="H31" s="1" t="s">
        <v>778</v>
      </c>
      <c r="FL31" s="1" t="s">
        <v>778</v>
      </c>
      <c r="FM31" s="1" t="s">
        <v>778</v>
      </c>
      <c r="FN31" s="1" t="s">
        <v>778</v>
      </c>
      <c r="FS31" s="1" t="s">
        <v>778</v>
      </c>
      <c r="FT31" s="1" t="s">
        <v>778</v>
      </c>
      <c r="FU31" s="1" t="s">
        <v>778</v>
      </c>
      <c r="FV31" s="1" t="s">
        <v>778</v>
      </c>
      <c r="FW31" s="1" t="s">
        <v>778</v>
      </c>
      <c r="FX31" s="1" t="s">
        <v>778</v>
      </c>
      <c r="FY31" s="1" t="s">
        <v>778</v>
      </c>
      <c r="FZ31" s="1" t="s">
        <v>778</v>
      </c>
      <c r="GA31" s="1" t="s">
        <v>778</v>
      </c>
      <c r="GB31" s="1" t="s">
        <v>778</v>
      </c>
      <c r="GC31" s="1" t="s">
        <v>778</v>
      </c>
      <c r="GD31" s="1" t="s">
        <v>778</v>
      </c>
    </row>
    <row r="32" spans="1:187" ht="43.5" x14ac:dyDescent="0.35">
      <c r="A32" s="1" t="s">
        <v>776</v>
      </c>
      <c r="B32" s="1" t="s">
        <v>24</v>
      </c>
      <c r="C32" s="1" t="s">
        <v>808</v>
      </c>
      <c r="D32" s="1" t="s">
        <v>778</v>
      </c>
      <c r="E32" s="1" t="s">
        <v>778</v>
      </c>
      <c r="F32" s="1" t="s">
        <v>778</v>
      </c>
      <c r="G32" s="1" t="s">
        <v>778</v>
      </c>
      <c r="H32" s="1" t="s">
        <v>778</v>
      </c>
      <c r="AS32" s="1" t="s">
        <v>778</v>
      </c>
      <c r="CF32" s="1" t="s">
        <v>778</v>
      </c>
      <c r="CI32" s="1" t="s">
        <v>778</v>
      </c>
      <c r="EH32" s="1" t="s">
        <v>778</v>
      </c>
      <c r="GE32" s="1" t="s">
        <v>778</v>
      </c>
    </row>
    <row r="33" spans="1:202" ht="72.5" x14ac:dyDescent="0.35">
      <c r="A33" s="1" t="s">
        <v>776</v>
      </c>
      <c r="B33" s="1" t="s">
        <v>24</v>
      </c>
      <c r="C33" s="1" t="s">
        <v>809</v>
      </c>
      <c r="D33" s="1" t="s">
        <v>778</v>
      </c>
      <c r="E33" s="1" t="s">
        <v>778</v>
      </c>
      <c r="F33" s="1" t="s">
        <v>778</v>
      </c>
      <c r="G33" s="1" t="s">
        <v>778</v>
      </c>
      <c r="H33" s="1" t="s">
        <v>778</v>
      </c>
      <c r="AB33" s="1" t="s">
        <v>778</v>
      </c>
      <c r="BE33" s="1" t="s">
        <v>778</v>
      </c>
      <c r="BF33" s="1" t="s">
        <v>778</v>
      </c>
      <c r="CZ33" s="1" t="s">
        <v>778</v>
      </c>
      <c r="DA33" s="1" t="s">
        <v>778</v>
      </c>
      <c r="DF33" s="1" t="s">
        <v>778</v>
      </c>
      <c r="DI33" s="1" t="s">
        <v>778</v>
      </c>
    </row>
    <row r="34" spans="1:202" ht="43.5" x14ac:dyDescent="0.35">
      <c r="A34" s="1" t="s">
        <v>776</v>
      </c>
      <c r="B34" s="1" t="s">
        <v>24</v>
      </c>
      <c r="C34" s="1" t="s">
        <v>810</v>
      </c>
      <c r="D34" s="1" t="s">
        <v>778</v>
      </c>
      <c r="E34" s="1" t="s">
        <v>778</v>
      </c>
      <c r="F34" s="1" t="s">
        <v>778</v>
      </c>
      <c r="G34" s="1" t="s">
        <v>778</v>
      </c>
      <c r="H34" s="1" t="s">
        <v>778</v>
      </c>
      <c r="AQ34" s="1" t="s">
        <v>778</v>
      </c>
      <c r="AT34" s="1" t="s">
        <v>778</v>
      </c>
      <c r="AX34" s="1" t="s">
        <v>778</v>
      </c>
      <c r="BJ34" s="1" t="s">
        <v>778</v>
      </c>
      <c r="CZ34" s="1" t="s">
        <v>778</v>
      </c>
      <c r="DF34" s="1" t="s">
        <v>778</v>
      </c>
      <c r="EH34" s="1" t="s">
        <v>778</v>
      </c>
      <c r="FK34" s="1" t="s">
        <v>778</v>
      </c>
    </row>
    <row r="35" spans="1:202" ht="72.5" x14ac:dyDescent="0.35">
      <c r="A35" s="1" t="s">
        <v>776</v>
      </c>
      <c r="B35" s="1" t="s">
        <v>24</v>
      </c>
      <c r="C35" s="1" t="s">
        <v>811</v>
      </c>
      <c r="D35" s="1" t="s">
        <v>778</v>
      </c>
      <c r="E35" s="1" t="s">
        <v>778</v>
      </c>
      <c r="F35" s="1" t="s">
        <v>778</v>
      </c>
      <c r="G35" s="1" t="s">
        <v>778</v>
      </c>
      <c r="H35" s="1" t="s">
        <v>778</v>
      </c>
      <c r="AB35" s="1" t="s">
        <v>778</v>
      </c>
      <c r="AF35" s="1" t="s">
        <v>778</v>
      </c>
      <c r="AH35" s="1" t="s">
        <v>778</v>
      </c>
      <c r="BE35" s="1" t="s">
        <v>778</v>
      </c>
      <c r="CZ35" s="1" t="s">
        <v>778</v>
      </c>
      <c r="DF35" s="1" t="s">
        <v>778</v>
      </c>
      <c r="EI35" s="1" t="s">
        <v>778</v>
      </c>
      <c r="GJ35" s="1" t="s">
        <v>778</v>
      </c>
    </row>
    <row r="36" spans="1:202" ht="58" x14ac:dyDescent="0.35">
      <c r="A36" s="1" t="s">
        <v>776</v>
      </c>
      <c r="B36" s="1" t="s">
        <v>24</v>
      </c>
      <c r="C36" s="1" t="s">
        <v>812</v>
      </c>
      <c r="D36" s="1" t="s">
        <v>778</v>
      </c>
      <c r="E36" s="1" t="s">
        <v>778</v>
      </c>
      <c r="F36" s="1" t="s">
        <v>778</v>
      </c>
      <c r="G36" s="1" t="s">
        <v>778</v>
      </c>
      <c r="H36" s="1" t="s">
        <v>778</v>
      </c>
      <c r="AB36" s="1" t="s">
        <v>778</v>
      </c>
      <c r="AY36" s="1" t="s">
        <v>778</v>
      </c>
      <c r="BE36" s="1" t="s">
        <v>778</v>
      </c>
      <c r="BF36" s="1" t="s">
        <v>778</v>
      </c>
      <c r="CZ36" s="1" t="s">
        <v>778</v>
      </c>
      <c r="DF36" s="1" t="s">
        <v>778</v>
      </c>
      <c r="EG36" s="1" t="s">
        <v>778</v>
      </c>
      <c r="EH36" s="1" t="s">
        <v>778</v>
      </c>
      <c r="EI36" s="1" t="s">
        <v>778</v>
      </c>
      <c r="EN36" s="1" t="s">
        <v>778</v>
      </c>
      <c r="EO36" s="1" t="s">
        <v>778</v>
      </c>
    </row>
    <row r="37" spans="1:202" ht="72.5" x14ac:dyDescent="0.35">
      <c r="A37" s="1" t="s">
        <v>776</v>
      </c>
      <c r="B37" s="1" t="s">
        <v>24</v>
      </c>
      <c r="C37" s="1" t="s">
        <v>813</v>
      </c>
      <c r="D37" s="1" t="s">
        <v>778</v>
      </c>
      <c r="E37" s="1" t="s">
        <v>778</v>
      </c>
      <c r="F37" s="1" t="s">
        <v>778</v>
      </c>
      <c r="G37" s="1" t="s">
        <v>778</v>
      </c>
      <c r="H37" s="1" t="s">
        <v>778</v>
      </c>
      <c r="AE37" s="1" t="s">
        <v>778</v>
      </c>
      <c r="AH37" s="1" t="s">
        <v>778</v>
      </c>
      <c r="CZ37" s="1" t="s">
        <v>778</v>
      </c>
    </row>
    <row r="38" spans="1:202" ht="43.5" x14ac:dyDescent="0.35">
      <c r="A38" s="1" t="s">
        <v>776</v>
      </c>
      <c r="B38" s="1" t="s">
        <v>24</v>
      </c>
      <c r="C38" s="1" t="s">
        <v>814</v>
      </c>
      <c r="D38" s="1" t="s">
        <v>778</v>
      </c>
      <c r="E38" s="1" t="s">
        <v>778</v>
      </c>
      <c r="F38" s="1" t="s">
        <v>778</v>
      </c>
      <c r="G38" s="1" t="s">
        <v>778</v>
      </c>
      <c r="H38" s="1" t="s">
        <v>778</v>
      </c>
      <c r="I38" s="1" t="s">
        <v>778</v>
      </c>
      <c r="J38" s="1" t="s">
        <v>778</v>
      </c>
      <c r="DE38" s="1" t="s">
        <v>778</v>
      </c>
    </row>
    <row r="39" spans="1:202" ht="43.5" x14ac:dyDescent="0.35">
      <c r="A39" s="1" t="s">
        <v>776</v>
      </c>
      <c r="B39" s="1" t="s">
        <v>24</v>
      </c>
      <c r="C39" s="1" t="s">
        <v>814</v>
      </c>
      <c r="D39" s="1" t="s">
        <v>778</v>
      </c>
      <c r="E39" s="1" t="s">
        <v>778</v>
      </c>
      <c r="F39" s="1" t="s">
        <v>778</v>
      </c>
      <c r="G39" s="1" t="s">
        <v>778</v>
      </c>
      <c r="H39" s="1" t="s">
        <v>778</v>
      </c>
      <c r="AV39" s="1" t="s">
        <v>778</v>
      </c>
      <c r="AX39" s="1" t="s">
        <v>778</v>
      </c>
      <c r="AY39" s="1" t="s">
        <v>778</v>
      </c>
      <c r="BE39" s="1" t="s">
        <v>778</v>
      </c>
      <c r="BJ39" s="1" t="s">
        <v>778</v>
      </c>
      <c r="BR39" s="1" t="s">
        <v>778</v>
      </c>
      <c r="CZ39" s="1" t="s">
        <v>778</v>
      </c>
      <c r="EI39" s="1" t="s">
        <v>778</v>
      </c>
      <c r="GJ39" s="1" t="s">
        <v>778</v>
      </c>
    </row>
    <row r="40" spans="1:202" ht="58" x14ac:dyDescent="0.35">
      <c r="A40" s="1" t="s">
        <v>776</v>
      </c>
      <c r="B40" s="1" t="s">
        <v>24</v>
      </c>
      <c r="C40" s="1" t="s">
        <v>815</v>
      </c>
      <c r="D40" s="1" t="s">
        <v>778</v>
      </c>
      <c r="E40" s="1" t="s">
        <v>778</v>
      </c>
      <c r="F40" s="1" t="s">
        <v>778</v>
      </c>
      <c r="G40" s="1" t="s">
        <v>778</v>
      </c>
      <c r="H40" s="1" t="s">
        <v>778</v>
      </c>
      <c r="AE40" s="1" t="s">
        <v>778</v>
      </c>
      <c r="AH40" s="1" t="s">
        <v>778</v>
      </c>
      <c r="CZ40" s="1" t="s">
        <v>778</v>
      </c>
    </row>
    <row r="41" spans="1:202" ht="43.5" x14ac:dyDescent="0.35">
      <c r="A41" s="1" t="s">
        <v>776</v>
      </c>
      <c r="B41" s="1" t="s">
        <v>24</v>
      </c>
      <c r="C41" s="1" t="s">
        <v>816</v>
      </c>
      <c r="D41" s="1" t="s">
        <v>778</v>
      </c>
      <c r="E41" s="1" t="s">
        <v>778</v>
      </c>
      <c r="F41" s="1" t="s">
        <v>778</v>
      </c>
      <c r="G41" s="1" t="s">
        <v>778</v>
      </c>
      <c r="H41" s="1" t="s">
        <v>778</v>
      </c>
      <c r="AW41" s="1" t="s">
        <v>778</v>
      </c>
      <c r="AX41" s="1" t="s">
        <v>778</v>
      </c>
      <c r="BL41" s="1" t="s">
        <v>778</v>
      </c>
      <c r="BR41" s="1" t="s">
        <v>778</v>
      </c>
      <c r="BS41" s="1" t="s">
        <v>778</v>
      </c>
      <c r="BZ41" s="1" t="s">
        <v>778</v>
      </c>
      <c r="CA41" s="1" t="s">
        <v>778</v>
      </c>
      <c r="CC41" s="1" t="s">
        <v>778</v>
      </c>
      <c r="GF41" s="1" t="s">
        <v>778</v>
      </c>
      <c r="GG41" s="1" t="s">
        <v>778</v>
      </c>
    </row>
    <row r="42" spans="1:202" ht="43.5" x14ac:dyDescent="0.35">
      <c r="A42" s="1" t="s">
        <v>776</v>
      </c>
      <c r="B42" s="1" t="s">
        <v>24</v>
      </c>
      <c r="C42" s="1" t="s">
        <v>816</v>
      </c>
      <c r="D42" s="1" t="s">
        <v>778</v>
      </c>
      <c r="E42" s="1" t="s">
        <v>778</v>
      </c>
      <c r="F42" s="1" t="s">
        <v>778</v>
      </c>
      <c r="G42" s="1" t="s">
        <v>778</v>
      </c>
      <c r="H42" s="1" t="s">
        <v>778</v>
      </c>
      <c r="AW42" s="1" t="s">
        <v>778</v>
      </c>
      <c r="BZ42" s="1" t="s">
        <v>778</v>
      </c>
      <c r="CA42" s="1" t="s">
        <v>778</v>
      </c>
      <c r="CC42" s="1" t="s">
        <v>778</v>
      </c>
      <c r="FH42" s="1" t="s">
        <v>778</v>
      </c>
      <c r="FI42" s="1" t="s">
        <v>778</v>
      </c>
      <c r="GF42" s="1" t="s">
        <v>778</v>
      </c>
      <c r="GG42" s="1" t="s">
        <v>778</v>
      </c>
    </row>
    <row r="43" spans="1:202" ht="43.5" x14ac:dyDescent="0.35">
      <c r="A43" s="1" t="s">
        <v>776</v>
      </c>
      <c r="B43" s="1" t="s">
        <v>24</v>
      </c>
      <c r="C43" s="1" t="s">
        <v>817</v>
      </c>
      <c r="D43" s="1" t="s">
        <v>778</v>
      </c>
      <c r="E43" s="1" t="s">
        <v>778</v>
      </c>
      <c r="F43" s="1" t="s">
        <v>778</v>
      </c>
      <c r="G43" s="1" t="s">
        <v>778</v>
      </c>
      <c r="H43" s="1" t="s">
        <v>778</v>
      </c>
      <c r="FH43" s="1" t="s">
        <v>778</v>
      </c>
      <c r="FI43" s="1" t="s">
        <v>778</v>
      </c>
    </row>
    <row r="44" spans="1:202" ht="43.5" x14ac:dyDescent="0.35">
      <c r="A44" s="1" t="s">
        <v>776</v>
      </c>
      <c r="B44" s="1" t="s">
        <v>24</v>
      </c>
      <c r="C44" s="1" t="s">
        <v>818</v>
      </c>
      <c r="D44" s="1" t="s">
        <v>778</v>
      </c>
      <c r="E44" s="1" t="s">
        <v>778</v>
      </c>
      <c r="F44" s="1" t="s">
        <v>778</v>
      </c>
      <c r="G44" s="1" t="s">
        <v>778</v>
      </c>
      <c r="H44" s="1" t="s">
        <v>778</v>
      </c>
      <c r="I44" s="1" t="s">
        <v>778</v>
      </c>
      <c r="CM44" s="1" t="s">
        <v>778</v>
      </c>
      <c r="CN44" s="1" t="s">
        <v>778</v>
      </c>
      <c r="CO44" s="1" t="s">
        <v>778</v>
      </c>
      <c r="CP44" s="1" t="s">
        <v>778</v>
      </c>
      <c r="CQ44" s="1" t="s">
        <v>778</v>
      </c>
      <c r="DE44" s="1" t="s">
        <v>778</v>
      </c>
    </row>
    <row r="45" spans="1:202" ht="43.5" x14ac:dyDescent="0.35">
      <c r="A45" s="1" t="s">
        <v>776</v>
      </c>
      <c r="B45" s="1" t="s">
        <v>24</v>
      </c>
      <c r="C45" s="1" t="s">
        <v>819</v>
      </c>
      <c r="D45" s="1" t="s">
        <v>778</v>
      </c>
      <c r="E45" s="1" t="s">
        <v>778</v>
      </c>
      <c r="F45" s="1" t="s">
        <v>778</v>
      </c>
      <c r="G45" s="1" t="s">
        <v>778</v>
      </c>
      <c r="H45" s="1" t="s">
        <v>778</v>
      </c>
      <c r="EJ45" s="1" t="s">
        <v>778</v>
      </c>
      <c r="EK45" s="1" t="s">
        <v>778</v>
      </c>
      <c r="EL45" s="1" t="s">
        <v>778</v>
      </c>
      <c r="EM45" s="1" t="s">
        <v>778</v>
      </c>
      <c r="GJ45" s="1" t="s">
        <v>778</v>
      </c>
      <c r="GK45" s="1" t="s">
        <v>778</v>
      </c>
      <c r="GL45" s="1" t="s">
        <v>778</v>
      </c>
      <c r="GM45" s="1" t="s">
        <v>778</v>
      </c>
      <c r="GN45" s="1" t="s">
        <v>778</v>
      </c>
      <c r="GO45" s="1" t="s">
        <v>778</v>
      </c>
      <c r="GP45" s="1" t="s">
        <v>778</v>
      </c>
    </row>
    <row r="46" spans="1:202" ht="43.5" x14ac:dyDescent="0.35">
      <c r="A46" s="1" t="s">
        <v>776</v>
      </c>
      <c r="B46" s="1" t="s">
        <v>820</v>
      </c>
      <c r="C46" s="1" t="s">
        <v>821</v>
      </c>
      <c r="D46" s="1" t="s">
        <v>778</v>
      </c>
      <c r="E46" s="1" t="s">
        <v>778</v>
      </c>
      <c r="F46" s="1" t="s">
        <v>778</v>
      </c>
      <c r="G46" s="1" t="s">
        <v>778</v>
      </c>
      <c r="H46" s="1" t="s">
        <v>778</v>
      </c>
      <c r="AW46" s="1" t="s">
        <v>778</v>
      </c>
      <c r="BC46" s="1" t="s">
        <v>778</v>
      </c>
      <c r="BZ46" s="1" t="s">
        <v>778</v>
      </c>
      <c r="CA46" s="1" t="s">
        <v>778</v>
      </c>
      <c r="CB46" s="1" t="s">
        <v>778</v>
      </c>
      <c r="CC46" s="1" t="s">
        <v>778</v>
      </c>
      <c r="CD46" s="1" t="s">
        <v>778</v>
      </c>
      <c r="CE46" s="1" t="s">
        <v>778</v>
      </c>
      <c r="GS46" s="1" t="s">
        <v>778</v>
      </c>
      <c r="GT46" s="1" t="s">
        <v>778</v>
      </c>
    </row>
    <row r="47" spans="1:202" ht="43.5" x14ac:dyDescent="0.35">
      <c r="A47" s="1" t="s">
        <v>776</v>
      </c>
      <c r="B47" s="1" t="s">
        <v>820</v>
      </c>
      <c r="C47" s="1" t="s">
        <v>822</v>
      </c>
      <c r="D47" s="1" t="s">
        <v>778</v>
      </c>
      <c r="E47" s="1" t="s">
        <v>778</v>
      </c>
      <c r="F47" s="1" t="s">
        <v>778</v>
      </c>
      <c r="G47" s="1" t="s">
        <v>778</v>
      </c>
      <c r="H47" s="1" t="s">
        <v>778</v>
      </c>
      <c r="AW47" s="1" t="s">
        <v>778</v>
      </c>
      <c r="AX47" s="1" t="s">
        <v>778</v>
      </c>
      <c r="BL47" s="1" t="s">
        <v>778</v>
      </c>
      <c r="BR47" s="1" t="s">
        <v>778</v>
      </c>
      <c r="BS47" s="1" t="s">
        <v>778</v>
      </c>
      <c r="BZ47" s="1" t="s">
        <v>778</v>
      </c>
      <c r="CA47" s="1" t="s">
        <v>778</v>
      </c>
      <c r="CB47" s="1" t="s">
        <v>778</v>
      </c>
      <c r="CC47" s="1" t="s">
        <v>778</v>
      </c>
      <c r="CD47" s="1" t="s">
        <v>778</v>
      </c>
      <c r="CE47" s="1" t="s">
        <v>778</v>
      </c>
      <c r="GS47" s="1" t="s">
        <v>778</v>
      </c>
    </row>
    <row r="48" spans="1:202" ht="43.5" x14ac:dyDescent="0.35">
      <c r="A48" s="1" t="s">
        <v>776</v>
      </c>
      <c r="B48" s="1" t="s">
        <v>820</v>
      </c>
      <c r="C48" s="1" t="s">
        <v>823</v>
      </c>
      <c r="D48" s="1" t="s">
        <v>778</v>
      </c>
      <c r="E48" s="1" t="s">
        <v>778</v>
      </c>
      <c r="F48" s="1" t="s">
        <v>778</v>
      </c>
      <c r="G48" s="1" t="s">
        <v>778</v>
      </c>
      <c r="AW48" s="1" t="s">
        <v>778</v>
      </c>
      <c r="BC48" s="1" t="s">
        <v>778</v>
      </c>
      <c r="BN48" s="1" t="s">
        <v>778</v>
      </c>
      <c r="BZ48" s="1" t="s">
        <v>778</v>
      </c>
      <c r="CA48" s="1" t="s">
        <v>778</v>
      </c>
      <c r="CB48" s="1" t="s">
        <v>778</v>
      </c>
      <c r="CC48" s="1" t="s">
        <v>778</v>
      </c>
      <c r="CD48" s="1" t="s">
        <v>778</v>
      </c>
      <c r="CE48" s="1" t="s">
        <v>778</v>
      </c>
      <c r="GS48" s="1" t="s">
        <v>778</v>
      </c>
      <c r="GT48" s="1" t="s">
        <v>778</v>
      </c>
    </row>
    <row r="49" spans="1:245" ht="43.5" x14ac:dyDescent="0.35">
      <c r="A49" s="1" t="s">
        <v>776</v>
      </c>
      <c r="B49" s="1" t="s">
        <v>820</v>
      </c>
      <c r="C49" s="1" t="s">
        <v>824</v>
      </c>
      <c r="D49" s="1" t="s">
        <v>778</v>
      </c>
      <c r="E49" s="1" t="s">
        <v>778</v>
      </c>
      <c r="F49" s="1" t="s">
        <v>778</v>
      </c>
      <c r="G49" s="1" t="s">
        <v>778</v>
      </c>
      <c r="H49" s="1" t="s">
        <v>778</v>
      </c>
      <c r="BC49" s="1" t="s">
        <v>778</v>
      </c>
      <c r="BZ49" s="1" t="s">
        <v>778</v>
      </c>
      <c r="CA49" s="1" t="s">
        <v>778</v>
      </c>
      <c r="CB49" s="1" t="s">
        <v>778</v>
      </c>
      <c r="CC49" s="1" t="s">
        <v>778</v>
      </c>
      <c r="CD49" s="1" t="s">
        <v>778</v>
      </c>
      <c r="CE49" s="1" t="s">
        <v>778</v>
      </c>
      <c r="FG49" s="1" t="s">
        <v>778</v>
      </c>
      <c r="GS49" s="1" t="s">
        <v>778</v>
      </c>
      <c r="GT49" s="1" t="s">
        <v>778</v>
      </c>
    </row>
    <row r="50" spans="1:245" ht="58" x14ac:dyDescent="0.35">
      <c r="A50" s="1" t="s">
        <v>776</v>
      </c>
      <c r="B50" s="1" t="s">
        <v>820</v>
      </c>
      <c r="C50" s="1" t="s">
        <v>825</v>
      </c>
      <c r="D50" s="1" t="s">
        <v>778</v>
      </c>
      <c r="E50" s="1" t="s">
        <v>778</v>
      </c>
      <c r="F50" s="1" t="s">
        <v>778</v>
      </c>
      <c r="G50" s="1" t="s">
        <v>778</v>
      </c>
      <c r="H50" s="1" t="s">
        <v>778</v>
      </c>
      <c r="AW50" s="1" t="s">
        <v>778</v>
      </c>
      <c r="BC50" s="1" t="s">
        <v>778</v>
      </c>
      <c r="BZ50" s="1" t="s">
        <v>778</v>
      </c>
      <c r="CA50" s="1" t="s">
        <v>778</v>
      </c>
      <c r="CB50" s="1" t="s">
        <v>778</v>
      </c>
      <c r="CC50" s="1" t="s">
        <v>778</v>
      </c>
      <c r="CD50" s="1" t="s">
        <v>778</v>
      </c>
      <c r="CE50" s="1" t="s">
        <v>778</v>
      </c>
      <c r="FH50" s="1" t="s">
        <v>778</v>
      </c>
      <c r="GS50" s="1" t="s">
        <v>778</v>
      </c>
      <c r="GT50" s="1" t="s">
        <v>778</v>
      </c>
    </row>
    <row r="51" spans="1:245" ht="58" x14ac:dyDescent="0.35">
      <c r="A51" s="1" t="s">
        <v>776</v>
      </c>
      <c r="B51" s="1" t="s">
        <v>820</v>
      </c>
      <c r="C51" s="1" t="s">
        <v>826</v>
      </c>
      <c r="D51" s="1" t="s">
        <v>778</v>
      </c>
      <c r="E51" s="1" t="s">
        <v>778</v>
      </c>
      <c r="F51" s="1" t="s">
        <v>778</v>
      </c>
      <c r="G51" s="1" t="s">
        <v>778</v>
      </c>
      <c r="H51" s="1" t="s">
        <v>778</v>
      </c>
      <c r="AJ51" s="1" t="s">
        <v>778</v>
      </c>
      <c r="AW51" s="1" t="s">
        <v>778</v>
      </c>
      <c r="BC51" s="1" t="s">
        <v>778</v>
      </c>
      <c r="BZ51" s="1" t="s">
        <v>778</v>
      </c>
      <c r="CA51" s="1" t="s">
        <v>778</v>
      </c>
      <c r="CB51" s="1" t="s">
        <v>778</v>
      </c>
      <c r="CC51" s="1" t="s">
        <v>778</v>
      </c>
      <c r="CD51" s="1" t="s">
        <v>778</v>
      </c>
      <c r="CE51" s="1" t="s">
        <v>778</v>
      </c>
      <c r="GT51" s="1" t="s">
        <v>778</v>
      </c>
      <c r="GW51" s="1" t="s">
        <v>778</v>
      </c>
    </row>
    <row r="52" spans="1:245" ht="43.5" x14ac:dyDescent="0.35">
      <c r="A52" s="1" t="s">
        <v>776</v>
      </c>
      <c r="B52" s="1" t="s">
        <v>820</v>
      </c>
      <c r="C52" s="3" t="s">
        <v>827</v>
      </c>
      <c r="D52" s="1" t="s">
        <v>778</v>
      </c>
      <c r="E52" s="1" t="s">
        <v>778</v>
      </c>
      <c r="F52" s="1" t="s">
        <v>778</v>
      </c>
      <c r="G52" s="1" t="s">
        <v>778</v>
      </c>
      <c r="H52" s="1" t="s">
        <v>778</v>
      </c>
      <c r="AE52" s="1" t="s">
        <v>778</v>
      </c>
      <c r="AH52" s="1" t="s">
        <v>778</v>
      </c>
      <c r="AW52" s="1" t="s">
        <v>778</v>
      </c>
      <c r="BC52" s="1" t="s">
        <v>778</v>
      </c>
      <c r="BZ52" s="1" t="s">
        <v>778</v>
      </c>
      <c r="CA52" s="1" t="s">
        <v>778</v>
      </c>
      <c r="CB52" s="1" t="s">
        <v>778</v>
      </c>
      <c r="CC52" s="1" t="s">
        <v>778</v>
      </c>
      <c r="CD52" s="1" t="s">
        <v>778</v>
      </c>
      <c r="CE52" s="1" t="s">
        <v>778</v>
      </c>
      <c r="GS52" s="1" t="s">
        <v>778</v>
      </c>
    </row>
    <row r="53" spans="1:245" ht="58" x14ac:dyDescent="0.35">
      <c r="A53" s="1" t="s">
        <v>776</v>
      </c>
      <c r="B53" s="1" t="s">
        <v>820</v>
      </c>
      <c r="C53" s="1" t="s">
        <v>828</v>
      </c>
      <c r="D53" s="1" t="s">
        <v>778</v>
      </c>
      <c r="E53" s="1" t="s">
        <v>778</v>
      </c>
      <c r="F53" s="1" t="s">
        <v>778</v>
      </c>
      <c r="G53" s="1" t="s">
        <v>778</v>
      </c>
      <c r="H53" s="1" t="s">
        <v>778</v>
      </c>
      <c r="I53" s="1" t="s">
        <v>778</v>
      </c>
      <c r="J53" s="1" t="s">
        <v>778</v>
      </c>
      <c r="AD53" s="1" t="s">
        <v>778</v>
      </c>
      <c r="AF53" s="1" t="s">
        <v>778</v>
      </c>
      <c r="BE53" s="1" t="s">
        <v>778</v>
      </c>
      <c r="FG53" s="1" t="s">
        <v>778</v>
      </c>
      <c r="GT53" s="1" t="s">
        <v>778</v>
      </c>
      <c r="HA53" s="1" t="s">
        <v>778</v>
      </c>
      <c r="HB53" s="1" t="s">
        <v>778</v>
      </c>
      <c r="HC53" s="1" t="s">
        <v>778</v>
      </c>
    </row>
    <row r="54" spans="1:245" ht="72.5" x14ac:dyDescent="0.35">
      <c r="A54" s="1" t="s">
        <v>776</v>
      </c>
      <c r="B54" s="1" t="s">
        <v>820</v>
      </c>
      <c r="C54" s="1" t="s">
        <v>829</v>
      </c>
      <c r="D54" s="1" t="s">
        <v>778</v>
      </c>
      <c r="E54" s="1" t="s">
        <v>778</v>
      </c>
      <c r="F54" s="1" t="s">
        <v>778</v>
      </c>
      <c r="G54" s="1" t="s">
        <v>778</v>
      </c>
      <c r="H54" s="1" t="s">
        <v>778</v>
      </c>
      <c r="AK54" s="1" t="s">
        <v>778</v>
      </c>
      <c r="AL54" s="1" t="s">
        <v>778</v>
      </c>
      <c r="AS54" s="1" t="s">
        <v>778</v>
      </c>
      <c r="ER54" s="1" t="s">
        <v>778</v>
      </c>
    </row>
    <row r="55" spans="1:245" ht="58" x14ac:dyDescent="0.35">
      <c r="A55" s="1" t="s">
        <v>776</v>
      </c>
      <c r="B55" s="1" t="s">
        <v>820</v>
      </c>
      <c r="C55" s="1" t="s">
        <v>830</v>
      </c>
      <c r="D55" s="1" t="s">
        <v>778</v>
      </c>
      <c r="E55" s="1" t="s">
        <v>778</v>
      </c>
      <c r="F55" s="1" t="s">
        <v>778</v>
      </c>
      <c r="G55" s="1" t="s">
        <v>778</v>
      </c>
      <c r="H55" s="1" t="s">
        <v>778</v>
      </c>
      <c r="HD55" s="1" t="s">
        <v>778</v>
      </c>
      <c r="HE55" s="1" t="s">
        <v>778</v>
      </c>
      <c r="HF55" s="1" t="s">
        <v>778</v>
      </c>
      <c r="HG55" s="1" t="s">
        <v>778</v>
      </c>
      <c r="HH55" s="1" t="s">
        <v>778</v>
      </c>
      <c r="HI55" s="1" t="s">
        <v>778</v>
      </c>
      <c r="HJ55" s="1" t="s">
        <v>778</v>
      </c>
      <c r="HL55" s="1" t="s">
        <v>778</v>
      </c>
      <c r="HM55" s="1" t="s">
        <v>778</v>
      </c>
      <c r="HN55" s="1" t="s">
        <v>778</v>
      </c>
      <c r="HO55" s="1" t="s">
        <v>778</v>
      </c>
      <c r="HP55" s="1" t="s">
        <v>778</v>
      </c>
      <c r="HQ55" s="1" t="s">
        <v>778</v>
      </c>
      <c r="HR55" s="1" t="s">
        <v>778</v>
      </c>
      <c r="HS55" s="1" t="s">
        <v>778</v>
      </c>
      <c r="HU55" s="1" t="s">
        <v>778</v>
      </c>
    </row>
    <row r="56" spans="1:245" ht="43.5" x14ac:dyDescent="0.35">
      <c r="A56" s="1" t="s">
        <v>776</v>
      </c>
      <c r="B56" s="1" t="s">
        <v>820</v>
      </c>
      <c r="C56" s="1" t="s">
        <v>831</v>
      </c>
      <c r="D56" s="1" t="s">
        <v>778</v>
      </c>
      <c r="E56" s="1" t="s">
        <v>778</v>
      </c>
      <c r="F56" s="1" t="s">
        <v>778</v>
      </c>
      <c r="G56" s="1" t="s">
        <v>778</v>
      </c>
      <c r="H56" s="1" t="s">
        <v>778</v>
      </c>
      <c r="HD56" s="1" t="s">
        <v>778</v>
      </c>
      <c r="HE56" s="1" t="s">
        <v>778</v>
      </c>
      <c r="HF56" s="1" t="s">
        <v>778</v>
      </c>
      <c r="HG56" s="1" t="s">
        <v>778</v>
      </c>
      <c r="HH56" s="1" t="s">
        <v>778</v>
      </c>
      <c r="HI56" s="1" t="s">
        <v>778</v>
      </c>
      <c r="HJ56" s="1" t="s">
        <v>778</v>
      </c>
      <c r="HL56" s="1" t="s">
        <v>778</v>
      </c>
    </row>
    <row r="57" spans="1:245" ht="58" x14ac:dyDescent="0.35">
      <c r="A57" s="1" t="s">
        <v>776</v>
      </c>
      <c r="B57" s="1" t="s">
        <v>820</v>
      </c>
      <c r="C57" s="1" t="s">
        <v>832</v>
      </c>
      <c r="D57" s="1" t="s">
        <v>778</v>
      </c>
      <c r="E57" s="1" t="s">
        <v>778</v>
      </c>
      <c r="F57" s="1" t="s">
        <v>778</v>
      </c>
      <c r="G57" s="1" t="s">
        <v>778</v>
      </c>
      <c r="H57" s="1" t="s">
        <v>778</v>
      </c>
      <c r="AJ57" s="1" t="s">
        <v>778</v>
      </c>
      <c r="AQ57" s="1" t="s">
        <v>778</v>
      </c>
      <c r="BG57" s="1" t="s">
        <v>778</v>
      </c>
      <c r="DN57" s="1" t="s">
        <v>778</v>
      </c>
      <c r="DO57" s="1" t="s">
        <v>778</v>
      </c>
      <c r="DP57" s="1" t="s">
        <v>778</v>
      </c>
      <c r="DX57" s="1" t="s">
        <v>778</v>
      </c>
      <c r="DY57" s="1" t="s">
        <v>778</v>
      </c>
      <c r="DZ57" s="1" t="s">
        <v>778</v>
      </c>
      <c r="EA57" s="1" t="s">
        <v>778</v>
      </c>
      <c r="HV57" s="1" t="s">
        <v>778</v>
      </c>
    </row>
    <row r="58" spans="1:245" ht="58" x14ac:dyDescent="0.35">
      <c r="A58" s="1" t="s">
        <v>776</v>
      </c>
      <c r="B58" s="1" t="s">
        <v>820</v>
      </c>
      <c r="C58" s="1" t="s">
        <v>833</v>
      </c>
      <c r="D58" s="1" t="s">
        <v>778</v>
      </c>
      <c r="E58" s="1" t="s">
        <v>778</v>
      </c>
      <c r="F58" s="1" t="s">
        <v>778</v>
      </c>
      <c r="G58" s="1" t="s">
        <v>778</v>
      </c>
      <c r="H58" s="1" t="s">
        <v>778</v>
      </c>
      <c r="I58" s="1" t="s">
        <v>778</v>
      </c>
      <c r="J58" s="1" t="s">
        <v>778</v>
      </c>
      <c r="M58" s="1" t="s">
        <v>778</v>
      </c>
      <c r="O58" s="1" t="s">
        <v>778</v>
      </c>
      <c r="P58" s="1" t="s">
        <v>778</v>
      </c>
      <c r="Q58" s="1" t="s">
        <v>778</v>
      </c>
      <c r="AQ58" s="1" t="s">
        <v>778</v>
      </c>
      <c r="BH58" s="1" t="s">
        <v>778</v>
      </c>
      <c r="DF58" s="1" t="s">
        <v>778</v>
      </c>
      <c r="DQ58" s="1" t="s">
        <v>778</v>
      </c>
    </row>
    <row r="59" spans="1:245" ht="43.5" x14ac:dyDescent="0.35">
      <c r="A59" s="1" t="s">
        <v>776</v>
      </c>
      <c r="B59" s="1" t="s">
        <v>820</v>
      </c>
      <c r="C59" s="1" t="s">
        <v>834</v>
      </c>
      <c r="D59" s="1" t="s">
        <v>778</v>
      </c>
      <c r="E59" s="1" t="s">
        <v>778</v>
      </c>
      <c r="F59" s="1" t="s">
        <v>778</v>
      </c>
      <c r="G59" s="1" t="s">
        <v>778</v>
      </c>
      <c r="H59" s="1" t="s">
        <v>778</v>
      </c>
      <c r="I59" s="1" t="s">
        <v>778</v>
      </c>
      <c r="J59" s="1" t="s">
        <v>778</v>
      </c>
      <c r="M59" s="1" t="s">
        <v>778</v>
      </c>
      <c r="N59" s="1" t="s">
        <v>778</v>
      </c>
      <c r="AV59" s="1" t="s">
        <v>778</v>
      </c>
      <c r="AX59" s="1" t="s">
        <v>778</v>
      </c>
      <c r="BS59" s="1" t="s">
        <v>778</v>
      </c>
      <c r="HM59" s="1" t="s">
        <v>778</v>
      </c>
      <c r="HW59" s="1" t="s">
        <v>778</v>
      </c>
      <c r="HX59" s="1" t="s">
        <v>778</v>
      </c>
      <c r="HY59" s="1" t="s">
        <v>778</v>
      </c>
      <c r="HZ59" s="1" t="s">
        <v>778</v>
      </c>
      <c r="IA59" s="1" t="s">
        <v>778</v>
      </c>
      <c r="IB59" s="1" t="s">
        <v>778</v>
      </c>
      <c r="IC59" s="1" t="s">
        <v>778</v>
      </c>
      <c r="ID59" s="1" t="s">
        <v>778</v>
      </c>
      <c r="IE59" s="1" t="s">
        <v>778</v>
      </c>
    </row>
    <row r="60" spans="1:245" ht="43.5" x14ac:dyDescent="0.35">
      <c r="A60" s="1" t="s">
        <v>776</v>
      </c>
      <c r="B60" s="1" t="s">
        <v>820</v>
      </c>
      <c r="C60" s="1" t="s">
        <v>835</v>
      </c>
      <c r="D60" s="1" t="s">
        <v>778</v>
      </c>
      <c r="E60" s="1" t="s">
        <v>778</v>
      </c>
      <c r="F60" s="1" t="s">
        <v>778</v>
      </c>
      <c r="G60" s="1" t="s">
        <v>778</v>
      </c>
      <c r="H60" s="1" t="s">
        <v>778</v>
      </c>
      <c r="AV60" s="1" t="s">
        <v>778</v>
      </c>
      <c r="AX60" s="1" t="s">
        <v>778</v>
      </c>
      <c r="BJ60" s="1" t="s">
        <v>778</v>
      </c>
      <c r="BK60" s="1" t="s">
        <v>778</v>
      </c>
      <c r="BR60" s="1" t="s">
        <v>778</v>
      </c>
      <c r="HM60" s="1" t="s">
        <v>778</v>
      </c>
      <c r="HW60" s="1" t="s">
        <v>778</v>
      </c>
      <c r="HX60" s="1" t="s">
        <v>778</v>
      </c>
      <c r="HY60" s="1" t="s">
        <v>778</v>
      </c>
      <c r="HZ60" s="1" t="s">
        <v>778</v>
      </c>
      <c r="IA60" s="1" t="s">
        <v>778</v>
      </c>
      <c r="IB60" s="1" t="s">
        <v>778</v>
      </c>
      <c r="IC60" s="1" t="s">
        <v>778</v>
      </c>
      <c r="ID60" s="1" t="s">
        <v>778</v>
      </c>
      <c r="IE60" s="1" t="s">
        <v>778</v>
      </c>
    </row>
    <row r="61" spans="1:245" ht="43.5" x14ac:dyDescent="0.35">
      <c r="A61" s="1" t="s">
        <v>776</v>
      </c>
      <c r="B61" s="1" t="s">
        <v>820</v>
      </c>
      <c r="C61" s="1" t="s">
        <v>836</v>
      </c>
      <c r="D61" s="1" t="s">
        <v>778</v>
      </c>
      <c r="E61" s="1" t="s">
        <v>778</v>
      </c>
      <c r="F61" s="1" t="s">
        <v>778</v>
      </c>
      <c r="G61" s="1" t="s">
        <v>778</v>
      </c>
      <c r="H61" s="1" t="s">
        <v>778</v>
      </c>
      <c r="AV61" s="1" t="s">
        <v>778</v>
      </c>
      <c r="BS61" s="1" t="s">
        <v>778</v>
      </c>
      <c r="BT61" s="1" t="s">
        <v>778</v>
      </c>
      <c r="HM61" s="1" t="s">
        <v>778</v>
      </c>
      <c r="HW61" s="1" t="s">
        <v>778</v>
      </c>
      <c r="HX61" s="1" t="s">
        <v>778</v>
      </c>
      <c r="HY61" s="1" t="s">
        <v>778</v>
      </c>
      <c r="HZ61" s="1" t="s">
        <v>778</v>
      </c>
      <c r="IA61" s="1" t="s">
        <v>778</v>
      </c>
      <c r="IB61" s="1" t="s">
        <v>778</v>
      </c>
      <c r="IC61" s="1" t="s">
        <v>778</v>
      </c>
      <c r="ID61" s="1" t="s">
        <v>778</v>
      </c>
      <c r="IE61" s="1" t="s">
        <v>778</v>
      </c>
    </row>
    <row r="62" spans="1:245" ht="43.5" x14ac:dyDescent="0.35">
      <c r="A62" s="1" t="s">
        <v>776</v>
      </c>
      <c r="B62" s="1" t="s">
        <v>820</v>
      </c>
      <c r="C62" s="1" t="s">
        <v>837</v>
      </c>
      <c r="D62" s="1" t="s">
        <v>778</v>
      </c>
      <c r="E62" s="1" t="s">
        <v>778</v>
      </c>
      <c r="F62" s="1" t="s">
        <v>778</v>
      </c>
      <c r="G62" s="1" t="s">
        <v>778</v>
      </c>
      <c r="H62" s="1" t="s">
        <v>778</v>
      </c>
      <c r="HD62" s="1" t="s">
        <v>778</v>
      </c>
      <c r="HM62" s="1" t="s">
        <v>778</v>
      </c>
      <c r="HW62" s="1" t="s">
        <v>778</v>
      </c>
      <c r="HX62" s="1" t="s">
        <v>778</v>
      </c>
      <c r="HY62" s="1" t="s">
        <v>778</v>
      </c>
      <c r="HZ62" s="1" t="s">
        <v>778</v>
      </c>
      <c r="IB62" s="1" t="s">
        <v>778</v>
      </c>
      <c r="IC62" s="1" t="s">
        <v>778</v>
      </c>
      <c r="ID62" s="1" t="s">
        <v>778</v>
      </c>
      <c r="IE62" s="1" t="s">
        <v>778</v>
      </c>
    </row>
    <row r="63" spans="1:245" ht="58" x14ac:dyDescent="0.35">
      <c r="A63" s="1" t="s">
        <v>776</v>
      </c>
      <c r="B63" s="1" t="s">
        <v>820</v>
      </c>
      <c r="C63" s="1" t="s">
        <v>838</v>
      </c>
      <c r="D63" s="1" t="s">
        <v>778</v>
      </c>
      <c r="E63" s="1" t="s">
        <v>778</v>
      </c>
      <c r="F63" s="1" t="s">
        <v>778</v>
      </c>
      <c r="G63" s="1" t="s">
        <v>778</v>
      </c>
      <c r="H63" s="1" t="s">
        <v>778</v>
      </c>
      <c r="AQ63" s="1" t="s">
        <v>778</v>
      </c>
      <c r="AU63" s="1" t="s">
        <v>778</v>
      </c>
      <c r="BN63" s="1" t="s">
        <v>778</v>
      </c>
      <c r="FH63" s="1" t="s">
        <v>778</v>
      </c>
      <c r="FI63" s="1" t="s">
        <v>778</v>
      </c>
      <c r="FJ63" s="1" t="s">
        <v>778</v>
      </c>
      <c r="HD63" s="1" t="s">
        <v>778</v>
      </c>
      <c r="HE63" s="1" t="s">
        <v>778</v>
      </c>
      <c r="HF63" s="1" t="s">
        <v>778</v>
      </c>
      <c r="HG63" s="1" t="s">
        <v>778</v>
      </c>
      <c r="HH63" s="1" t="s">
        <v>778</v>
      </c>
      <c r="HI63" s="1" t="s">
        <v>778</v>
      </c>
      <c r="HJ63" s="1" t="s">
        <v>778</v>
      </c>
      <c r="HK63" s="1" t="s">
        <v>778</v>
      </c>
      <c r="HL63" s="1" t="s">
        <v>778</v>
      </c>
    </row>
    <row r="64" spans="1:245" ht="58" x14ac:dyDescent="0.35">
      <c r="A64" s="1" t="s">
        <v>776</v>
      </c>
      <c r="B64" s="1" t="s">
        <v>820</v>
      </c>
      <c r="C64" s="1" t="s">
        <v>839</v>
      </c>
      <c r="D64" s="1" t="s">
        <v>778</v>
      </c>
      <c r="E64" s="1" t="s">
        <v>778</v>
      </c>
      <c r="F64" s="1" t="s">
        <v>778</v>
      </c>
      <c r="G64" s="1" t="s">
        <v>778</v>
      </c>
      <c r="H64" s="1" t="s">
        <v>778</v>
      </c>
      <c r="CK64" s="1" t="s">
        <v>778</v>
      </c>
      <c r="CL64" s="1" t="s">
        <v>778</v>
      </c>
      <c r="IF64" s="1" t="s">
        <v>778</v>
      </c>
      <c r="IG64" s="1" t="s">
        <v>778</v>
      </c>
      <c r="IH64" s="1" t="s">
        <v>778</v>
      </c>
      <c r="II64" s="1" t="s">
        <v>778</v>
      </c>
      <c r="IJ64" s="1" t="s">
        <v>778</v>
      </c>
      <c r="IK64" s="1" t="s">
        <v>778</v>
      </c>
    </row>
    <row r="65" spans="1:258" ht="58" x14ac:dyDescent="0.35">
      <c r="A65" s="1" t="s">
        <v>776</v>
      </c>
      <c r="B65" s="1" t="s">
        <v>820</v>
      </c>
      <c r="C65" s="1" t="s">
        <v>840</v>
      </c>
      <c r="D65" s="1" t="s">
        <v>778</v>
      </c>
      <c r="E65" s="1" t="s">
        <v>778</v>
      </c>
      <c r="F65" s="1" t="s">
        <v>778</v>
      </c>
      <c r="G65" s="1" t="s">
        <v>778</v>
      </c>
      <c r="H65" s="1" t="s">
        <v>778</v>
      </c>
      <c r="I65" s="1" t="s">
        <v>778</v>
      </c>
      <c r="J65" s="1" t="s">
        <v>778</v>
      </c>
      <c r="N65" s="1" t="s">
        <v>778</v>
      </c>
      <c r="O65" s="1" t="s">
        <v>778</v>
      </c>
      <c r="P65" s="1" t="s">
        <v>778</v>
      </c>
      <c r="Q65" s="1" t="s">
        <v>778</v>
      </c>
      <c r="AF65" s="1" t="s">
        <v>778</v>
      </c>
      <c r="AH65" s="1" t="s">
        <v>778</v>
      </c>
      <c r="BC65" s="1" t="s">
        <v>778</v>
      </c>
      <c r="BD65" s="1" t="s">
        <v>778</v>
      </c>
      <c r="IL65" s="1" t="s">
        <v>778</v>
      </c>
      <c r="IN65" s="1" t="s">
        <v>778</v>
      </c>
      <c r="IO65" s="1" t="s">
        <v>778</v>
      </c>
      <c r="IP65" s="1" t="s">
        <v>778</v>
      </c>
      <c r="IQ65" s="1" t="s">
        <v>778</v>
      </c>
      <c r="IR65" s="1" t="s">
        <v>778</v>
      </c>
    </row>
    <row r="66" spans="1:258" ht="58" x14ac:dyDescent="0.35">
      <c r="A66" s="1" t="s">
        <v>776</v>
      </c>
      <c r="B66" s="1" t="s">
        <v>820</v>
      </c>
      <c r="C66" s="1" t="s">
        <v>841</v>
      </c>
      <c r="D66" s="1" t="s">
        <v>778</v>
      </c>
      <c r="E66" s="1" t="s">
        <v>778</v>
      </c>
      <c r="F66" s="1" t="s">
        <v>778</v>
      </c>
      <c r="G66" s="1" t="s">
        <v>778</v>
      </c>
      <c r="H66" s="1" t="s">
        <v>778</v>
      </c>
      <c r="I66" s="1" t="s">
        <v>778</v>
      </c>
      <c r="J66" s="1" t="s">
        <v>778</v>
      </c>
      <c r="N66" s="1" t="s">
        <v>778</v>
      </c>
      <c r="O66" s="1" t="s">
        <v>778</v>
      </c>
      <c r="Z66" s="1" t="s">
        <v>778</v>
      </c>
      <c r="AA66" s="1" t="s">
        <v>778</v>
      </c>
      <c r="AX66" s="1" t="s">
        <v>778</v>
      </c>
      <c r="BE66" s="1" t="s">
        <v>778</v>
      </c>
      <c r="BS66" s="1" t="s">
        <v>778</v>
      </c>
      <c r="IS66" s="1" t="s">
        <v>778</v>
      </c>
      <c r="IT66" s="1" t="s">
        <v>778</v>
      </c>
      <c r="IU66" s="1" t="s">
        <v>778</v>
      </c>
    </row>
    <row r="67" spans="1:258" ht="58" x14ac:dyDescent="0.35">
      <c r="A67" s="1" t="s">
        <v>776</v>
      </c>
      <c r="B67" s="1" t="s">
        <v>820</v>
      </c>
      <c r="C67" s="1" t="s">
        <v>842</v>
      </c>
      <c r="D67" s="1" t="s">
        <v>778</v>
      </c>
      <c r="E67" s="1" t="s">
        <v>778</v>
      </c>
      <c r="F67" s="1" t="s">
        <v>778</v>
      </c>
      <c r="G67" s="1" t="s">
        <v>778</v>
      </c>
      <c r="H67" s="1" t="s">
        <v>778</v>
      </c>
      <c r="I67" s="1" t="s">
        <v>778</v>
      </c>
      <c r="J67" s="1" t="s">
        <v>778</v>
      </c>
      <c r="N67" s="1" t="s">
        <v>778</v>
      </c>
      <c r="O67" s="1" t="s">
        <v>778</v>
      </c>
      <c r="Z67" s="1" t="s">
        <v>778</v>
      </c>
      <c r="AA67" s="1" t="s">
        <v>778</v>
      </c>
      <c r="AU67" s="1" t="s">
        <v>778</v>
      </c>
      <c r="AX67" s="1" t="s">
        <v>778</v>
      </c>
      <c r="BS67" s="1" t="s">
        <v>778</v>
      </c>
      <c r="HD67" s="1" t="s">
        <v>778</v>
      </c>
      <c r="HE67" s="1" t="s">
        <v>778</v>
      </c>
      <c r="HF67" s="1" t="s">
        <v>778</v>
      </c>
      <c r="HG67" s="1" t="s">
        <v>778</v>
      </c>
      <c r="HH67" s="1" t="s">
        <v>778</v>
      </c>
      <c r="HI67" s="1" t="s">
        <v>778</v>
      </c>
      <c r="HJ67" s="1" t="s">
        <v>778</v>
      </c>
      <c r="HK67" s="1" t="s">
        <v>778</v>
      </c>
      <c r="HL67" s="1" t="s">
        <v>778</v>
      </c>
      <c r="HM67" s="1" t="s">
        <v>778</v>
      </c>
      <c r="HN67" s="1" t="s">
        <v>778</v>
      </c>
      <c r="HO67" s="1" t="s">
        <v>778</v>
      </c>
      <c r="HP67" s="1" t="s">
        <v>778</v>
      </c>
      <c r="HQ67" s="1" t="s">
        <v>778</v>
      </c>
      <c r="HR67" s="1" t="s">
        <v>778</v>
      </c>
      <c r="HS67" s="1" t="s">
        <v>778</v>
      </c>
      <c r="HT67" s="1" t="s">
        <v>778</v>
      </c>
      <c r="HU67" s="1" t="s">
        <v>778</v>
      </c>
    </row>
    <row r="68" spans="1:258" ht="43.5" x14ac:dyDescent="0.35">
      <c r="A68" s="1" t="s">
        <v>776</v>
      </c>
      <c r="B68" s="1" t="s">
        <v>820</v>
      </c>
      <c r="C68" s="1" t="s">
        <v>843</v>
      </c>
      <c r="D68" s="1" t="s">
        <v>778</v>
      </c>
      <c r="E68" s="1" t="s">
        <v>778</v>
      </c>
      <c r="F68" s="1" t="s">
        <v>778</v>
      </c>
      <c r="G68" s="1" t="s">
        <v>778</v>
      </c>
      <c r="H68" s="1" t="s">
        <v>778</v>
      </c>
      <c r="I68" s="1" t="s">
        <v>778</v>
      </c>
      <c r="J68" s="1" t="s">
        <v>778</v>
      </c>
      <c r="K68" s="1" t="s">
        <v>778</v>
      </c>
      <c r="L68" s="1" t="s">
        <v>778</v>
      </c>
      <c r="M68" s="1" t="s">
        <v>778</v>
      </c>
      <c r="N68" s="1" t="s">
        <v>778</v>
      </c>
      <c r="O68" s="1" t="s">
        <v>778</v>
      </c>
      <c r="P68" s="1" t="s">
        <v>778</v>
      </c>
      <c r="Q68" s="1" t="s">
        <v>778</v>
      </c>
      <c r="AS68" s="1" t="s">
        <v>778</v>
      </c>
      <c r="CZ68" s="1" t="s">
        <v>778</v>
      </c>
      <c r="DB68" s="1" t="s">
        <v>778</v>
      </c>
      <c r="DF68" s="1" t="s">
        <v>778</v>
      </c>
      <c r="DH68" s="1" t="s">
        <v>778</v>
      </c>
      <c r="DQ68" s="1" t="s">
        <v>778</v>
      </c>
      <c r="DW68" s="1" t="s">
        <v>778</v>
      </c>
      <c r="IV68" s="1" t="s">
        <v>778</v>
      </c>
      <c r="IW68" s="1" t="s">
        <v>778</v>
      </c>
    </row>
    <row r="69" spans="1:258" ht="43.5" x14ac:dyDescent="0.35">
      <c r="A69" s="1" t="s">
        <v>776</v>
      </c>
      <c r="B69" s="1" t="s">
        <v>820</v>
      </c>
      <c r="C69" s="1" t="s">
        <v>844</v>
      </c>
      <c r="D69" s="1" t="s">
        <v>778</v>
      </c>
      <c r="E69" s="1" t="s">
        <v>778</v>
      </c>
      <c r="F69" s="1" t="s">
        <v>778</v>
      </c>
      <c r="G69" s="1" t="s">
        <v>778</v>
      </c>
      <c r="H69" s="1" t="s">
        <v>778</v>
      </c>
      <c r="HD69" s="1" t="s">
        <v>778</v>
      </c>
      <c r="HE69" s="1" t="s">
        <v>778</v>
      </c>
      <c r="HF69" s="1" t="s">
        <v>778</v>
      </c>
      <c r="HG69" s="1" t="s">
        <v>778</v>
      </c>
      <c r="HH69" s="1" t="s">
        <v>778</v>
      </c>
      <c r="HI69" s="1" t="s">
        <v>778</v>
      </c>
      <c r="HJ69" s="1" t="s">
        <v>778</v>
      </c>
      <c r="HK69" s="1" t="s">
        <v>778</v>
      </c>
      <c r="HL69" s="1" t="s">
        <v>778</v>
      </c>
    </row>
    <row r="70" spans="1:258" ht="43.5" x14ac:dyDescent="0.35">
      <c r="A70" s="1" t="s">
        <v>776</v>
      </c>
      <c r="B70" s="1" t="s">
        <v>820</v>
      </c>
      <c r="C70" s="1" t="s">
        <v>845</v>
      </c>
      <c r="D70" s="1" t="s">
        <v>778</v>
      </c>
      <c r="E70" s="1" t="s">
        <v>778</v>
      </c>
      <c r="F70" s="1" t="s">
        <v>778</v>
      </c>
      <c r="G70" s="1" t="s">
        <v>778</v>
      </c>
      <c r="H70" s="1" t="s">
        <v>778</v>
      </c>
      <c r="AJ70" s="1" t="s">
        <v>778</v>
      </c>
      <c r="DQ70" s="1" t="s">
        <v>778</v>
      </c>
      <c r="FG70" s="1" t="s">
        <v>778</v>
      </c>
      <c r="IX70" s="1" t="s">
        <v>778</v>
      </c>
    </row>
    <row r="71" spans="1:258" ht="43.5" x14ac:dyDescent="0.35">
      <c r="A71" s="1" t="s">
        <v>776</v>
      </c>
      <c r="B71" s="1" t="s">
        <v>820</v>
      </c>
      <c r="C71" s="1" t="s">
        <v>846</v>
      </c>
      <c r="D71" s="1" t="s">
        <v>778</v>
      </c>
      <c r="E71" s="1" t="s">
        <v>778</v>
      </c>
      <c r="F71" s="1" t="s">
        <v>778</v>
      </c>
      <c r="G71" s="1" t="s">
        <v>778</v>
      </c>
      <c r="H71" s="1" t="s">
        <v>778</v>
      </c>
      <c r="I71" s="1" t="s">
        <v>778</v>
      </c>
      <c r="AJ71" s="1" t="s">
        <v>778</v>
      </c>
      <c r="DF71" s="1" t="s">
        <v>778</v>
      </c>
      <c r="DL71" s="1" t="s">
        <v>778</v>
      </c>
      <c r="DQ71" s="1" t="s">
        <v>778</v>
      </c>
      <c r="EC71" s="1" t="s">
        <v>778</v>
      </c>
      <c r="FG71" s="1" t="s">
        <v>778</v>
      </c>
      <c r="FJ71" s="1" t="s">
        <v>778</v>
      </c>
    </row>
    <row r="72" spans="1:258" ht="58" x14ac:dyDescent="0.35">
      <c r="A72" s="1" t="s">
        <v>776</v>
      </c>
      <c r="B72" s="1" t="s">
        <v>820</v>
      </c>
      <c r="C72" s="1" t="s">
        <v>847</v>
      </c>
      <c r="D72" s="1" t="s">
        <v>778</v>
      </c>
      <c r="E72" s="1" t="s">
        <v>778</v>
      </c>
      <c r="F72" s="1" t="s">
        <v>778</v>
      </c>
      <c r="G72" s="1" t="s">
        <v>778</v>
      </c>
      <c r="H72" s="1" t="s">
        <v>778</v>
      </c>
      <c r="AD72" s="1" t="s">
        <v>778</v>
      </c>
      <c r="AN72" s="1" t="s">
        <v>778</v>
      </c>
      <c r="ES72" s="1" t="s">
        <v>778</v>
      </c>
      <c r="ET72" s="1" t="s">
        <v>778</v>
      </c>
      <c r="FA72" s="1" t="s">
        <v>778</v>
      </c>
      <c r="FE72" s="1" t="s">
        <v>778</v>
      </c>
    </row>
    <row r="73" spans="1:258" ht="87" x14ac:dyDescent="0.35">
      <c r="A73" s="1" t="s">
        <v>776</v>
      </c>
      <c r="B73" s="1" t="s">
        <v>820</v>
      </c>
      <c r="C73" s="1" t="s">
        <v>848</v>
      </c>
      <c r="D73" s="1" t="s">
        <v>778</v>
      </c>
      <c r="E73" s="1" t="s">
        <v>778</v>
      </c>
      <c r="F73" s="1" t="s">
        <v>778</v>
      </c>
      <c r="G73" s="1" t="s">
        <v>778</v>
      </c>
      <c r="H73" s="1" t="s">
        <v>778</v>
      </c>
      <c r="AQ73" s="1" t="s">
        <v>778</v>
      </c>
      <c r="AU73" s="1" t="s">
        <v>778</v>
      </c>
      <c r="BJ73" s="1" t="s">
        <v>778</v>
      </c>
      <c r="BK73" s="1" t="s">
        <v>778</v>
      </c>
      <c r="BR73" s="1" t="s">
        <v>778</v>
      </c>
      <c r="FJ73" s="1" t="s">
        <v>778</v>
      </c>
      <c r="HD73" s="1" t="s">
        <v>778</v>
      </c>
      <c r="HE73" s="1" t="s">
        <v>778</v>
      </c>
      <c r="HF73" s="1" t="s">
        <v>778</v>
      </c>
      <c r="HG73" s="1" t="s">
        <v>778</v>
      </c>
      <c r="HH73" s="1" t="s">
        <v>778</v>
      </c>
      <c r="HI73" s="1" t="s">
        <v>778</v>
      </c>
      <c r="HJ73" s="1" t="s">
        <v>778</v>
      </c>
      <c r="HK73" s="1" t="s">
        <v>778</v>
      </c>
      <c r="HL73" s="1" t="s">
        <v>778</v>
      </c>
      <c r="HM73" s="1" t="s">
        <v>778</v>
      </c>
      <c r="HN73" s="1" t="s">
        <v>778</v>
      </c>
      <c r="HO73" s="1" t="s">
        <v>778</v>
      </c>
      <c r="HP73" s="1" t="s">
        <v>778</v>
      </c>
      <c r="HQ73" s="1" t="s">
        <v>778</v>
      </c>
      <c r="HR73" s="1" t="s">
        <v>778</v>
      </c>
      <c r="HS73" s="1" t="s">
        <v>778</v>
      </c>
      <c r="HT73" s="1" t="s">
        <v>778</v>
      </c>
      <c r="HU73" s="1" t="s">
        <v>778</v>
      </c>
    </row>
    <row r="74" spans="1:258" ht="58" x14ac:dyDescent="0.35">
      <c r="A74" s="1" t="s">
        <v>776</v>
      </c>
      <c r="B74" s="1" t="s">
        <v>820</v>
      </c>
      <c r="C74" s="1" t="s">
        <v>849</v>
      </c>
      <c r="D74" s="1" t="s">
        <v>778</v>
      </c>
      <c r="E74" s="1" t="s">
        <v>778</v>
      </c>
      <c r="F74" s="1" t="s">
        <v>778</v>
      </c>
      <c r="G74" s="1" t="s">
        <v>778</v>
      </c>
      <c r="H74" s="1" t="s">
        <v>778</v>
      </c>
      <c r="AU74" s="1" t="s">
        <v>778</v>
      </c>
      <c r="AX74" s="1" t="s">
        <v>778</v>
      </c>
      <c r="BJ74" s="1" t="s">
        <v>778</v>
      </c>
      <c r="BR74" s="1" t="s">
        <v>778</v>
      </c>
      <c r="BS74" s="1" t="s">
        <v>778</v>
      </c>
      <c r="BT74" s="1" t="s">
        <v>778</v>
      </c>
      <c r="FJ74" s="1" t="s">
        <v>778</v>
      </c>
      <c r="HD74" s="1" t="s">
        <v>778</v>
      </c>
      <c r="HE74" s="1" t="s">
        <v>778</v>
      </c>
      <c r="HF74" s="1" t="s">
        <v>778</v>
      </c>
      <c r="HG74" s="1" t="s">
        <v>778</v>
      </c>
      <c r="HH74" s="1" t="s">
        <v>778</v>
      </c>
      <c r="HI74" s="1" t="s">
        <v>778</v>
      </c>
      <c r="HJ74" s="1" t="s">
        <v>778</v>
      </c>
      <c r="HK74" s="1" t="s">
        <v>778</v>
      </c>
      <c r="HL74" s="1" t="s">
        <v>778</v>
      </c>
      <c r="HM74" s="1" t="s">
        <v>778</v>
      </c>
      <c r="HN74" s="1" t="s">
        <v>778</v>
      </c>
      <c r="HO74" s="1" t="s">
        <v>778</v>
      </c>
      <c r="HP74" s="1" t="s">
        <v>778</v>
      </c>
      <c r="HQ74" s="1" t="s">
        <v>778</v>
      </c>
      <c r="HR74" s="1" t="s">
        <v>778</v>
      </c>
      <c r="HS74" s="1" t="s">
        <v>778</v>
      </c>
      <c r="HT74" s="1" t="s">
        <v>778</v>
      </c>
      <c r="HU74" s="1" t="s">
        <v>778</v>
      </c>
    </row>
    <row r="75" spans="1:258" ht="58" x14ac:dyDescent="0.35">
      <c r="A75" s="1" t="s">
        <v>776</v>
      </c>
      <c r="B75" s="1" t="s">
        <v>820</v>
      </c>
      <c r="C75" s="1" t="s">
        <v>850</v>
      </c>
      <c r="D75" s="1" t="s">
        <v>778</v>
      </c>
      <c r="E75" s="1" t="s">
        <v>778</v>
      </c>
      <c r="F75" s="1" t="s">
        <v>778</v>
      </c>
      <c r="G75" s="1" t="s">
        <v>778</v>
      </c>
      <c r="H75" s="1" t="s">
        <v>778</v>
      </c>
      <c r="AD75" s="1" t="s">
        <v>778</v>
      </c>
      <c r="AN75" s="1" t="s">
        <v>778</v>
      </c>
      <c r="ES75" s="1" t="s">
        <v>778</v>
      </c>
      <c r="ET75" s="1" t="s">
        <v>778</v>
      </c>
      <c r="FA75" s="1" t="s">
        <v>778</v>
      </c>
      <c r="FE75" s="1" t="s">
        <v>778</v>
      </c>
    </row>
    <row r="76" spans="1:258" ht="43.5" x14ac:dyDescent="0.35">
      <c r="A76" s="1" t="s">
        <v>776</v>
      </c>
      <c r="B76" s="1" t="s">
        <v>820</v>
      </c>
      <c r="C76" s="1" t="s">
        <v>851</v>
      </c>
      <c r="D76" s="1" t="s">
        <v>778</v>
      </c>
      <c r="E76" s="1" t="s">
        <v>778</v>
      </c>
      <c r="F76" s="1" t="s">
        <v>778</v>
      </c>
      <c r="G76" s="1" t="s">
        <v>778</v>
      </c>
      <c r="H76" s="1" t="s">
        <v>778</v>
      </c>
      <c r="AJ76" s="1" t="s">
        <v>778</v>
      </c>
      <c r="BE76" s="1" t="s">
        <v>778</v>
      </c>
      <c r="FH76" s="1" t="s">
        <v>778</v>
      </c>
      <c r="FI76" s="1" t="s">
        <v>778</v>
      </c>
      <c r="GJ76" s="1" t="s">
        <v>778</v>
      </c>
    </row>
    <row r="77" spans="1:258" ht="72.5" x14ac:dyDescent="0.35">
      <c r="A77" s="1" t="s">
        <v>776</v>
      </c>
      <c r="B77" s="1" t="s">
        <v>820</v>
      </c>
      <c r="C77" s="1" t="s">
        <v>852</v>
      </c>
      <c r="D77" s="1" t="s">
        <v>778</v>
      </c>
      <c r="E77" s="1" t="s">
        <v>778</v>
      </c>
      <c r="F77" s="1" t="s">
        <v>778</v>
      </c>
      <c r="G77" s="1" t="s">
        <v>778</v>
      </c>
      <c r="H77" s="1" t="s">
        <v>778</v>
      </c>
      <c r="FH77" s="1" t="s">
        <v>778</v>
      </c>
      <c r="FI77" s="1" t="s">
        <v>778</v>
      </c>
      <c r="HD77" s="1" t="s">
        <v>778</v>
      </c>
      <c r="HE77" s="1" t="s">
        <v>778</v>
      </c>
      <c r="HF77" s="1" t="s">
        <v>778</v>
      </c>
      <c r="HG77" s="1" t="s">
        <v>778</v>
      </c>
      <c r="HH77" s="1" t="s">
        <v>778</v>
      </c>
      <c r="HI77" s="1" t="s">
        <v>778</v>
      </c>
      <c r="HJ77" s="1" t="s">
        <v>778</v>
      </c>
      <c r="HK77" s="1" t="s">
        <v>778</v>
      </c>
      <c r="HL77" s="1" t="s">
        <v>778</v>
      </c>
      <c r="HM77" s="1" t="s">
        <v>778</v>
      </c>
      <c r="HN77" s="1" t="s">
        <v>778</v>
      </c>
      <c r="HO77" s="1" t="s">
        <v>778</v>
      </c>
      <c r="HP77" s="1" t="s">
        <v>778</v>
      </c>
      <c r="HQ77" s="1" t="s">
        <v>778</v>
      </c>
      <c r="HR77" s="1" t="s">
        <v>778</v>
      </c>
      <c r="HS77" s="1" t="s">
        <v>778</v>
      </c>
      <c r="HT77" s="1" t="s">
        <v>778</v>
      </c>
      <c r="HU77" s="1" t="s">
        <v>778</v>
      </c>
    </row>
    <row r="78" spans="1:258" ht="58" x14ac:dyDescent="0.35">
      <c r="A78" s="1" t="s">
        <v>776</v>
      </c>
      <c r="B78" s="1" t="s">
        <v>820</v>
      </c>
      <c r="C78" s="1" t="s">
        <v>853</v>
      </c>
      <c r="D78" s="1" t="s">
        <v>778</v>
      </c>
      <c r="E78" s="1" t="s">
        <v>778</v>
      </c>
      <c r="F78" s="1" t="s">
        <v>778</v>
      </c>
      <c r="G78" s="1" t="s">
        <v>778</v>
      </c>
      <c r="H78" s="1" t="s">
        <v>778</v>
      </c>
      <c r="AU78" s="1" t="s">
        <v>778</v>
      </c>
      <c r="AY78" s="1" t="s">
        <v>778</v>
      </c>
      <c r="BE78" s="1" t="s">
        <v>778</v>
      </c>
      <c r="BF78" s="1" t="s">
        <v>778</v>
      </c>
      <c r="GJ78" s="1" t="s">
        <v>778</v>
      </c>
      <c r="IS78" s="1" t="s">
        <v>778</v>
      </c>
    </row>
    <row r="79" spans="1:258" ht="72.5" x14ac:dyDescent="0.35">
      <c r="A79" s="1" t="s">
        <v>776</v>
      </c>
      <c r="B79" s="1" t="s">
        <v>820</v>
      </c>
      <c r="C79" s="1" t="s">
        <v>854</v>
      </c>
      <c r="D79" s="1" t="s">
        <v>778</v>
      </c>
      <c r="E79" s="1" t="s">
        <v>778</v>
      </c>
      <c r="F79" s="1" t="s">
        <v>778</v>
      </c>
      <c r="G79" s="1" t="s">
        <v>778</v>
      </c>
      <c r="H79" s="1" t="s">
        <v>778</v>
      </c>
      <c r="BE79" s="1" t="s">
        <v>778</v>
      </c>
      <c r="DG79" s="1" t="s">
        <v>778</v>
      </c>
      <c r="DM79" s="1" t="s">
        <v>778</v>
      </c>
      <c r="EE79" s="1" t="s">
        <v>778</v>
      </c>
      <c r="EF79" s="1" t="s">
        <v>778</v>
      </c>
    </row>
    <row r="80" spans="1:258" ht="87" x14ac:dyDescent="0.35">
      <c r="A80" s="1" t="s">
        <v>776</v>
      </c>
      <c r="B80" s="1" t="s">
        <v>820</v>
      </c>
      <c r="C80" s="1" t="s">
        <v>855</v>
      </c>
      <c r="D80" s="1" t="s">
        <v>778</v>
      </c>
      <c r="E80" s="1" t="s">
        <v>778</v>
      </c>
      <c r="F80" s="1" t="s">
        <v>778</v>
      </c>
      <c r="G80" s="1" t="s">
        <v>778</v>
      </c>
      <c r="H80" s="1" t="s">
        <v>778</v>
      </c>
      <c r="EJ80" s="1" t="s">
        <v>778</v>
      </c>
      <c r="EK80" s="1" t="s">
        <v>778</v>
      </c>
      <c r="EL80" s="1" t="s">
        <v>778</v>
      </c>
      <c r="EM80" s="1" t="s">
        <v>778</v>
      </c>
      <c r="GJ80" s="1" t="s">
        <v>778</v>
      </c>
      <c r="GK80" s="1" t="s">
        <v>778</v>
      </c>
      <c r="GL80" s="1" t="s">
        <v>778</v>
      </c>
      <c r="GM80" s="1" t="s">
        <v>778</v>
      </c>
      <c r="GN80" s="1" t="s">
        <v>778</v>
      </c>
      <c r="GO80" s="1" t="s">
        <v>778</v>
      </c>
      <c r="GP80" s="1" t="s">
        <v>778</v>
      </c>
    </row>
    <row r="81" spans="1:481" ht="43.5" x14ac:dyDescent="0.35">
      <c r="A81" s="1" t="s">
        <v>776</v>
      </c>
      <c r="B81" s="1" t="s">
        <v>820</v>
      </c>
      <c r="C81" s="1" t="s">
        <v>856</v>
      </c>
      <c r="D81" s="1" t="s">
        <v>778</v>
      </c>
      <c r="E81" s="1" t="s">
        <v>778</v>
      </c>
      <c r="F81" s="1" t="s">
        <v>778</v>
      </c>
      <c r="G81" s="1" t="s">
        <v>778</v>
      </c>
      <c r="H81" s="1" t="s">
        <v>778</v>
      </c>
      <c r="FB81" s="1" t="s">
        <v>778</v>
      </c>
      <c r="FC81" s="1" t="s">
        <v>778</v>
      </c>
      <c r="FD81" s="1" t="s">
        <v>778</v>
      </c>
    </row>
    <row r="82" spans="1:481" ht="58" x14ac:dyDescent="0.35">
      <c r="A82" s="1" t="s">
        <v>776</v>
      </c>
      <c r="B82" s="1" t="s">
        <v>48</v>
      </c>
      <c r="C82" s="1" t="s">
        <v>857</v>
      </c>
      <c r="D82" s="1" t="s">
        <v>778</v>
      </c>
      <c r="E82" s="1" t="s">
        <v>778</v>
      </c>
      <c r="F82" s="1" t="s">
        <v>778</v>
      </c>
      <c r="G82" s="1" t="s">
        <v>778</v>
      </c>
      <c r="H82" s="1" t="s">
        <v>778</v>
      </c>
      <c r="FJ82" s="1" t="s">
        <v>778</v>
      </c>
      <c r="RF82" s="1" t="s">
        <v>778</v>
      </c>
      <c r="RJ82" s="1" t="s">
        <v>778</v>
      </c>
      <c r="RK82" s="1" t="s">
        <v>778</v>
      </c>
      <c r="RL82" s="1" t="s">
        <v>778</v>
      </c>
      <c r="RM82" s="1" t="s">
        <v>778</v>
      </c>
    </row>
    <row r="83" spans="1:481" ht="43.5" x14ac:dyDescent="0.35">
      <c r="A83" s="1" t="s">
        <v>776</v>
      </c>
      <c r="B83" s="1" t="s">
        <v>48</v>
      </c>
      <c r="C83" s="1" t="s">
        <v>858</v>
      </c>
      <c r="D83" s="1" t="s">
        <v>778</v>
      </c>
      <c r="E83" s="1" t="s">
        <v>778</v>
      </c>
      <c r="F83" s="1" t="s">
        <v>778</v>
      </c>
      <c r="G83" s="1" t="s">
        <v>778</v>
      </c>
      <c r="H83" s="1" t="s">
        <v>778</v>
      </c>
      <c r="AJ83" s="1" t="s">
        <v>778</v>
      </c>
      <c r="BB83" s="1" t="s">
        <v>778</v>
      </c>
      <c r="CB83" s="1">
        <v>1</v>
      </c>
      <c r="FJ83" s="1" t="s">
        <v>778</v>
      </c>
      <c r="RH83" s="1" t="s">
        <v>778</v>
      </c>
      <c r="RI83" s="1" t="s">
        <v>778</v>
      </c>
    </row>
    <row r="84" spans="1:481" ht="116" x14ac:dyDescent="0.35">
      <c r="A84" s="1" t="s">
        <v>859</v>
      </c>
      <c r="B84" s="1" t="s">
        <v>860</v>
      </c>
      <c r="C84" s="1" t="s">
        <v>861</v>
      </c>
      <c r="D84" s="1" t="s">
        <v>778</v>
      </c>
      <c r="E84" s="1" t="s">
        <v>778</v>
      </c>
      <c r="F84" s="1" t="s">
        <v>778</v>
      </c>
      <c r="G84" s="1" t="s">
        <v>778</v>
      </c>
      <c r="H84" s="1" t="s">
        <v>778</v>
      </c>
      <c r="I84" s="1" t="s">
        <v>778</v>
      </c>
      <c r="J84" s="1" t="s">
        <v>778</v>
      </c>
      <c r="K84" s="1" t="s">
        <v>778</v>
      </c>
      <c r="L84" s="1" t="s">
        <v>778</v>
      </c>
      <c r="M84" s="1" t="s">
        <v>778</v>
      </c>
      <c r="AD84" s="1" t="s">
        <v>778</v>
      </c>
      <c r="AF84" s="1" t="s">
        <v>778</v>
      </c>
      <c r="AR84" s="1" t="s">
        <v>778</v>
      </c>
      <c r="AX84" s="1" t="s">
        <v>778</v>
      </c>
      <c r="JB84" s="1" t="s">
        <v>778</v>
      </c>
    </row>
    <row r="85" spans="1:481" ht="116" x14ac:dyDescent="0.35">
      <c r="A85" s="1" t="s">
        <v>859</v>
      </c>
      <c r="B85" s="1" t="s">
        <v>860</v>
      </c>
      <c r="C85" s="1" t="s">
        <v>862</v>
      </c>
      <c r="D85" s="1" t="s">
        <v>778</v>
      </c>
      <c r="E85" s="1" t="s">
        <v>778</v>
      </c>
      <c r="F85" s="1" t="s">
        <v>778</v>
      </c>
      <c r="G85" s="1" t="s">
        <v>778</v>
      </c>
      <c r="H85" s="1" t="s">
        <v>778</v>
      </c>
      <c r="I85" s="1" t="s">
        <v>778</v>
      </c>
      <c r="J85" s="1" t="s">
        <v>778</v>
      </c>
      <c r="K85" s="1" t="s">
        <v>778</v>
      </c>
      <c r="L85" s="1" t="s">
        <v>778</v>
      </c>
      <c r="AF85" s="1" t="s">
        <v>778</v>
      </c>
      <c r="AR85" s="1" t="s">
        <v>778</v>
      </c>
      <c r="AX85" s="1" t="s">
        <v>778</v>
      </c>
      <c r="DR85" s="1" t="s">
        <v>778</v>
      </c>
      <c r="DS85" s="1" t="s">
        <v>778</v>
      </c>
      <c r="DT85" s="1" t="s">
        <v>778</v>
      </c>
      <c r="DZ85" s="1" t="s">
        <v>778</v>
      </c>
      <c r="ED85" s="1" t="s">
        <v>778</v>
      </c>
      <c r="IY85" s="1" t="s">
        <v>778</v>
      </c>
      <c r="JB85" s="1" t="s">
        <v>778</v>
      </c>
      <c r="JD85" s="1" t="s">
        <v>778</v>
      </c>
      <c r="JE85" s="1" t="s">
        <v>778</v>
      </c>
      <c r="JF85" s="1" t="s">
        <v>778</v>
      </c>
      <c r="JG85" s="1" t="s">
        <v>778</v>
      </c>
      <c r="JH85" s="1" t="s">
        <v>778</v>
      </c>
      <c r="JJ85" s="1" t="s">
        <v>778</v>
      </c>
      <c r="JK85" s="1" t="s">
        <v>778</v>
      </c>
      <c r="JL85" s="1" t="s">
        <v>778</v>
      </c>
    </row>
    <row r="86" spans="1:481" ht="116" x14ac:dyDescent="0.35">
      <c r="A86" s="1" t="s">
        <v>859</v>
      </c>
      <c r="B86" s="1" t="s">
        <v>860</v>
      </c>
      <c r="C86" s="1" t="s">
        <v>863</v>
      </c>
      <c r="D86" s="1" t="s">
        <v>778</v>
      </c>
      <c r="E86" s="1" t="s">
        <v>778</v>
      </c>
      <c r="F86" s="1" t="s">
        <v>778</v>
      </c>
      <c r="G86" s="1" t="s">
        <v>778</v>
      </c>
      <c r="H86" s="1" t="s">
        <v>778</v>
      </c>
      <c r="I86" s="1" t="s">
        <v>778</v>
      </c>
      <c r="J86" s="1" t="s">
        <v>778</v>
      </c>
      <c r="K86" s="1" t="s">
        <v>778</v>
      </c>
      <c r="L86" s="1" t="s">
        <v>778</v>
      </c>
      <c r="M86" s="1" t="s">
        <v>778</v>
      </c>
      <c r="EB86" s="1" t="s">
        <v>778</v>
      </c>
    </row>
    <row r="87" spans="1:481" ht="116" x14ac:dyDescent="0.35">
      <c r="A87" s="1" t="s">
        <v>859</v>
      </c>
      <c r="B87" s="1" t="s">
        <v>860</v>
      </c>
      <c r="C87" s="1" t="s">
        <v>864</v>
      </c>
      <c r="D87" s="1" t="s">
        <v>778</v>
      </c>
      <c r="E87" s="1" t="s">
        <v>778</v>
      </c>
      <c r="F87" s="1" t="s">
        <v>778</v>
      </c>
      <c r="G87" s="1" t="s">
        <v>778</v>
      </c>
      <c r="H87" s="1" t="s">
        <v>778</v>
      </c>
      <c r="I87" s="1" t="s">
        <v>778</v>
      </c>
      <c r="J87" s="1" t="s">
        <v>778</v>
      </c>
      <c r="K87" s="1" t="s">
        <v>778</v>
      </c>
      <c r="L87" s="1" t="s">
        <v>778</v>
      </c>
      <c r="M87" s="1" t="s">
        <v>778</v>
      </c>
      <c r="AR87" s="1" t="s">
        <v>778</v>
      </c>
    </row>
    <row r="88" spans="1:481" ht="206.5" customHeight="1" x14ac:dyDescent="0.35">
      <c r="A88" s="1" t="s">
        <v>859</v>
      </c>
      <c r="B88" s="1" t="s">
        <v>865</v>
      </c>
      <c r="C88" s="1" t="s">
        <v>866</v>
      </c>
      <c r="D88" s="1" t="s">
        <v>778</v>
      </c>
      <c r="E88" s="1" t="s">
        <v>778</v>
      </c>
      <c r="F88" s="1" t="s">
        <v>778</v>
      </c>
      <c r="G88" s="1" t="s">
        <v>778</v>
      </c>
      <c r="H88" s="1" t="s">
        <v>778</v>
      </c>
      <c r="AR88" s="1" t="s">
        <v>778</v>
      </c>
      <c r="AX88" s="1" t="s">
        <v>778</v>
      </c>
      <c r="DS88" s="1" t="s">
        <v>778</v>
      </c>
      <c r="DT88" s="1" t="s">
        <v>778</v>
      </c>
      <c r="JI88" s="1" t="s">
        <v>778</v>
      </c>
      <c r="JO88" s="1" t="s">
        <v>778</v>
      </c>
      <c r="JP88" s="1" t="s">
        <v>778</v>
      </c>
      <c r="JQ88" s="1" t="s">
        <v>778</v>
      </c>
    </row>
    <row r="89" spans="1:481" ht="101.5" x14ac:dyDescent="0.35">
      <c r="A89" s="1" t="s">
        <v>859</v>
      </c>
      <c r="B89" s="1" t="s">
        <v>865</v>
      </c>
      <c r="C89" s="1" t="s">
        <v>867</v>
      </c>
      <c r="D89" s="1" t="s">
        <v>778</v>
      </c>
      <c r="E89" s="1" t="s">
        <v>778</v>
      </c>
      <c r="F89" s="1" t="s">
        <v>778</v>
      </c>
      <c r="G89" s="1" t="s">
        <v>778</v>
      </c>
      <c r="H89" s="1" t="s">
        <v>778</v>
      </c>
      <c r="AR89" s="1" t="s">
        <v>778</v>
      </c>
      <c r="AX89" s="1" t="s">
        <v>778</v>
      </c>
      <c r="DS89" s="1" t="s">
        <v>778</v>
      </c>
      <c r="DT89" s="1" t="s">
        <v>778</v>
      </c>
      <c r="GQ89" s="1" t="s">
        <v>778</v>
      </c>
      <c r="GR89" s="1" t="s">
        <v>778</v>
      </c>
      <c r="JM89" s="1" t="s">
        <v>778</v>
      </c>
      <c r="JN89" s="1" t="s">
        <v>778</v>
      </c>
      <c r="JR89" s="1" t="s">
        <v>778</v>
      </c>
    </row>
    <row r="90" spans="1:481" ht="101.5" x14ac:dyDescent="0.35">
      <c r="A90" s="1" t="s">
        <v>859</v>
      </c>
      <c r="B90" s="1" t="s">
        <v>76</v>
      </c>
      <c r="C90" s="1" t="s">
        <v>868</v>
      </c>
      <c r="D90" s="1" t="s">
        <v>778</v>
      </c>
      <c r="E90" s="1" t="s">
        <v>778</v>
      </c>
      <c r="F90" s="1" t="s">
        <v>778</v>
      </c>
      <c r="G90" s="1" t="s">
        <v>778</v>
      </c>
      <c r="H90" s="1" t="s">
        <v>778</v>
      </c>
      <c r="I90" s="1" t="s">
        <v>778</v>
      </c>
      <c r="J90" s="1" t="s">
        <v>778</v>
      </c>
      <c r="AP90" s="1" t="s">
        <v>778</v>
      </c>
      <c r="AR90" s="1" t="s">
        <v>778</v>
      </c>
      <c r="AX90" s="1" t="s">
        <v>778</v>
      </c>
      <c r="JG90" s="1" t="s">
        <v>778</v>
      </c>
      <c r="JS90" s="1" t="s">
        <v>778</v>
      </c>
      <c r="JT90" s="1" t="s">
        <v>778</v>
      </c>
      <c r="JU90" s="1" t="s">
        <v>778</v>
      </c>
      <c r="JV90" s="1" t="s">
        <v>778</v>
      </c>
      <c r="JW90" s="1" t="s">
        <v>778</v>
      </c>
      <c r="JX90" s="1" t="s">
        <v>778</v>
      </c>
      <c r="JY90" s="1" t="s">
        <v>778</v>
      </c>
      <c r="JZ90" s="1" t="s">
        <v>778</v>
      </c>
      <c r="KA90" s="1" t="s">
        <v>778</v>
      </c>
      <c r="KB90" s="1" t="s">
        <v>778</v>
      </c>
      <c r="KC90" s="1" t="s">
        <v>778</v>
      </c>
      <c r="KD90" s="1" t="s">
        <v>778</v>
      </c>
      <c r="KE90" s="1" t="s">
        <v>778</v>
      </c>
      <c r="KF90" s="1" t="s">
        <v>778</v>
      </c>
      <c r="KG90" s="1" t="s">
        <v>778</v>
      </c>
      <c r="KH90" s="1" t="s">
        <v>778</v>
      </c>
      <c r="KI90" s="1" t="s">
        <v>778</v>
      </c>
      <c r="KJ90" s="1" t="s">
        <v>778</v>
      </c>
      <c r="KK90" s="1" t="s">
        <v>778</v>
      </c>
      <c r="KL90" s="1" t="s">
        <v>778</v>
      </c>
      <c r="KM90" s="1" t="s">
        <v>778</v>
      </c>
      <c r="KN90" s="1" t="s">
        <v>778</v>
      </c>
      <c r="KO90" s="1" t="s">
        <v>778</v>
      </c>
      <c r="KP90" s="1" t="s">
        <v>778</v>
      </c>
      <c r="KQ90" s="1" t="s">
        <v>778</v>
      </c>
      <c r="KR90" s="1" t="s">
        <v>778</v>
      </c>
      <c r="KS90" s="1" t="s">
        <v>778</v>
      </c>
      <c r="KT90" s="1" t="s">
        <v>778</v>
      </c>
      <c r="KU90" s="1" t="s">
        <v>778</v>
      </c>
      <c r="KV90" s="1" t="s">
        <v>778</v>
      </c>
      <c r="KW90" s="1" t="s">
        <v>778</v>
      </c>
      <c r="KX90" s="1" t="s">
        <v>778</v>
      </c>
      <c r="KY90" s="1" t="s">
        <v>778</v>
      </c>
      <c r="KZ90" s="1" t="s">
        <v>778</v>
      </c>
      <c r="LA90" s="1" t="s">
        <v>778</v>
      </c>
      <c r="LB90" s="1" t="s">
        <v>778</v>
      </c>
      <c r="LC90" s="1" t="s">
        <v>778</v>
      </c>
      <c r="LD90" s="1" t="s">
        <v>778</v>
      </c>
      <c r="LE90" s="1" t="s">
        <v>778</v>
      </c>
      <c r="LF90" s="1" t="s">
        <v>778</v>
      </c>
      <c r="LG90" s="1" t="s">
        <v>778</v>
      </c>
      <c r="LH90" s="1" t="s">
        <v>778</v>
      </c>
      <c r="LI90" s="1" t="s">
        <v>778</v>
      </c>
      <c r="LJ90" s="1" t="s">
        <v>778</v>
      </c>
      <c r="LK90" s="1" t="s">
        <v>778</v>
      </c>
      <c r="LL90" s="1" t="s">
        <v>778</v>
      </c>
      <c r="LM90" s="1" t="s">
        <v>778</v>
      </c>
      <c r="LN90" s="1" t="s">
        <v>778</v>
      </c>
      <c r="LO90" s="1" t="s">
        <v>778</v>
      </c>
      <c r="LP90" s="1" t="s">
        <v>778</v>
      </c>
      <c r="LQ90" s="1" t="s">
        <v>778</v>
      </c>
      <c r="LR90" s="1" t="s">
        <v>778</v>
      </c>
      <c r="LS90" s="1" t="s">
        <v>778</v>
      </c>
      <c r="LT90" s="1" t="s">
        <v>778</v>
      </c>
      <c r="LU90" s="1" t="s">
        <v>778</v>
      </c>
      <c r="LV90" s="1" t="s">
        <v>778</v>
      </c>
      <c r="LW90" s="1" t="s">
        <v>778</v>
      </c>
      <c r="LX90" s="1" t="s">
        <v>778</v>
      </c>
      <c r="LY90" s="1" t="s">
        <v>778</v>
      </c>
      <c r="LZ90" s="1" t="s">
        <v>778</v>
      </c>
      <c r="MA90" s="1" t="s">
        <v>778</v>
      </c>
      <c r="MB90" s="1" t="s">
        <v>778</v>
      </c>
      <c r="MC90" s="1" t="s">
        <v>778</v>
      </c>
      <c r="MD90" s="1" t="s">
        <v>778</v>
      </c>
      <c r="ME90" s="1" t="s">
        <v>778</v>
      </c>
      <c r="MF90" s="1" t="s">
        <v>778</v>
      </c>
      <c r="MG90" s="1" t="s">
        <v>778</v>
      </c>
      <c r="MH90" s="1" t="s">
        <v>778</v>
      </c>
      <c r="MI90" s="1" t="s">
        <v>778</v>
      </c>
      <c r="MJ90" s="1" t="s">
        <v>778</v>
      </c>
      <c r="MK90" s="1" t="s">
        <v>778</v>
      </c>
      <c r="ML90" s="1" t="s">
        <v>778</v>
      </c>
      <c r="MM90" s="1" t="s">
        <v>778</v>
      </c>
      <c r="MN90" s="1" t="s">
        <v>778</v>
      </c>
      <c r="MO90" s="1" t="s">
        <v>778</v>
      </c>
      <c r="MP90" s="1" t="s">
        <v>778</v>
      </c>
      <c r="MQ90" s="1" t="s">
        <v>778</v>
      </c>
      <c r="MR90" s="1" t="s">
        <v>778</v>
      </c>
      <c r="MS90" s="1" t="s">
        <v>778</v>
      </c>
      <c r="MT90" s="1" t="s">
        <v>778</v>
      </c>
      <c r="MU90" s="1" t="s">
        <v>778</v>
      </c>
    </row>
    <row r="91" spans="1:481" ht="29" x14ac:dyDescent="0.35">
      <c r="A91" s="1" t="s">
        <v>859</v>
      </c>
      <c r="B91" s="1" t="s">
        <v>76</v>
      </c>
      <c r="C91" s="1" t="s">
        <v>869</v>
      </c>
      <c r="D91" s="1" t="s">
        <v>778</v>
      </c>
      <c r="E91" s="1" t="s">
        <v>778</v>
      </c>
      <c r="F91" s="1" t="s">
        <v>778</v>
      </c>
      <c r="G91" s="1" t="s">
        <v>778</v>
      </c>
      <c r="H91" s="1" t="s">
        <v>778</v>
      </c>
      <c r="AP91" s="1" t="s">
        <v>778</v>
      </c>
      <c r="AR91" s="1" t="s">
        <v>778</v>
      </c>
      <c r="AX91" s="1" t="s">
        <v>778</v>
      </c>
      <c r="JT91" s="1" t="s">
        <v>778</v>
      </c>
      <c r="KE91" s="1" t="s">
        <v>778</v>
      </c>
      <c r="KG91" s="1" t="s">
        <v>778</v>
      </c>
      <c r="KH91" s="1" t="s">
        <v>778</v>
      </c>
      <c r="MV91" s="1" t="s">
        <v>778</v>
      </c>
      <c r="MW91" s="1" t="s">
        <v>778</v>
      </c>
    </row>
    <row r="92" spans="1:481" ht="72.5" x14ac:dyDescent="0.35">
      <c r="A92" s="1" t="s">
        <v>859</v>
      </c>
      <c r="B92" s="1" t="s">
        <v>76</v>
      </c>
      <c r="C92" s="1" t="s">
        <v>870</v>
      </c>
      <c r="D92" s="1" t="s">
        <v>778</v>
      </c>
      <c r="E92" s="1" t="s">
        <v>778</v>
      </c>
      <c r="F92" s="1" t="s">
        <v>778</v>
      </c>
      <c r="G92" s="1" t="s">
        <v>778</v>
      </c>
      <c r="H92" s="1" t="s">
        <v>778</v>
      </c>
      <c r="JS92" s="1" t="s">
        <v>778</v>
      </c>
      <c r="MX92" s="1" t="s">
        <v>778</v>
      </c>
      <c r="MY92" s="1" t="s">
        <v>778</v>
      </c>
      <c r="MZ92" s="1" t="s">
        <v>778</v>
      </c>
      <c r="NA92" s="1" t="s">
        <v>778</v>
      </c>
      <c r="NB92" s="1" t="s">
        <v>778</v>
      </c>
      <c r="NC92" s="1" t="s">
        <v>778</v>
      </c>
      <c r="ND92" s="1" t="s">
        <v>778</v>
      </c>
      <c r="NE92" s="1" t="s">
        <v>778</v>
      </c>
      <c r="NF92" s="1" t="s">
        <v>778</v>
      </c>
      <c r="NG92" s="1" t="s">
        <v>778</v>
      </c>
      <c r="NH92" s="1" t="s">
        <v>778</v>
      </c>
      <c r="NI92" s="1" t="s">
        <v>778</v>
      </c>
    </row>
    <row r="93" spans="1:481" ht="87" x14ac:dyDescent="0.35">
      <c r="A93" s="1" t="s">
        <v>859</v>
      </c>
      <c r="B93" s="1" t="s">
        <v>63</v>
      </c>
      <c r="C93" s="1" t="s">
        <v>871</v>
      </c>
      <c r="D93" s="1" t="s">
        <v>778</v>
      </c>
      <c r="E93" s="1" t="s">
        <v>778</v>
      </c>
      <c r="F93" s="1" t="s">
        <v>778</v>
      </c>
      <c r="G93" s="1" t="s">
        <v>778</v>
      </c>
      <c r="H93" s="1" t="s">
        <v>778</v>
      </c>
      <c r="AD93" s="1" t="s">
        <v>778</v>
      </c>
      <c r="AF93" s="1" t="s">
        <v>778</v>
      </c>
      <c r="IY93" s="1" t="s">
        <v>778</v>
      </c>
      <c r="JK93" s="1" t="s">
        <v>778</v>
      </c>
      <c r="JL93" s="1" t="s">
        <v>778</v>
      </c>
      <c r="NJ93" s="1" t="s">
        <v>778</v>
      </c>
      <c r="NK93" s="1" t="s">
        <v>778</v>
      </c>
      <c r="NL93" s="1" t="s">
        <v>778</v>
      </c>
      <c r="NP93" s="1" t="s">
        <v>778</v>
      </c>
      <c r="NT93" s="1" t="s">
        <v>778</v>
      </c>
      <c r="NU93" s="1" t="s">
        <v>778</v>
      </c>
      <c r="OI93" s="1" t="s">
        <v>778</v>
      </c>
      <c r="OJ93" s="1" t="s">
        <v>778</v>
      </c>
      <c r="OL93" s="1" t="s">
        <v>778</v>
      </c>
      <c r="OM93" s="1" t="s">
        <v>778</v>
      </c>
      <c r="ON93" s="1" t="s">
        <v>778</v>
      </c>
      <c r="OO93" s="1" t="s">
        <v>778</v>
      </c>
      <c r="OQ93" s="1" t="s">
        <v>778</v>
      </c>
      <c r="OR93" s="1" t="s">
        <v>778</v>
      </c>
      <c r="OS93" s="1" t="s">
        <v>778</v>
      </c>
      <c r="PB93" s="1" t="s">
        <v>778</v>
      </c>
      <c r="PD93" s="1" t="s">
        <v>778</v>
      </c>
      <c r="PE93" s="1" t="s">
        <v>778</v>
      </c>
      <c r="PV93" s="1" t="s">
        <v>778</v>
      </c>
      <c r="PW93" s="1" t="s">
        <v>778</v>
      </c>
      <c r="PX93" s="1" t="s">
        <v>778</v>
      </c>
      <c r="PY93" s="1" t="s">
        <v>778</v>
      </c>
      <c r="PZ93" s="1" t="s">
        <v>778</v>
      </c>
      <c r="QA93" s="1" t="s">
        <v>778</v>
      </c>
      <c r="QB93" s="1" t="s">
        <v>778</v>
      </c>
      <c r="QC93" s="1" t="s">
        <v>778</v>
      </c>
      <c r="QD93" s="1" t="s">
        <v>778</v>
      </c>
    </row>
    <row r="94" spans="1:481" ht="58" x14ac:dyDescent="0.35">
      <c r="A94" s="1" t="s">
        <v>859</v>
      </c>
      <c r="B94" s="1" t="s">
        <v>63</v>
      </c>
      <c r="C94" s="1" t="s">
        <v>872</v>
      </c>
      <c r="D94" s="1" t="s">
        <v>778</v>
      </c>
      <c r="E94" s="1" t="s">
        <v>778</v>
      </c>
      <c r="F94" s="1" t="s">
        <v>778</v>
      </c>
      <c r="G94" s="1" t="s">
        <v>778</v>
      </c>
      <c r="H94" s="1" t="s">
        <v>778</v>
      </c>
      <c r="I94" s="1" t="s">
        <v>778</v>
      </c>
      <c r="J94" s="1" t="s">
        <v>778</v>
      </c>
      <c r="K94" s="1" t="s">
        <v>778</v>
      </c>
      <c r="L94" s="1" t="s">
        <v>778</v>
      </c>
      <c r="M94" s="1" t="s">
        <v>778</v>
      </c>
      <c r="N94" s="1" t="s">
        <v>778</v>
      </c>
      <c r="O94" s="1" t="s">
        <v>778</v>
      </c>
      <c r="P94" s="1" t="s">
        <v>778</v>
      </c>
      <c r="Q94" s="1" t="s">
        <v>778</v>
      </c>
      <c r="V94" s="1" t="s">
        <v>778</v>
      </c>
      <c r="W94" s="1" t="s">
        <v>778</v>
      </c>
      <c r="AD94" s="1" t="s">
        <v>778</v>
      </c>
      <c r="AF94" s="1" t="s">
        <v>778</v>
      </c>
      <c r="IY94" s="1" t="s">
        <v>778</v>
      </c>
      <c r="JK94" s="1" t="s">
        <v>778</v>
      </c>
      <c r="JL94" s="1" t="s">
        <v>778</v>
      </c>
      <c r="NJ94" s="1" t="s">
        <v>778</v>
      </c>
      <c r="NK94" s="1" t="s">
        <v>778</v>
      </c>
      <c r="NT94" s="1" t="s">
        <v>778</v>
      </c>
      <c r="NU94" s="1" t="s">
        <v>778</v>
      </c>
      <c r="OI94" s="1" t="s">
        <v>778</v>
      </c>
      <c r="OJ94" s="1" t="s">
        <v>778</v>
      </c>
      <c r="OL94" s="1" t="s">
        <v>778</v>
      </c>
      <c r="PB94" s="1" t="s">
        <v>778</v>
      </c>
      <c r="PD94" s="1" t="s">
        <v>778</v>
      </c>
      <c r="PE94" s="1" t="s">
        <v>778</v>
      </c>
      <c r="PV94" s="1" t="s">
        <v>778</v>
      </c>
      <c r="PW94" s="1" t="s">
        <v>778</v>
      </c>
      <c r="QA94" s="1" t="s">
        <v>778</v>
      </c>
      <c r="QD94" s="1" t="s">
        <v>778</v>
      </c>
    </row>
    <row r="95" spans="1:481" ht="101.5" x14ac:dyDescent="0.35">
      <c r="A95" s="1" t="s">
        <v>859</v>
      </c>
      <c r="B95" s="1" t="s">
        <v>63</v>
      </c>
      <c r="C95" s="1" t="s">
        <v>873</v>
      </c>
      <c r="D95" s="1" t="s">
        <v>778</v>
      </c>
      <c r="E95" s="1" t="s">
        <v>778</v>
      </c>
      <c r="F95" s="1" t="s">
        <v>778</v>
      </c>
      <c r="G95" s="1" t="s">
        <v>778</v>
      </c>
      <c r="H95" s="1" t="s">
        <v>778</v>
      </c>
      <c r="IY95" s="1" t="s">
        <v>778</v>
      </c>
      <c r="NK95" s="1" t="s">
        <v>778</v>
      </c>
      <c r="NL95" s="1" t="s">
        <v>778</v>
      </c>
      <c r="NP95" s="1" t="s">
        <v>778</v>
      </c>
      <c r="NT95" s="1" t="s">
        <v>778</v>
      </c>
      <c r="NU95" s="1" t="s">
        <v>778</v>
      </c>
      <c r="OI95" s="1" t="s">
        <v>778</v>
      </c>
      <c r="OJ95" s="1" t="s">
        <v>778</v>
      </c>
      <c r="OL95" s="1" t="s">
        <v>778</v>
      </c>
      <c r="OM95" s="1" t="s">
        <v>778</v>
      </c>
      <c r="ON95" s="1" t="s">
        <v>778</v>
      </c>
      <c r="OO95" s="1" t="s">
        <v>778</v>
      </c>
      <c r="OQ95" s="1" t="s">
        <v>778</v>
      </c>
      <c r="OR95" s="1" t="s">
        <v>778</v>
      </c>
      <c r="OS95" s="1" t="s">
        <v>778</v>
      </c>
      <c r="PB95" s="1" t="s">
        <v>778</v>
      </c>
      <c r="PD95" s="1" t="s">
        <v>778</v>
      </c>
      <c r="PE95" s="1" t="s">
        <v>778</v>
      </c>
      <c r="PV95" s="1" t="s">
        <v>778</v>
      </c>
      <c r="PW95" s="1" t="s">
        <v>778</v>
      </c>
      <c r="PX95" s="1" t="s">
        <v>778</v>
      </c>
      <c r="PY95" s="1" t="s">
        <v>778</v>
      </c>
      <c r="PZ95" s="1" t="s">
        <v>778</v>
      </c>
      <c r="QA95" s="1" t="s">
        <v>778</v>
      </c>
      <c r="QB95" s="1" t="s">
        <v>778</v>
      </c>
      <c r="QC95" s="1" t="s">
        <v>778</v>
      </c>
    </row>
    <row r="96" spans="1:481" ht="87" x14ac:dyDescent="0.35">
      <c r="A96" s="1" t="s">
        <v>859</v>
      </c>
      <c r="B96" s="1" t="s">
        <v>21</v>
      </c>
      <c r="C96" s="1" t="s">
        <v>874</v>
      </c>
      <c r="D96" s="1" t="s">
        <v>778</v>
      </c>
      <c r="E96" s="1" t="s">
        <v>778</v>
      </c>
      <c r="F96" s="1" t="s">
        <v>778</v>
      </c>
      <c r="G96" s="1" t="s">
        <v>778</v>
      </c>
      <c r="H96" s="1" t="s">
        <v>778</v>
      </c>
      <c r="AD96" s="1" t="s">
        <v>778</v>
      </c>
      <c r="AF96" s="1" t="s">
        <v>778</v>
      </c>
      <c r="IY96" s="1" t="s">
        <v>778</v>
      </c>
      <c r="IZ96" s="1" t="s">
        <v>778</v>
      </c>
      <c r="JA96" s="1" t="s">
        <v>778</v>
      </c>
      <c r="JK96" s="1" t="s">
        <v>778</v>
      </c>
      <c r="JL96" s="1" t="s">
        <v>778</v>
      </c>
      <c r="NJ96" s="1" t="s">
        <v>778</v>
      </c>
      <c r="NK96" s="1" t="s">
        <v>778</v>
      </c>
      <c r="NL96" s="1" t="s">
        <v>778</v>
      </c>
      <c r="NP96" s="1" t="s">
        <v>778</v>
      </c>
      <c r="NT96" s="1" t="s">
        <v>778</v>
      </c>
      <c r="NU96" s="1" t="s">
        <v>778</v>
      </c>
      <c r="NV96" s="1" t="s">
        <v>778</v>
      </c>
      <c r="NW96" s="1" t="s">
        <v>778</v>
      </c>
      <c r="NX96" s="1" t="s">
        <v>778</v>
      </c>
      <c r="OI96" s="1" t="s">
        <v>778</v>
      </c>
      <c r="OJ96" s="1" t="s">
        <v>778</v>
      </c>
      <c r="OL96" s="1" t="s">
        <v>778</v>
      </c>
      <c r="OM96" s="1" t="s">
        <v>778</v>
      </c>
      <c r="OP96" s="1" t="s">
        <v>778</v>
      </c>
      <c r="OR96" s="1" t="s">
        <v>778</v>
      </c>
      <c r="OS96" s="1" t="s">
        <v>778</v>
      </c>
      <c r="PB96" s="1" t="s">
        <v>778</v>
      </c>
      <c r="PC96" s="1" t="s">
        <v>778</v>
      </c>
      <c r="PD96" s="1" t="s">
        <v>778</v>
      </c>
      <c r="PE96" s="1" t="s">
        <v>778</v>
      </c>
      <c r="PV96" s="1" t="s">
        <v>778</v>
      </c>
      <c r="PW96" s="1" t="s">
        <v>778</v>
      </c>
      <c r="PX96" s="1" t="s">
        <v>778</v>
      </c>
      <c r="PY96" s="1" t="s">
        <v>778</v>
      </c>
      <c r="PZ96" s="1" t="s">
        <v>778</v>
      </c>
      <c r="QA96" s="1" t="s">
        <v>778</v>
      </c>
      <c r="QB96" s="1" t="s">
        <v>778</v>
      </c>
      <c r="QC96" s="1" t="s">
        <v>778</v>
      </c>
      <c r="QE96" s="1" t="s">
        <v>778</v>
      </c>
    </row>
    <row r="97" spans="1:448" ht="87" x14ac:dyDescent="0.35">
      <c r="A97" s="1" t="s">
        <v>859</v>
      </c>
      <c r="B97" s="1" t="s">
        <v>21</v>
      </c>
      <c r="C97" s="1" t="s">
        <v>875</v>
      </c>
      <c r="D97" s="1" t="s">
        <v>778</v>
      </c>
      <c r="E97" s="1" t="s">
        <v>778</v>
      </c>
      <c r="F97" s="1" t="s">
        <v>778</v>
      </c>
      <c r="G97" s="1" t="s">
        <v>778</v>
      </c>
      <c r="H97" s="1" t="s">
        <v>778</v>
      </c>
      <c r="I97" s="1" t="s">
        <v>778</v>
      </c>
      <c r="J97" s="1" t="s">
        <v>778</v>
      </c>
      <c r="K97" s="1" t="s">
        <v>778</v>
      </c>
      <c r="L97" s="1" t="s">
        <v>778</v>
      </c>
      <c r="M97" s="1" t="s">
        <v>778</v>
      </c>
      <c r="N97" s="1" t="s">
        <v>778</v>
      </c>
      <c r="O97" s="1" t="s">
        <v>778</v>
      </c>
      <c r="P97" s="1" t="s">
        <v>778</v>
      </c>
      <c r="Q97" s="1" t="s">
        <v>778</v>
      </c>
      <c r="V97" s="1" t="s">
        <v>778</v>
      </c>
      <c r="W97" s="1" t="s">
        <v>778</v>
      </c>
      <c r="AD97" s="1" t="s">
        <v>778</v>
      </c>
      <c r="AF97" s="1" t="s">
        <v>778</v>
      </c>
      <c r="IY97" s="1" t="s">
        <v>778</v>
      </c>
      <c r="IZ97" s="1" t="s">
        <v>778</v>
      </c>
      <c r="JA97" s="1" t="s">
        <v>778</v>
      </c>
      <c r="JK97" s="1" t="s">
        <v>778</v>
      </c>
      <c r="JL97" s="1" t="s">
        <v>778</v>
      </c>
      <c r="NJ97" s="1" t="s">
        <v>778</v>
      </c>
      <c r="NK97" s="1" t="s">
        <v>778</v>
      </c>
      <c r="NP97" s="1" t="s">
        <v>778</v>
      </c>
      <c r="NT97" s="1" t="s">
        <v>778</v>
      </c>
      <c r="NU97" s="1" t="s">
        <v>778</v>
      </c>
      <c r="NV97" s="1" t="s">
        <v>778</v>
      </c>
      <c r="NW97" s="1" t="s">
        <v>778</v>
      </c>
      <c r="NX97" s="1" t="s">
        <v>778</v>
      </c>
      <c r="OL97" s="1" t="s">
        <v>778</v>
      </c>
      <c r="OS97" s="1" t="s">
        <v>778</v>
      </c>
      <c r="PB97" s="1" t="s">
        <v>778</v>
      </c>
      <c r="PC97" s="1" t="s">
        <v>778</v>
      </c>
      <c r="PD97" s="1" t="s">
        <v>778</v>
      </c>
      <c r="PE97" s="1" t="s">
        <v>778</v>
      </c>
      <c r="PV97" s="1" t="s">
        <v>778</v>
      </c>
      <c r="PW97" s="1" t="s">
        <v>778</v>
      </c>
      <c r="QA97" s="1" t="s">
        <v>778</v>
      </c>
      <c r="QD97" s="1" t="s">
        <v>778</v>
      </c>
    </row>
    <row r="98" spans="1:448" ht="87" x14ac:dyDescent="0.35">
      <c r="A98" s="1" t="s">
        <v>859</v>
      </c>
      <c r="B98" s="1" t="s">
        <v>21</v>
      </c>
      <c r="C98" s="1" t="s">
        <v>876</v>
      </c>
      <c r="D98" s="1" t="s">
        <v>778</v>
      </c>
      <c r="E98" s="1" t="s">
        <v>778</v>
      </c>
      <c r="F98" s="1" t="s">
        <v>778</v>
      </c>
      <c r="G98" s="1" t="s">
        <v>778</v>
      </c>
      <c r="H98" s="1" t="s">
        <v>778</v>
      </c>
      <c r="IY98" s="1" t="s">
        <v>778</v>
      </c>
      <c r="JL98" s="1" t="s">
        <v>778</v>
      </c>
      <c r="NK98" s="1" t="s">
        <v>778</v>
      </c>
      <c r="NL98" s="1" t="s">
        <v>778</v>
      </c>
      <c r="NP98" s="1" t="s">
        <v>778</v>
      </c>
      <c r="NT98" s="1" t="s">
        <v>778</v>
      </c>
      <c r="NU98" s="1" t="s">
        <v>778</v>
      </c>
      <c r="NV98" s="1" t="s">
        <v>778</v>
      </c>
      <c r="NW98" s="1" t="s">
        <v>778</v>
      </c>
      <c r="NX98" s="1" t="s">
        <v>778</v>
      </c>
      <c r="OI98" s="1" t="s">
        <v>778</v>
      </c>
      <c r="OJ98" s="1" t="s">
        <v>778</v>
      </c>
      <c r="OL98" s="1" t="s">
        <v>778</v>
      </c>
      <c r="OM98" s="1" t="s">
        <v>778</v>
      </c>
      <c r="OP98" s="1" t="s">
        <v>778</v>
      </c>
      <c r="OR98" s="1" t="s">
        <v>778</v>
      </c>
      <c r="OS98" s="1" t="s">
        <v>778</v>
      </c>
      <c r="PB98" s="1" t="s">
        <v>778</v>
      </c>
      <c r="PC98" s="1" t="s">
        <v>778</v>
      </c>
      <c r="PD98" s="1" t="s">
        <v>778</v>
      </c>
      <c r="PE98" s="1" t="s">
        <v>778</v>
      </c>
      <c r="PV98" s="1" t="s">
        <v>778</v>
      </c>
      <c r="PW98" s="1" t="s">
        <v>778</v>
      </c>
      <c r="PX98" s="1" t="s">
        <v>778</v>
      </c>
      <c r="PZ98" s="1" t="s">
        <v>778</v>
      </c>
      <c r="QA98" s="1" t="s">
        <v>778</v>
      </c>
      <c r="QB98" s="1" t="s">
        <v>778</v>
      </c>
      <c r="QC98" s="1" t="s">
        <v>778</v>
      </c>
      <c r="QE98" s="1" t="s">
        <v>778</v>
      </c>
    </row>
    <row r="99" spans="1:448" ht="101.5" x14ac:dyDescent="0.35">
      <c r="A99" s="1" t="s">
        <v>859</v>
      </c>
      <c r="B99" s="1" t="s">
        <v>52</v>
      </c>
      <c r="C99" s="1" t="s">
        <v>877</v>
      </c>
      <c r="D99" s="1" t="s">
        <v>778</v>
      </c>
      <c r="E99" s="1" t="s">
        <v>778</v>
      </c>
      <c r="F99" s="1" t="s">
        <v>778</v>
      </c>
      <c r="G99" s="1" t="s">
        <v>778</v>
      </c>
      <c r="H99" s="1" t="s">
        <v>778</v>
      </c>
      <c r="AQ99" s="1" t="s">
        <v>778</v>
      </c>
      <c r="AS99" s="1" t="s">
        <v>778</v>
      </c>
      <c r="AX99" s="1" t="s">
        <v>778</v>
      </c>
      <c r="BL99" s="1" t="s">
        <v>778</v>
      </c>
      <c r="BO99" s="1" t="s">
        <v>778</v>
      </c>
      <c r="BP99" s="1" t="s">
        <v>778</v>
      </c>
      <c r="BQ99" s="1" t="s">
        <v>778</v>
      </c>
      <c r="BV99" s="1" t="s">
        <v>778</v>
      </c>
      <c r="ER99" s="1" t="s">
        <v>778</v>
      </c>
      <c r="EU99" s="1" t="s">
        <v>778</v>
      </c>
      <c r="FJ99" s="1" t="s">
        <v>778</v>
      </c>
      <c r="FO99" s="1" t="s">
        <v>778</v>
      </c>
      <c r="FP99" s="1" t="s">
        <v>778</v>
      </c>
      <c r="FQ99" s="1" t="s">
        <v>778</v>
      </c>
      <c r="FR99" s="1" t="s">
        <v>778</v>
      </c>
      <c r="GY99" s="1" t="s">
        <v>778</v>
      </c>
      <c r="GZ99" s="1" t="s">
        <v>778</v>
      </c>
      <c r="NO99" s="1" t="s">
        <v>778</v>
      </c>
      <c r="NZ99" s="1" t="s">
        <v>778</v>
      </c>
      <c r="OA99" s="1" t="s">
        <v>778</v>
      </c>
      <c r="OB99" s="1" t="s">
        <v>778</v>
      </c>
      <c r="OC99" s="1" t="s">
        <v>778</v>
      </c>
      <c r="OD99" s="1" t="s">
        <v>778</v>
      </c>
      <c r="OE99" s="1" t="s">
        <v>778</v>
      </c>
      <c r="OF99" s="1" t="s">
        <v>778</v>
      </c>
      <c r="OG99" s="1" t="s">
        <v>778</v>
      </c>
      <c r="OH99" s="1" t="s">
        <v>778</v>
      </c>
      <c r="OX99" s="1" t="s">
        <v>778</v>
      </c>
      <c r="OZ99" s="1" t="s">
        <v>778</v>
      </c>
      <c r="PA99" s="1" t="s">
        <v>778</v>
      </c>
      <c r="PF99" s="1" t="s">
        <v>778</v>
      </c>
      <c r="PI99" s="1" t="s">
        <v>778</v>
      </c>
      <c r="PJ99" s="1" t="s">
        <v>778</v>
      </c>
      <c r="PK99" s="1" t="s">
        <v>778</v>
      </c>
      <c r="PM99" s="1" t="s">
        <v>778</v>
      </c>
      <c r="PN99" s="1" t="s">
        <v>778</v>
      </c>
      <c r="PO99" s="1" t="s">
        <v>778</v>
      </c>
      <c r="PP99" s="1" t="s">
        <v>778</v>
      </c>
      <c r="PQ99" s="1" t="s">
        <v>778</v>
      </c>
      <c r="PR99" s="1" t="s">
        <v>778</v>
      </c>
      <c r="PS99" s="1" t="s">
        <v>778</v>
      </c>
      <c r="PT99" s="1" t="s">
        <v>778</v>
      </c>
      <c r="PU99" s="1" t="s">
        <v>778</v>
      </c>
    </row>
    <row r="100" spans="1:448" ht="87" x14ac:dyDescent="0.35">
      <c r="A100" s="1" t="s">
        <v>859</v>
      </c>
      <c r="B100" s="1" t="s">
        <v>52</v>
      </c>
      <c r="C100" s="1" t="s">
        <v>878</v>
      </c>
      <c r="D100" s="1" t="s">
        <v>778</v>
      </c>
      <c r="E100" s="1" t="s">
        <v>778</v>
      </c>
      <c r="F100" s="1" t="s">
        <v>778</v>
      </c>
      <c r="G100" s="1" t="s">
        <v>778</v>
      </c>
      <c r="H100" s="1" t="s">
        <v>778</v>
      </c>
      <c r="AS100" s="1" t="s">
        <v>778</v>
      </c>
      <c r="AX100" s="1" t="s">
        <v>778</v>
      </c>
      <c r="BL100" s="1" t="s">
        <v>778</v>
      </c>
      <c r="BO100" s="1" t="s">
        <v>778</v>
      </c>
      <c r="BP100" s="1" t="s">
        <v>778</v>
      </c>
      <c r="BQ100" s="1" t="s">
        <v>778</v>
      </c>
      <c r="BV100" s="1" t="s">
        <v>778</v>
      </c>
      <c r="ER100" s="1" t="s">
        <v>778</v>
      </c>
      <c r="EU100" s="1" t="s">
        <v>778</v>
      </c>
      <c r="EV100" s="1" t="s">
        <v>778</v>
      </c>
      <c r="EX100" s="1" t="s">
        <v>778</v>
      </c>
      <c r="FJ100" s="1" t="s">
        <v>778</v>
      </c>
      <c r="FO100" s="1" t="s">
        <v>778</v>
      </c>
      <c r="FP100" s="1" t="s">
        <v>778</v>
      </c>
      <c r="FQ100" s="1" t="s">
        <v>778</v>
      </c>
      <c r="FR100" s="1" t="s">
        <v>778</v>
      </c>
      <c r="NO100" s="1" t="s">
        <v>778</v>
      </c>
      <c r="NZ100" s="1" t="s">
        <v>778</v>
      </c>
      <c r="OA100" s="1" t="s">
        <v>778</v>
      </c>
      <c r="OB100" s="1" t="s">
        <v>778</v>
      </c>
      <c r="OC100" s="1" t="s">
        <v>778</v>
      </c>
      <c r="OD100" s="1" t="s">
        <v>778</v>
      </c>
      <c r="OE100" s="1" t="s">
        <v>778</v>
      </c>
      <c r="OF100" s="1" t="s">
        <v>778</v>
      </c>
      <c r="OG100" s="1" t="s">
        <v>778</v>
      </c>
      <c r="OH100" s="1" t="s">
        <v>778</v>
      </c>
      <c r="OX100" s="1" t="s">
        <v>778</v>
      </c>
      <c r="OZ100" s="1" t="s">
        <v>778</v>
      </c>
      <c r="PF100" s="1" t="s">
        <v>778</v>
      </c>
      <c r="PI100" s="1" t="s">
        <v>778</v>
      </c>
      <c r="PJ100" s="1" t="s">
        <v>778</v>
      </c>
      <c r="PM100" s="1" t="s">
        <v>778</v>
      </c>
      <c r="PN100" s="1" t="s">
        <v>778</v>
      </c>
      <c r="PO100" s="1" t="s">
        <v>778</v>
      </c>
      <c r="PP100" s="1" t="s">
        <v>778</v>
      </c>
      <c r="PQ100" s="1" t="s">
        <v>778</v>
      </c>
    </row>
    <row r="101" spans="1:448" ht="92.5" customHeight="1" x14ac:dyDescent="0.35">
      <c r="A101" s="1" t="s">
        <v>859</v>
      </c>
      <c r="B101" s="1" t="s">
        <v>52</v>
      </c>
      <c r="C101" s="1" t="s">
        <v>879</v>
      </c>
      <c r="D101" s="1" t="s">
        <v>778</v>
      </c>
      <c r="E101" s="1" t="s">
        <v>778</v>
      </c>
      <c r="F101" s="1" t="s">
        <v>778</v>
      </c>
      <c r="G101" s="1" t="s">
        <v>778</v>
      </c>
      <c r="H101" s="1" t="s">
        <v>778</v>
      </c>
      <c r="AS101" s="1" t="s">
        <v>778</v>
      </c>
      <c r="AX101" s="1" t="s">
        <v>778</v>
      </c>
      <c r="BL101" s="1" t="s">
        <v>778</v>
      </c>
      <c r="BO101" s="1" t="s">
        <v>778</v>
      </c>
      <c r="BP101" s="1" t="s">
        <v>778</v>
      </c>
      <c r="BQ101" s="1" t="s">
        <v>778</v>
      </c>
      <c r="BV101" s="1" t="s">
        <v>778</v>
      </c>
      <c r="BW101" s="1" t="s">
        <v>778</v>
      </c>
      <c r="ER101" s="1" t="s">
        <v>778</v>
      </c>
      <c r="EU101" s="1" t="s">
        <v>778</v>
      </c>
      <c r="EZ101" s="1" t="s">
        <v>778</v>
      </c>
      <c r="FJ101" s="1" t="s">
        <v>778</v>
      </c>
      <c r="GI101" s="1" t="s">
        <v>778</v>
      </c>
      <c r="GY101" s="1" t="s">
        <v>778</v>
      </c>
      <c r="GZ101" s="1" t="s">
        <v>778</v>
      </c>
      <c r="NZ101" s="1" t="s">
        <v>778</v>
      </c>
      <c r="OA101" s="1" t="s">
        <v>778</v>
      </c>
      <c r="OB101" s="1" t="s">
        <v>778</v>
      </c>
      <c r="OC101" s="1" t="s">
        <v>778</v>
      </c>
      <c r="OD101" s="1" t="s">
        <v>778</v>
      </c>
      <c r="OE101" s="1" t="s">
        <v>778</v>
      </c>
      <c r="OF101" s="1" t="s">
        <v>778</v>
      </c>
      <c r="OG101" s="1" t="s">
        <v>778</v>
      </c>
      <c r="OH101" s="1" t="s">
        <v>778</v>
      </c>
      <c r="OX101" s="1" t="s">
        <v>778</v>
      </c>
      <c r="PF101" s="1" t="s">
        <v>778</v>
      </c>
      <c r="PG101" s="1" t="s">
        <v>778</v>
      </c>
      <c r="PH101" s="1" t="s">
        <v>778</v>
      </c>
      <c r="PK101" s="1" t="s">
        <v>778</v>
      </c>
      <c r="PL101" s="1" t="s">
        <v>778</v>
      </c>
    </row>
    <row r="102" spans="1:448" ht="101.5" x14ac:dyDescent="0.35">
      <c r="A102" s="1" t="s">
        <v>859</v>
      </c>
      <c r="B102" s="1" t="s">
        <v>52</v>
      </c>
      <c r="C102" s="1" t="s">
        <v>880</v>
      </c>
      <c r="D102" s="1" t="s">
        <v>778</v>
      </c>
      <c r="E102" s="1" t="s">
        <v>778</v>
      </c>
      <c r="F102" s="1" t="s">
        <v>778</v>
      </c>
      <c r="G102" s="1" t="s">
        <v>778</v>
      </c>
      <c r="H102" s="1" t="s">
        <v>778</v>
      </c>
      <c r="I102" s="1" t="s">
        <v>778</v>
      </c>
      <c r="J102" s="1" t="s">
        <v>778</v>
      </c>
      <c r="BO102" s="1" t="s">
        <v>778</v>
      </c>
      <c r="ER102" s="1" t="s">
        <v>778</v>
      </c>
      <c r="EU102" s="1" t="s">
        <v>778</v>
      </c>
      <c r="EV102" s="1" t="s">
        <v>778</v>
      </c>
      <c r="EX102" s="1" t="s">
        <v>778</v>
      </c>
      <c r="FG102" s="1" t="s">
        <v>778</v>
      </c>
      <c r="FH102" s="1" t="s">
        <v>778</v>
      </c>
      <c r="FI102" s="1" t="s">
        <v>778</v>
      </c>
      <c r="FJ102" s="1" t="s">
        <v>778</v>
      </c>
      <c r="FO102" s="1" t="s">
        <v>778</v>
      </c>
      <c r="FP102" s="1" t="s">
        <v>778</v>
      </c>
      <c r="FQ102" s="1" t="s">
        <v>778</v>
      </c>
      <c r="FR102" s="1" t="s">
        <v>778</v>
      </c>
      <c r="NO102" s="1" t="s">
        <v>778</v>
      </c>
      <c r="NZ102" s="1" t="s">
        <v>778</v>
      </c>
      <c r="OA102" s="1" t="s">
        <v>778</v>
      </c>
      <c r="OB102" s="1" t="s">
        <v>778</v>
      </c>
      <c r="OC102" s="1" t="s">
        <v>778</v>
      </c>
      <c r="OD102" s="1" t="s">
        <v>778</v>
      </c>
      <c r="OE102" s="1" t="s">
        <v>778</v>
      </c>
      <c r="OF102" s="1" t="s">
        <v>778</v>
      </c>
      <c r="OG102" s="1" t="s">
        <v>778</v>
      </c>
      <c r="OH102" s="1" t="s">
        <v>778</v>
      </c>
      <c r="OX102" s="1" t="s">
        <v>778</v>
      </c>
      <c r="OZ102" s="1" t="s">
        <v>778</v>
      </c>
      <c r="PF102" s="1" t="s">
        <v>778</v>
      </c>
      <c r="PG102" s="1" t="s">
        <v>778</v>
      </c>
      <c r="PJ102" s="1" t="s">
        <v>778</v>
      </c>
      <c r="PK102" s="1" t="s">
        <v>778</v>
      </c>
      <c r="PM102" s="1" t="s">
        <v>778</v>
      </c>
      <c r="PN102" s="1" t="s">
        <v>778</v>
      </c>
      <c r="PO102" s="1" t="s">
        <v>778</v>
      </c>
      <c r="PP102" s="1" t="s">
        <v>778</v>
      </c>
      <c r="PQ102" s="1" t="s">
        <v>778</v>
      </c>
    </row>
    <row r="103" spans="1:448" ht="101.5" x14ac:dyDescent="0.35">
      <c r="A103" s="1" t="s">
        <v>859</v>
      </c>
      <c r="B103" s="1" t="s">
        <v>52</v>
      </c>
      <c r="C103" s="1" t="s">
        <v>881</v>
      </c>
      <c r="D103" s="1" t="s">
        <v>778</v>
      </c>
      <c r="E103" s="1" t="s">
        <v>778</v>
      </c>
      <c r="F103" s="1" t="s">
        <v>778</v>
      </c>
      <c r="G103" s="1" t="s">
        <v>778</v>
      </c>
      <c r="H103" s="1" t="s">
        <v>778</v>
      </c>
      <c r="I103" s="1" t="s">
        <v>778</v>
      </c>
      <c r="J103" s="1" t="s">
        <v>778</v>
      </c>
      <c r="AQ103" s="1" t="s">
        <v>778</v>
      </c>
      <c r="AS103" s="1" t="s">
        <v>778</v>
      </c>
      <c r="AX103" s="1" t="s">
        <v>778</v>
      </c>
      <c r="BL103" s="1" t="s">
        <v>778</v>
      </c>
      <c r="ER103" s="1" t="s">
        <v>778</v>
      </c>
      <c r="EU103" s="1" t="s">
        <v>778</v>
      </c>
      <c r="EV103" s="1" t="s">
        <v>778</v>
      </c>
      <c r="EX103" s="1" t="s">
        <v>778</v>
      </c>
      <c r="FG103" s="1" t="s">
        <v>778</v>
      </c>
      <c r="FH103" s="1" t="s">
        <v>778</v>
      </c>
      <c r="FI103" s="1" t="s">
        <v>778</v>
      </c>
      <c r="FO103" s="1" t="s">
        <v>778</v>
      </c>
      <c r="FP103" s="1" t="s">
        <v>778</v>
      </c>
      <c r="FQ103" s="1" t="s">
        <v>778</v>
      </c>
      <c r="FR103" s="1" t="s">
        <v>778</v>
      </c>
      <c r="GY103" s="1" t="s">
        <v>778</v>
      </c>
      <c r="GZ103" s="1" t="s">
        <v>778</v>
      </c>
      <c r="NO103" s="1" t="s">
        <v>778</v>
      </c>
      <c r="NZ103" s="1" t="s">
        <v>778</v>
      </c>
      <c r="OA103" s="1" t="s">
        <v>778</v>
      </c>
      <c r="OB103" s="1" t="s">
        <v>778</v>
      </c>
      <c r="OC103" s="1" t="s">
        <v>778</v>
      </c>
      <c r="OD103" s="1" t="s">
        <v>778</v>
      </c>
      <c r="OE103" s="1" t="s">
        <v>778</v>
      </c>
      <c r="OF103" s="1" t="s">
        <v>778</v>
      </c>
      <c r="OG103" s="1" t="s">
        <v>778</v>
      </c>
      <c r="OH103" s="1" t="s">
        <v>778</v>
      </c>
      <c r="OX103" s="1" t="s">
        <v>778</v>
      </c>
      <c r="OZ103" s="1" t="s">
        <v>778</v>
      </c>
      <c r="PF103" s="1" t="s">
        <v>778</v>
      </c>
      <c r="PI103" s="1" t="s">
        <v>778</v>
      </c>
      <c r="PJ103" s="1" t="s">
        <v>778</v>
      </c>
      <c r="PK103" s="1" t="s">
        <v>778</v>
      </c>
      <c r="PM103" s="1" t="s">
        <v>778</v>
      </c>
      <c r="PN103" s="1" t="s">
        <v>778</v>
      </c>
      <c r="PO103" s="1" t="s">
        <v>778</v>
      </c>
      <c r="PP103" s="1" t="s">
        <v>778</v>
      </c>
      <c r="PQ103" s="1" t="s">
        <v>778</v>
      </c>
    </row>
    <row r="104" spans="1:448" ht="101.5" x14ac:dyDescent="0.35">
      <c r="A104" s="1" t="s">
        <v>859</v>
      </c>
      <c r="B104" s="1" t="s">
        <v>52</v>
      </c>
      <c r="C104" s="1" t="s">
        <v>882</v>
      </c>
      <c r="D104" s="1" t="s">
        <v>778</v>
      </c>
      <c r="E104" s="1" t="s">
        <v>778</v>
      </c>
      <c r="F104" s="1" t="s">
        <v>778</v>
      </c>
      <c r="G104" s="1" t="s">
        <v>883</v>
      </c>
      <c r="H104" s="1" t="s">
        <v>778</v>
      </c>
      <c r="I104" s="1" t="s">
        <v>778</v>
      </c>
      <c r="J104" s="1" t="s">
        <v>778</v>
      </c>
      <c r="AS104" s="1" t="s">
        <v>778</v>
      </c>
      <c r="BO104" s="1" t="s">
        <v>778</v>
      </c>
      <c r="ER104" s="1" t="s">
        <v>778</v>
      </c>
      <c r="EU104" s="1" t="s">
        <v>778</v>
      </c>
      <c r="EV104" s="1" t="s">
        <v>778</v>
      </c>
      <c r="EX104" s="1" t="s">
        <v>778</v>
      </c>
      <c r="FH104" s="1" t="s">
        <v>778</v>
      </c>
      <c r="FI104" s="1" t="s">
        <v>778</v>
      </c>
      <c r="FJ104" s="1" t="s">
        <v>778</v>
      </c>
      <c r="FO104" s="1" t="s">
        <v>778</v>
      </c>
      <c r="FP104" s="1" t="s">
        <v>778</v>
      </c>
      <c r="FQ104" s="1" t="s">
        <v>778</v>
      </c>
      <c r="FR104" s="1" t="s">
        <v>778</v>
      </c>
      <c r="NO104" s="1" t="s">
        <v>778</v>
      </c>
      <c r="NZ104" s="1" t="s">
        <v>778</v>
      </c>
      <c r="OA104" s="1" t="s">
        <v>778</v>
      </c>
      <c r="OB104" s="1" t="s">
        <v>778</v>
      </c>
      <c r="OC104" s="1" t="s">
        <v>778</v>
      </c>
      <c r="OD104" s="1" t="s">
        <v>778</v>
      </c>
      <c r="OE104" s="1" t="s">
        <v>778</v>
      </c>
      <c r="OF104" s="1" t="s">
        <v>778</v>
      </c>
      <c r="OG104" s="1" t="s">
        <v>778</v>
      </c>
      <c r="OH104" s="1" t="s">
        <v>778</v>
      </c>
      <c r="OX104" s="1" t="s">
        <v>778</v>
      </c>
      <c r="OZ104" s="1" t="s">
        <v>778</v>
      </c>
      <c r="PF104" s="1" t="s">
        <v>778</v>
      </c>
      <c r="PG104" s="1" t="s">
        <v>778</v>
      </c>
      <c r="PJ104" s="1" t="s">
        <v>778</v>
      </c>
      <c r="PM104" s="1" t="s">
        <v>778</v>
      </c>
      <c r="PN104" s="1" t="s">
        <v>778</v>
      </c>
      <c r="PO104" s="1" t="s">
        <v>778</v>
      </c>
      <c r="PP104" s="1" t="s">
        <v>778</v>
      </c>
      <c r="PQ104" s="1" t="s">
        <v>778</v>
      </c>
    </row>
    <row r="105" spans="1:448" ht="159.5" x14ac:dyDescent="0.35">
      <c r="A105" s="1" t="s">
        <v>859</v>
      </c>
      <c r="B105" s="1" t="s">
        <v>52</v>
      </c>
      <c r="C105" s="1" t="s">
        <v>884</v>
      </c>
      <c r="D105" s="1" t="s">
        <v>778</v>
      </c>
      <c r="E105" s="1" t="s">
        <v>778</v>
      </c>
      <c r="F105" s="1" t="s">
        <v>778</v>
      </c>
      <c r="G105" s="1" t="s">
        <v>778</v>
      </c>
      <c r="H105" s="1" t="s">
        <v>778</v>
      </c>
      <c r="I105" s="1" t="s">
        <v>778</v>
      </c>
      <c r="J105" s="1" t="s">
        <v>778</v>
      </c>
      <c r="BC105" s="1" t="s">
        <v>778</v>
      </c>
      <c r="BD105" s="1" t="s">
        <v>778</v>
      </c>
      <c r="ER105" s="1" t="s">
        <v>778</v>
      </c>
      <c r="EU105" s="1" t="s">
        <v>778</v>
      </c>
      <c r="EV105" s="1" t="s">
        <v>778</v>
      </c>
      <c r="EX105" s="1" t="s">
        <v>778</v>
      </c>
      <c r="FG105" s="1" t="s">
        <v>778</v>
      </c>
      <c r="FH105" s="1" t="s">
        <v>778</v>
      </c>
      <c r="FI105" s="1" t="s">
        <v>778</v>
      </c>
      <c r="FJ105" s="1" t="s">
        <v>778</v>
      </c>
      <c r="FO105" s="1" t="s">
        <v>778</v>
      </c>
      <c r="FP105" s="1" t="s">
        <v>778</v>
      </c>
      <c r="FQ105" s="1" t="s">
        <v>778</v>
      </c>
      <c r="FR105" s="1" t="s">
        <v>778</v>
      </c>
      <c r="GZ105" s="1" t="s">
        <v>778</v>
      </c>
      <c r="NO105" s="1" t="s">
        <v>778</v>
      </c>
      <c r="NZ105" s="1" t="s">
        <v>778</v>
      </c>
      <c r="OA105" s="1" t="s">
        <v>778</v>
      </c>
      <c r="OB105" s="1" t="s">
        <v>778</v>
      </c>
      <c r="OC105" s="1" t="s">
        <v>778</v>
      </c>
      <c r="OD105" s="1" t="s">
        <v>778</v>
      </c>
      <c r="OE105" s="1" t="s">
        <v>778</v>
      </c>
      <c r="OF105" s="1" t="s">
        <v>778</v>
      </c>
      <c r="OG105" s="1" t="s">
        <v>778</v>
      </c>
      <c r="OH105" s="1" t="s">
        <v>778</v>
      </c>
      <c r="OX105" s="1" t="s">
        <v>778</v>
      </c>
      <c r="OZ105" s="1" t="s">
        <v>778</v>
      </c>
      <c r="PF105" s="1" t="s">
        <v>778</v>
      </c>
      <c r="PI105" s="1" t="s">
        <v>778</v>
      </c>
      <c r="PJ105" s="1" t="s">
        <v>778</v>
      </c>
      <c r="PK105" s="1" t="s">
        <v>778</v>
      </c>
      <c r="PM105" s="1" t="s">
        <v>778</v>
      </c>
      <c r="PN105" s="1" t="s">
        <v>778</v>
      </c>
      <c r="PO105" s="1" t="s">
        <v>778</v>
      </c>
      <c r="PP105" s="1" t="s">
        <v>778</v>
      </c>
      <c r="PQ105" s="1" t="s">
        <v>778</v>
      </c>
    </row>
    <row r="106" spans="1:448" ht="87" x14ac:dyDescent="0.35">
      <c r="A106" s="1" t="s">
        <v>859</v>
      </c>
      <c r="B106" s="1" t="s">
        <v>52</v>
      </c>
      <c r="C106" s="1" t="s">
        <v>885</v>
      </c>
      <c r="D106" s="1" t="s">
        <v>778</v>
      </c>
      <c r="E106" s="1" t="s">
        <v>778</v>
      </c>
      <c r="F106" s="1" t="s">
        <v>778</v>
      </c>
      <c r="G106" s="1" t="s">
        <v>778</v>
      </c>
      <c r="H106" s="1" t="s">
        <v>778</v>
      </c>
      <c r="I106" s="1" t="s">
        <v>778</v>
      </c>
      <c r="J106" s="1" t="s">
        <v>778</v>
      </c>
      <c r="AS106" s="1" t="s">
        <v>778</v>
      </c>
      <c r="BL106" s="1" t="s">
        <v>778</v>
      </c>
      <c r="BO106" s="1" t="s">
        <v>778</v>
      </c>
      <c r="ER106" s="1" t="s">
        <v>778</v>
      </c>
      <c r="EU106" s="1" t="s">
        <v>778</v>
      </c>
      <c r="EY106" s="1" t="s">
        <v>778</v>
      </c>
      <c r="EZ106" s="1" t="s">
        <v>778</v>
      </c>
      <c r="FG106" s="1" t="s">
        <v>778</v>
      </c>
      <c r="FH106" s="1" t="s">
        <v>778</v>
      </c>
      <c r="FI106" s="1" t="s">
        <v>778</v>
      </c>
      <c r="FJ106" s="1" t="s">
        <v>778</v>
      </c>
      <c r="GY106" s="1" t="s">
        <v>778</v>
      </c>
      <c r="GZ106" s="1" t="s">
        <v>778</v>
      </c>
      <c r="NZ106" s="1" t="s">
        <v>778</v>
      </c>
      <c r="OA106" s="1" t="s">
        <v>778</v>
      </c>
      <c r="OB106" s="1" t="s">
        <v>778</v>
      </c>
      <c r="OC106" s="1" t="s">
        <v>778</v>
      </c>
      <c r="OD106" s="1" t="s">
        <v>778</v>
      </c>
      <c r="OE106" s="1" t="s">
        <v>778</v>
      </c>
      <c r="OF106" s="1" t="s">
        <v>778</v>
      </c>
      <c r="OG106" s="1" t="s">
        <v>778</v>
      </c>
      <c r="OH106" s="1" t="s">
        <v>778</v>
      </c>
      <c r="OX106" s="1" t="s">
        <v>778</v>
      </c>
      <c r="PF106" s="1" t="s">
        <v>778</v>
      </c>
      <c r="PG106" s="1" t="s">
        <v>778</v>
      </c>
      <c r="PH106" s="1" t="s">
        <v>778</v>
      </c>
      <c r="PK106" s="1" t="s">
        <v>778</v>
      </c>
      <c r="PL106" s="1" t="s">
        <v>778</v>
      </c>
    </row>
    <row r="107" spans="1:448" ht="101.5" x14ac:dyDescent="0.35">
      <c r="A107" s="1" t="s">
        <v>859</v>
      </c>
      <c r="B107" s="1" t="s">
        <v>52</v>
      </c>
      <c r="C107" s="1" t="s">
        <v>880</v>
      </c>
      <c r="D107" s="1" t="s">
        <v>778</v>
      </c>
      <c r="E107" s="1" t="s">
        <v>778</v>
      </c>
      <c r="F107" s="1" t="s">
        <v>778</v>
      </c>
      <c r="G107" s="1" t="s">
        <v>778</v>
      </c>
      <c r="H107" s="1" t="s">
        <v>778</v>
      </c>
      <c r="AQ107" s="1" t="s">
        <v>778</v>
      </c>
      <c r="AS107" s="1" t="s">
        <v>778</v>
      </c>
      <c r="BC107" s="1" t="s">
        <v>778</v>
      </c>
      <c r="BD107" s="1" t="s">
        <v>778</v>
      </c>
      <c r="ER107" s="1" t="s">
        <v>778</v>
      </c>
      <c r="EU107" s="1" t="s">
        <v>778</v>
      </c>
      <c r="EV107" s="1" t="s">
        <v>778</v>
      </c>
      <c r="EX107" s="1" t="s">
        <v>778</v>
      </c>
      <c r="FJ107" s="1" t="s">
        <v>778</v>
      </c>
      <c r="FO107" s="1" t="s">
        <v>778</v>
      </c>
      <c r="FP107" s="1" t="s">
        <v>778</v>
      </c>
      <c r="FQ107" s="1" t="s">
        <v>778</v>
      </c>
      <c r="FR107" s="1" t="s">
        <v>778</v>
      </c>
      <c r="GU107" s="1" t="s">
        <v>778</v>
      </c>
      <c r="GY107" s="1" t="s">
        <v>778</v>
      </c>
      <c r="GZ107" s="1" t="s">
        <v>778</v>
      </c>
      <c r="NO107" s="1" t="s">
        <v>778</v>
      </c>
      <c r="NZ107" s="1" t="s">
        <v>778</v>
      </c>
      <c r="OA107" s="1" t="s">
        <v>778</v>
      </c>
      <c r="OB107" s="1" t="s">
        <v>778</v>
      </c>
      <c r="OC107" s="1" t="s">
        <v>778</v>
      </c>
      <c r="OD107" s="1" t="s">
        <v>778</v>
      </c>
      <c r="OE107" s="1" t="s">
        <v>778</v>
      </c>
      <c r="OF107" s="1" t="s">
        <v>778</v>
      </c>
      <c r="OG107" s="1" t="s">
        <v>778</v>
      </c>
      <c r="OH107" s="1" t="s">
        <v>778</v>
      </c>
      <c r="OX107" s="1" t="s">
        <v>778</v>
      </c>
      <c r="OY107" s="1" t="s">
        <v>778</v>
      </c>
      <c r="OZ107" s="1" t="s">
        <v>778</v>
      </c>
      <c r="PA107" s="1" t="s">
        <v>778</v>
      </c>
      <c r="PF107" s="1" t="s">
        <v>778</v>
      </c>
      <c r="PI107" s="1" t="s">
        <v>778</v>
      </c>
      <c r="PJ107" s="1" t="s">
        <v>778</v>
      </c>
      <c r="PK107" s="1" t="s">
        <v>778</v>
      </c>
      <c r="PM107" s="1" t="s">
        <v>778</v>
      </c>
      <c r="PN107" s="1" t="s">
        <v>778</v>
      </c>
      <c r="PO107" s="1" t="s">
        <v>778</v>
      </c>
      <c r="PP107" s="1" t="s">
        <v>778</v>
      </c>
      <c r="PQ107" s="1" t="s">
        <v>778</v>
      </c>
      <c r="PR107" s="1" t="s">
        <v>778</v>
      </c>
      <c r="PS107" s="1" t="s">
        <v>778</v>
      </c>
      <c r="PT107" s="1" t="s">
        <v>778</v>
      </c>
      <c r="PU107" s="1" t="s">
        <v>778</v>
      </c>
      <c r="QF107" s="1">
        <f>SUM(D107:QE107)</f>
        <v>0</v>
      </c>
    </row>
    <row r="108" spans="1:448" ht="101.5" x14ac:dyDescent="0.35">
      <c r="A108" s="1" t="s">
        <v>859</v>
      </c>
      <c r="B108" s="1" t="s">
        <v>52</v>
      </c>
      <c r="C108" s="1" t="s">
        <v>880</v>
      </c>
      <c r="D108" s="1" t="s">
        <v>778</v>
      </c>
      <c r="E108" s="1" t="s">
        <v>778</v>
      </c>
      <c r="F108" s="1" t="s">
        <v>778</v>
      </c>
      <c r="G108" s="1" t="s">
        <v>778</v>
      </c>
      <c r="H108" s="1" t="s">
        <v>778</v>
      </c>
      <c r="AQ108" s="1" t="s">
        <v>778</v>
      </c>
      <c r="AW108" s="1" t="s">
        <v>778</v>
      </c>
      <c r="BC108" s="1" t="s">
        <v>778</v>
      </c>
      <c r="BD108" s="1" t="s">
        <v>778</v>
      </c>
      <c r="ER108" s="1" t="s">
        <v>778</v>
      </c>
      <c r="EU108" s="1" t="s">
        <v>778</v>
      </c>
      <c r="EV108" s="1" t="s">
        <v>778</v>
      </c>
      <c r="EX108" s="1" t="s">
        <v>778</v>
      </c>
      <c r="FJ108" s="1" t="s">
        <v>778</v>
      </c>
      <c r="FO108" s="1" t="s">
        <v>778</v>
      </c>
      <c r="FP108" s="1" t="s">
        <v>778</v>
      </c>
      <c r="FQ108" s="1" t="s">
        <v>778</v>
      </c>
      <c r="FR108" s="1" t="s">
        <v>778</v>
      </c>
      <c r="GU108" s="1" t="s">
        <v>778</v>
      </c>
      <c r="GY108" s="1" t="s">
        <v>778</v>
      </c>
      <c r="GZ108" s="1" t="s">
        <v>778</v>
      </c>
      <c r="NO108" s="1" t="s">
        <v>778</v>
      </c>
      <c r="NZ108" s="1" t="s">
        <v>778</v>
      </c>
      <c r="OA108" s="1" t="s">
        <v>778</v>
      </c>
      <c r="OB108" s="1" t="s">
        <v>778</v>
      </c>
      <c r="OC108" s="1" t="s">
        <v>778</v>
      </c>
      <c r="OD108" s="1" t="s">
        <v>778</v>
      </c>
      <c r="OE108" s="1" t="s">
        <v>778</v>
      </c>
      <c r="OF108" s="1" t="s">
        <v>778</v>
      </c>
      <c r="OG108" s="1" t="s">
        <v>778</v>
      </c>
      <c r="OH108" s="1" t="s">
        <v>778</v>
      </c>
      <c r="OX108" s="1" t="s">
        <v>778</v>
      </c>
      <c r="OY108" s="1" t="s">
        <v>778</v>
      </c>
      <c r="OZ108" s="1" t="s">
        <v>778</v>
      </c>
      <c r="PA108" s="1" t="s">
        <v>778</v>
      </c>
      <c r="PF108" s="1" t="s">
        <v>778</v>
      </c>
      <c r="PI108" s="1" t="s">
        <v>778</v>
      </c>
      <c r="PJ108" s="1" t="s">
        <v>778</v>
      </c>
      <c r="PK108" s="1" t="s">
        <v>778</v>
      </c>
      <c r="PM108" s="1" t="s">
        <v>778</v>
      </c>
      <c r="PN108" s="1" t="s">
        <v>778</v>
      </c>
      <c r="PO108" s="1" t="s">
        <v>778</v>
      </c>
      <c r="PP108" s="1" t="s">
        <v>778</v>
      </c>
      <c r="PQ108" s="1" t="s">
        <v>778</v>
      </c>
      <c r="PR108" s="1" t="s">
        <v>778</v>
      </c>
      <c r="PS108" s="1" t="s">
        <v>778</v>
      </c>
      <c r="PT108" s="1" t="s">
        <v>778</v>
      </c>
      <c r="PU108" s="1" t="s">
        <v>778</v>
      </c>
      <c r="QF108" s="1">
        <f>SUM(D108:QE108)</f>
        <v>0</v>
      </c>
    </row>
    <row r="109" spans="1:448" ht="87" x14ac:dyDescent="0.35">
      <c r="A109" s="1" t="s">
        <v>859</v>
      </c>
      <c r="B109" s="1" t="s">
        <v>52</v>
      </c>
      <c r="C109" s="1" t="s">
        <v>885</v>
      </c>
      <c r="D109" s="1" t="s">
        <v>778</v>
      </c>
      <c r="E109" s="1" t="s">
        <v>778</v>
      </c>
      <c r="F109" s="1" t="s">
        <v>778</v>
      </c>
      <c r="G109" s="1" t="s">
        <v>778</v>
      </c>
      <c r="H109" s="1" t="s">
        <v>778</v>
      </c>
      <c r="AS109" s="1" t="s">
        <v>778</v>
      </c>
      <c r="BC109" s="1" t="s">
        <v>778</v>
      </c>
      <c r="BD109" s="1" t="s">
        <v>778</v>
      </c>
      <c r="BW109" s="1" t="s">
        <v>778</v>
      </c>
      <c r="ER109" s="1" t="s">
        <v>778</v>
      </c>
      <c r="EU109" s="1" t="s">
        <v>778</v>
      </c>
      <c r="EZ109" s="1" t="s">
        <v>778</v>
      </c>
      <c r="FJ109" s="1" t="s">
        <v>778</v>
      </c>
      <c r="GI109" s="1" t="s">
        <v>778</v>
      </c>
      <c r="GU109" s="1" t="s">
        <v>778</v>
      </c>
      <c r="GY109" s="1" t="s">
        <v>778</v>
      </c>
      <c r="GZ109" s="1" t="s">
        <v>778</v>
      </c>
      <c r="NZ109" s="1" t="s">
        <v>778</v>
      </c>
      <c r="OA109" s="1" t="s">
        <v>778</v>
      </c>
      <c r="OB109" s="1" t="s">
        <v>778</v>
      </c>
      <c r="OC109" s="1" t="s">
        <v>778</v>
      </c>
      <c r="OD109" s="1" t="s">
        <v>778</v>
      </c>
      <c r="OE109" s="1" t="s">
        <v>778</v>
      </c>
      <c r="OF109" s="1" t="s">
        <v>778</v>
      </c>
      <c r="OG109" s="1" t="s">
        <v>778</v>
      </c>
      <c r="OH109" s="1" t="s">
        <v>778</v>
      </c>
      <c r="OX109" s="1" t="s">
        <v>778</v>
      </c>
      <c r="PF109" s="1" t="s">
        <v>778</v>
      </c>
      <c r="PG109" s="1" t="s">
        <v>778</v>
      </c>
      <c r="PH109" s="1" t="s">
        <v>778</v>
      </c>
      <c r="PK109" s="1" t="s">
        <v>778</v>
      </c>
      <c r="PL109" s="1" t="s">
        <v>778</v>
      </c>
      <c r="QF109" s="1">
        <f>SUM(D109:QE109)</f>
        <v>0</v>
      </c>
    </row>
    <row r="110" spans="1:448" ht="101.5" x14ac:dyDescent="0.35">
      <c r="A110" s="1" t="s">
        <v>859</v>
      </c>
      <c r="B110" s="1" t="s">
        <v>52</v>
      </c>
      <c r="C110" s="1" t="s">
        <v>886</v>
      </c>
      <c r="D110" s="1" t="s">
        <v>778</v>
      </c>
      <c r="E110" s="1" t="s">
        <v>778</v>
      </c>
      <c r="F110" s="1" t="s">
        <v>778</v>
      </c>
      <c r="G110" s="1" t="s">
        <v>778</v>
      </c>
      <c r="H110" s="1" t="s">
        <v>778</v>
      </c>
      <c r="I110" s="1" t="s">
        <v>778</v>
      </c>
      <c r="J110" s="1" t="s">
        <v>778</v>
      </c>
      <c r="N110" s="1" t="s">
        <v>778</v>
      </c>
      <c r="O110" s="1" t="s">
        <v>778</v>
      </c>
      <c r="AQ110" s="1" t="s">
        <v>778</v>
      </c>
      <c r="AS110" s="1" t="s">
        <v>778</v>
      </c>
      <c r="AX110" s="1" t="s">
        <v>778</v>
      </c>
      <c r="BL110" s="1" t="s">
        <v>778</v>
      </c>
      <c r="ER110" s="1" t="s">
        <v>778</v>
      </c>
      <c r="EU110" s="1" t="s">
        <v>778</v>
      </c>
      <c r="EV110" s="1" t="s">
        <v>778</v>
      </c>
      <c r="EX110" s="1" t="s">
        <v>778</v>
      </c>
      <c r="FJ110" s="1" t="s">
        <v>778</v>
      </c>
      <c r="FO110" s="1" t="s">
        <v>778</v>
      </c>
      <c r="FP110" s="1" t="s">
        <v>778</v>
      </c>
      <c r="FQ110" s="1" t="s">
        <v>778</v>
      </c>
      <c r="FR110" s="1" t="s">
        <v>778</v>
      </c>
      <c r="GY110" s="1" t="s">
        <v>778</v>
      </c>
      <c r="GZ110" s="1" t="s">
        <v>778</v>
      </c>
      <c r="NO110" s="1" t="s">
        <v>778</v>
      </c>
      <c r="NZ110" s="1" t="s">
        <v>778</v>
      </c>
      <c r="OA110" s="1" t="s">
        <v>778</v>
      </c>
      <c r="OB110" s="1" t="s">
        <v>778</v>
      </c>
      <c r="OC110" s="1" t="s">
        <v>778</v>
      </c>
      <c r="OD110" s="1" t="s">
        <v>778</v>
      </c>
      <c r="OE110" s="1" t="s">
        <v>778</v>
      </c>
      <c r="OF110" s="1" t="s">
        <v>778</v>
      </c>
      <c r="OG110" s="1" t="s">
        <v>778</v>
      </c>
      <c r="OH110" s="1" t="s">
        <v>778</v>
      </c>
      <c r="OX110" s="1" t="s">
        <v>778</v>
      </c>
      <c r="OZ110" s="1" t="s">
        <v>778</v>
      </c>
      <c r="PF110" s="1" t="s">
        <v>778</v>
      </c>
      <c r="PI110" s="1" t="s">
        <v>778</v>
      </c>
      <c r="PJ110" s="1" t="s">
        <v>778</v>
      </c>
      <c r="PK110" s="1" t="s">
        <v>778</v>
      </c>
      <c r="PM110" s="1" t="s">
        <v>778</v>
      </c>
      <c r="PN110" s="1" t="s">
        <v>778</v>
      </c>
      <c r="PO110" s="1" t="s">
        <v>778</v>
      </c>
      <c r="PP110" s="1" t="s">
        <v>778</v>
      </c>
      <c r="PQ110" s="1" t="s">
        <v>778</v>
      </c>
      <c r="PR110" s="1" t="s">
        <v>778</v>
      </c>
      <c r="PS110" s="1" t="s">
        <v>778</v>
      </c>
      <c r="PT110" s="1" t="s">
        <v>778</v>
      </c>
      <c r="PU110" s="1" t="s">
        <v>778</v>
      </c>
      <c r="QF110" s="1">
        <f t="shared" ref="QF110:QF113" si="0">SUM(D110:QE110)</f>
        <v>0</v>
      </c>
    </row>
    <row r="111" spans="1:448" ht="116" x14ac:dyDescent="0.35">
      <c r="A111" s="1" t="s">
        <v>859</v>
      </c>
      <c r="B111" s="1" t="s">
        <v>52</v>
      </c>
      <c r="C111" s="1" t="s">
        <v>887</v>
      </c>
      <c r="D111" s="1" t="s">
        <v>778</v>
      </c>
      <c r="E111" s="1" t="s">
        <v>778</v>
      </c>
      <c r="F111" s="1" t="s">
        <v>778</v>
      </c>
      <c r="G111" s="1" t="s">
        <v>778</v>
      </c>
      <c r="H111" s="1" t="s">
        <v>778</v>
      </c>
      <c r="I111" s="1" t="s">
        <v>778</v>
      </c>
      <c r="J111" s="1" t="s">
        <v>778</v>
      </c>
      <c r="N111" s="1" t="s">
        <v>778</v>
      </c>
      <c r="O111" s="1" t="s">
        <v>778</v>
      </c>
      <c r="AQ111" s="1" t="s">
        <v>778</v>
      </c>
      <c r="AS111" s="1" t="s">
        <v>778</v>
      </c>
      <c r="AX111" s="1" t="s">
        <v>778</v>
      </c>
      <c r="BL111" s="1" t="s">
        <v>778</v>
      </c>
      <c r="ER111" s="1" t="s">
        <v>778</v>
      </c>
      <c r="EU111" s="1" t="s">
        <v>778</v>
      </c>
      <c r="EV111" s="1" t="s">
        <v>778</v>
      </c>
      <c r="EX111" s="1" t="s">
        <v>778</v>
      </c>
      <c r="FJ111" s="1" t="s">
        <v>778</v>
      </c>
      <c r="FO111" s="1" t="s">
        <v>778</v>
      </c>
      <c r="FP111" s="1" t="s">
        <v>778</v>
      </c>
      <c r="FQ111" s="1" t="s">
        <v>778</v>
      </c>
      <c r="FR111" s="1" t="s">
        <v>778</v>
      </c>
      <c r="GY111" s="1" t="s">
        <v>778</v>
      </c>
      <c r="GZ111" s="1" t="s">
        <v>778</v>
      </c>
      <c r="NO111" s="1" t="s">
        <v>778</v>
      </c>
      <c r="NZ111" s="1" t="s">
        <v>778</v>
      </c>
      <c r="OA111" s="1" t="s">
        <v>778</v>
      </c>
      <c r="OB111" s="1" t="s">
        <v>778</v>
      </c>
      <c r="OC111" s="1" t="s">
        <v>778</v>
      </c>
      <c r="OD111" s="1" t="s">
        <v>778</v>
      </c>
      <c r="OE111" s="1" t="s">
        <v>778</v>
      </c>
      <c r="OF111" s="1" t="s">
        <v>778</v>
      </c>
      <c r="OG111" s="1" t="s">
        <v>778</v>
      </c>
      <c r="OH111" s="1" t="s">
        <v>778</v>
      </c>
      <c r="OX111" s="1" t="s">
        <v>778</v>
      </c>
      <c r="OZ111" s="1" t="s">
        <v>778</v>
      </c>
      <c r="PF111" s="1" t="s">
        <v>778</v>
      </c>
      <c r="PI111" s="1" t="s">
        <v>778</v>
      </c>
      <c r="PJ111" s="1" t="s">
        <v>778</v>
      </c>
      <c r="PK111" s="1" t="s">
        <v>778</v>
      </c>
      <c r="PM111" s="1" t="s">
        <v>778</v>
      </c>
      <c r="PN111" s="1" t="s">
        <v>778</v>
      </c>
      <c r="PO111" s="1" t="s">
        <v>778</v>
      </c>
      <c r="PP111" s="1" t="s">
        <v>778</v>
      </c>
      <c r="PQ111" s="1" t="s">
        <v>778</v>
      </c>
      <c r="PR111" s="1" t="s">
        <v>778</v>
      </c>
      <c r="PS111" s="1" t="s">
        <v>778</v>
      </c>
      <c r="PT111" s="1" t="s">
        <v>778</v>
      </c>
      <c r="PU111" s="1" t="s">
        <v>778</v>
      </c>
      <c r="QF111" s="1">
        <f t="shared" si="0"/>
        <v>0</v>
      </c>
    </row>
    <row r="112" spans="1:448" ht="174" x14ac:dyDescent="0.35">
      <c r="A112" s="1" t="s">
        <v>859</v>
      </c>
      <c r="B112" s="1" t="s">
        <v>52</v>
      </c>
      <c r="C112" s="1" t="s">
        <v>888</v>
      </c>
      <c r="D112" s="1" t="s">
        <v>778</v>
      </c>
      <c r="E112" s="1" t="s">
        <v>778</v>
      </c>
      <c r="F112" s="1" t="s">
        <v>778</v>
      </c>
      <c r="G112" s="1" t="s">
        <v>778</v>
      </c>
      <c r="H112" s="1" t="s">
        <v>778</v>
      </c>
      <c r="I112" s="1" t="s">
        <v>778</v>
      </c>
      <c r="J112" s="1" t="s">
        <v>778</v>
      </c>
      <c r="N112" s="1" t="s">
        <v>778</v>
      </c>
      <c r="O112" s="1" t="s">
        <v>778</v>
      </c>
      <c r="BC112" s="1" t="s">
        <v>778</v>
      </c>
      <c r="BD112" s="1" t="s">
        <v>778</v>
      </c>
      <c r="ER112" s="1" t="s">
        <v>778</v>
      </c>
      <c r="EU112" s="1" t="s">
        <v>778</v>
      </c>
      <c r="EV112" s="1" t="s">
        <v>778</v>
      </c>
      <c r="EX112" s="1" t="s">
        <v>778</v>
      </c>
      <c r="FJ112" s="1" t="s">
        <v>778</v>
      </c>
      <c r="FO112" s="1" t="s">
        <v>778</v>
      </c>
      <c r="FP112" s="1" t="s">
        <v>778</v>
      </c>
      <c r="FQ112" s="1" t="s">
        <v>778</v>
      </c>
      <c r="FR112" s="1" t="s">
        <v>778</v>
      </c>
      <c r="GY112" s="1" t="s">
        <v>778</v>
      </c>
      <c r="GZ112" s="1" t="s">
        <v>778</v>
      </c>
      <c r="NO112" s="1" t="s">
        <v>778</v>
      </c>
      <c r="NZ112" s="1" t="s">
        <v>778</v>
      </c>
      <c r="OA112" s="1" t="s">
        <v>778</v>
      </c>
      <c r="OB112" s="1" t="s">
        <v>778</v>
      </c>
      <c r="OC112" s="1" t="s">
        <v>778</v>
      </c>
      <c r="OD112" s="1" t="s">
        <v>778</v>
      </c>
      <c r="OE112" s="1" t="s">
        <v>778</v>
      </c>
      <c r="OF112" s="1" t="s">
        <v>778</v>
      </c>
      <c r="OG112" s="1" t="s">
        <v>778</v>
      </c>
      <c r="OH112" s="1" t="s">
        <v>778</v>
      </c>
      <c r="OX112" s="1" t="s">
        <v>778</v>
      </c>
      <c r="OZ112" s="1" t="s">
        <v>778</v>
      </c>
      <c r="PF112" s="1" t="s">
        <v>778</v>
      </c>
      <c r="PI112" s="1" t="s">
        <v>778</v>
      </c>
      <c r="PJ112" s="1" t="s">
        <v>778</v>
      </c>
      <c r="PK112" s="1" t="s">
        <v>778</v>
      </c>
      <c r="PM112" s="1" t="s">
        <v>778</v>
      </c>
      <c r="PN112" s="1" t="s">
        <v>778</v>
      </c>
      <c r="PO112" s="1" t="s">
        <v>778</v>
      </c>
      <c r="PP112" s="1" t="s">
        <v>778</v>
      </c>
      <c r="PQ112" s="1" t="s">
        <v>778</v>
      </c>
      <c r="PR112" s="1" t="s">
        <v>778</v>
      </c>
      <c r="PS112" s="1" t="s">
        <v>778</v>
      </c>
      <c r="PT112" s="1" t="s">
        <v>778</v>
      </c>
      <c r="PU112" s="1" t="s">
        <v>778</v>
      </c>
      <c r="QF112" s="1">
        <f t="shared" si="0"/>
        <v>0</v>
      </c>
    </row>
    <row r="113" spans="1:472" ht="159.5" x14ac:dyDescent="0.35">
      <c r="A113" s="1" t="s">
        <v>859</v>
      </c>
      <c r="B113" s="1" t="s">
        <v>52</v>
      </c>
      <c r="C113" s="1" t="s">
        <v>889</v>
      </c>
      <c r="D113" s="1" t="s">
        <v>778</v>
      </c>
      <c r="E113" s="1" t="s">
        <v>778</v>
      </c>
      <c r="F113" s="1" t="s">
        <v>778</v>
      </c>
      <c r="G113" s="1" t="s">
        <v>778</v>
      </c>
      <c r="H113" s="1" t="s">
        <v>778</v>
      </c>
      <c r="I113" s="1" t="s">
        <v>778</v>
      </c>
      <c r="J113" s="1" t="s">
        <v>778</v>
      </c>
      <c r="K113" s="1" t="s">
        <v>778</v>
      </c>
      <c r="L113" s="1" t="s">
        <v>778</v>
      </c>
      <c r="M113" s="1" t="s">
        <v>778</v>
      </c>
      <c r="AQ113" s="1" t="s">
        <v>778</v>
      </c>
      <c r="AS113" s="1" t="s">
        <v>778</v>
      </c>
      <c r="AX113" s="1" t="s">
        <v>778</v>
      </c>
      <c r="BL113" s="1" t="s">
        <v>778</v>
      </c>
      <c r="ER113" s="1" t="s">
        <v>778</v>
      </c>
      <c r="EU113" s="1" t="s">
        <v>778</v>
      </c>
      <c r="EV113" s="1" t="s">
        <v>778</v>
      </c>
      <c r="EX113" s="1" t="s">
        <v>778</v>
      </c>
      <c r="FJ113" s="1" t="s">
        <v>778</v>
      </c>
      <c r="FO113" s="1" t="s">
        <v>778</v>
      </c>
      <c r="FP113" s="1" t="s">
        <v>778</v>
      </c>
      <c r="FQ113" s="1" t="s">
        <v>778</v>
      </c>
      <c r="FR113" s="1" t="s">
        <v>778</v>
      </c>
      <c r="GY113" s="1" t="s">
        <v>778</v>
      </c>
      <c r="GZ113" s="1" t="s">
        <v>778</v>
      </c>
      <c r="NO113" s="1" t="s">
        <v>778</v>
      </c>
      <c r="NZ113" s="1" t="s">
        <v>778</v>
      </c>
      <c r="OA113" s="1" t="s">
        <v>778</v>
      </c>
      <c r="OB113" s="1" t="s">
        <v>778</v>
      </c>
      <c r="OC113" s="1" t="s">
        <v>778</v>
      </c>
      <c r="OD113" s="1" t="s">
        <v>778</v>
      </c>
      <c r="OE113" s="1" t="s">
        <v>778</v>
      </c>
      <c r="OF113" s="1" t="s">
        <v>778</v>
      </c>
      <c r="OG113" s="1" t="s">
        <v>778</v>
      </c>
      <c r="OH113" s="1" t="s">
        <v>778</v>
      </c>
      <c r="OX113" s="1" t="s">
        <v>778</v>
      </c>
      <c r="OZ113" s="1" t="s">
        <v>778</v>
      </c>
      <c r="PF113" s="1" t="s">
        <v>778</v>
      </c>
      <c r="PI113" s="1" t="s">
        <v>778</v>
      </c>
      <c r="PJ113" s="1" t="s">
        <v>778</v>
      </c>
      <c r="PK113" s="1" t="s">
        <v>778</v>
      </c>
      <c r="PM113" s="1" t="s">
        <v>778</v>
      </c>
      <c r="PN113" s="1" t="s">
        <v>778</v>
      </c>
      <c r="PO113" s="1" t="s">
        <v>778</v>
      </c>
      <c r="PP113" s="1" t="s">
        <v>778</v>
      </c>
      <c r="PQ113" s="1" t="s">
        <v>778</v>
      </c>
      <c r="PR113" s="1" t="s">
        <v>778</v>
      </c>
      <c r="PS113" s="1" t="s">
        <v>778</v>
      </c>
      <c r="PT113" s="1" t="s">
        <v>778</v>
      </c>
      <c r="PU113" s="1" t="s">
        <v>778</v>
      </c>
      <c r="QF113" s="1">
        <f t="shared" si="0"/>
        <v>0</v>
      </c>
    </row>
    <row r="114" spans="1:472" ht="159.5" x14ac:dyDescent="0.35">
      <c r="A114" s="1" t="s">
        <v>859</v>
      </c>
      <c r="B114" s="1" t="s">
        <v>52</v>
      </c>
      <c r="C114" s="1" t="s">
        <v>890</v>
      </c>
      <c r="D114" s="1" t="s">
        <v>778</v>
      </c>
      <c r="E114" s="1" t="s">
        <v>778</v>
      </c>
      <c r="F114" s="1" t="s">
        <v>778</v>
      </c>
      <c r="G114" s="1" t="s">
        <v>778</v>
      </c>
      <c r="H114" s="1" t="s">
        <v>778</v>
      </c>
      <c r="I114" s="1" t="s">
        <v>778</v>
      </c>
      <c r="J114" s="1" t="s">
        <v>778</v>
      </c>
      <c r="K114" s="1" t="s">
        <v>778</v>
      </c>
      <c r="L114" s="1" t="s">
        <v>778</v>
      </c>
      <c r="M114" s="1" t="s">
        <v>778</v>
      </c>
      <c r="BC114" s="1" t="s">
        <v>778</v>
      </c>
      <c r="BD114" s="1" t="s">
        <v>778</v>
      </c>
      <c r="ER114" s="1" t="s">
        <v>778</v>
      </c>
      <c r="EU114" s="1" t="s">
        <v>778</v>
      </c>
      <c r="EV114" s="1" t="s">
        <v>778</v>
      </c>
      <c r="EX114" s="1" t="s">
        <v>778</v>
      </c>
      <c r="FJ114" s="1" t="s">
        <v>778</v>
      </c>
      <c r="FO114" s="1" t="s">
        <v>778</v>
      </c>
      <c r="FP114" s="1" t="s">
        <v>778</v>
      </c>
      <c r="FQ114" s="1" t="s">
        <v>778</v>
      </c>
      <c r="FR114" s="1" t="s">
        <v>778</v>
      </c>
      <c r="GY114" s="1" t="s">
        <v>778</v>
      </c>
      <c r="GZ114" s="1" t="s">
        <v>778</v>
      </c>
      <c r="NO114" s="1" t="s">
        <v>778</v>
      </c>
      <c r="NZ114" s="1" t="s">
        <v>778</v>
      </c>
      <c r="OA114" s="1" t="s">
        <v>778</v>
      </c>
      <c r="OB114" s="1" t="s">
        <v>778</v>
      </c>
      <c r="OC114" s="1" t="s">
        <v>778</v>
      </c>
      <c r="OD114" s="1" t="s">
        <v>778</v>
      </c>
      <c r="OE114" s="1" t="s">
        <v>778</v>
      </c>
      <c r="OF114" s="1" t="s">
        <v>778</v>
      </c>
      <c r="OG114" s="1" t="s">
        <v>778</v>
      </c>
      <c r="OH114" s="1" t="s">
        <v>778</v>
      </c>
      <c r="OX114" s="1" t="s">
        <v>778</v>
      </c>
      <c r="OZ114" s="1" t="s">
        <v>778</v>
      </c>
      <c r="PF114" s="1" t="s">
        <v>778</v>
      </c>
      <c r="PI114" s="1" t="s">
        <v>778</v>
      </c>
      <c r="PJ114" s="1" t="s">
        <v>778</v>
      </c>
      <c r="PK114" s="1" t="s">
        <v>778</v>
      </c>
      <c r="PM114" s="1" t="s">
        <v>778</v>
      </c>
      <c r="PN114" s="1" t="s">
        <v>778</v>
      </c>
      <c r="PO114" s="1" t="s">
        <v>778</v>
      </c>
      <c r="PP114" s="1" t="s">
        <v>778</v>
      </c>
      <c r="PQ114" s="1" t="s">
        <v>778</v>
      </c>
      <c r="PR114" s="1" t="s">
        <v>778</v>
      </c>
      <c r="PS114" s="1" t="s">
        <v>778</v>
      </c>
      <c r="PT114" s="1" t="s">
        <v>778</v>
      </c>
      <c r="PU114" s="1" t="s">
        <v>778</v>
      </c>
      <c r="QF114" s="1">
        <v>0</v>
      </c>
    </row>
    <row r="115" spans="1:472" ht="188.5" x14ac:dyDescent="0.35">
      <c r="A115" s="1" t="s">
        <v>859</v>
      </c>
      <c r="B115" s="1" t="s">
        <v>52</v>
      </c>
      <c r="C115" s="1" t="s">
        <v>891</v>
      </c>
      <c r="D115" s="1" t="s">
        <v>778</v>
      </c>
      <c r="E115" s="1" t="s">
        <v>778</v>
      </c>
      <c r="F115" s="1" t="s">
        <v>778</v>
      </c>
      <c r="G115" s="1" t="s">
        <v>778</v>
      </c>
      <c r="H115" s="1" t="s">
        <v>778</v>
      </c>
      <c r="I115" s="1" t="s">
        <v>778</v>
      </c>
      <c r="J115" s="1" t="s">
        <v>778</v>
      </c>
      <c r="Z115" s="1" t="s">
        <v>778</v>
      </c>
      <c r="AA115" s="1" t="s">
        <v>778</v>
      </c>
      <c r="AQ115" s="1" t="s">
        <v>778</v>
      </c>
      <c r="AS115" s="1" t="s">
        <v>778</v>
      </c>
      <c r="AX115" s="1" t="s">
        <v>778</v>
      </c>
      <c r="BL115" s="1" t="s">
        <v>778</v>
      </c>
      <c r="ER115" s="1" t="s">
        <v>778</v>
      </c>
      <c r="EU115" s="1" t="s">
        <v>778</v>
      </c>
      <c r="EV115" s="1" t="s">
        <v>778</v>
      </c>
      <c r="EX115" s="1" t="s">
        <v>778</v>
      </c>
      <c r="FJ115" s="1" t="s">
        <v>778</v>
      </c>
      <c r="FO115" s="1" t="s">
        <v>778</v>
      </c>
      <c r="FP115" s="1" t="s">
        <v>778</v>
      </c>
      <c r="FQ115" s="1" t="s">
        <v>778</v>
      </c>
      <c r="FR115" s="1" t="s">
        <v>778</v>
      </c>
      <c r="GY115" s="1" t="s">
        <v>778</v>
      </c>
      <c r="GZ115" s="1" t="s">
        <v>778</v>
      </c>
      <c r="NO115" s="1" t="s">
        <v>778</v>
      </c>
      <c r="NZ115" s="1" t="s">
        <v>778</v>
      </c>
      <c r="OA115" s="1" t="s">
        <v>778</v>
      </c>
      <c r="OB115" s="1" t="s">
        <v>778</v>
      </c>
      <c r="OC115" s="1" t="s">
        <v>778</v>
      </c>
      <c r="OD115" s="1" t="s">
        <v>778</v>
      </c>
      <c r="OE115" s="1" t="s">
        <v>778</v>
      </c>
      <c r="OF115" s="1" t="s">
        <v>778</v>
      </c>
      <c r="OG115" s="1" t="s">
        <v>778</v>
      </c>
      <c r="OH115" s="1" t="s">
        <v>778</v>
      </c>
      <c r="OX115" s="1" t="s">
        <v>778</v>
      </c>
      <c r="OZ115" s="1" t="s">
        <v>778</v>
      </c>
      <c r="PF115" s="1" t="s">
        <v>778</v>
      </c>
      <c r="PI115" s="1" t="s">
        <v>778</v>
      </c>
      <c r="PJ115" s="1" t="s">
        <v>778</v>
      </c>
      <c r="PK115" s="1" t="s">
        <v>778</v>
      </c>
      <c r="PM115" s="1" t="s">
        <v>778</v>
      </c>
      <c r="PN115" s="1" t="s">
        <v>778</v>
      </c>
      <c r="PO115" s="1" t="s">
        <v>778</v>
      </c>
      <c r="PP115" s="1" t="s">
        <v>778</v>
      </c>
      <c r="PQ115" s="1" t="s">
        <v>778</v>
      </c>
      <c r="PR115" s="1" t="s">
        <v>778</v>
      </c>
      <c r="PS115" s="1" t="s">
        <v>778</v>
      </c>
      <c r="PT115" s="1" t="s">
        <v>778</v>
      </c>
      <c r="PU115" s="1" t="s">
        <v>778</v>
      </c>
      <c r="QF115" s="1">
        <v>0</v>
      </c>
    </row>
    <row r="116" spans="1:472" ht="188.5" x14ac:dyDescent="0.35">
      <c r="A116" s="1" t="s">
        <v>859</v>
      </c>
      <c r="B116" s="1" t="s">
        <v>52</v>
      </c>
      <c r="C116" s="1" t="s">
        <v>892</v>
      </c>
      <c r="D116" s="1" t="s">
        <v>778</v>
      </c>
      <c r="E116" s="1" t="s">
        <v>778</v>
      </c>
      <c r="F116" s="1" t="s">
        <v>778</v>
      </c>
      <c r="G116" s="1" t="s">
        <v>778</v>
      </c>
      <c r="H116" s="1" t="s">
        <v>778</v>
      </c>
      <c r="I116" s="1" t="s">
        <v>778</v>
      </c>
      <c r="J116" s="1" t="s">
        <v>778</v>
      </c>
      <c r="Z116" s="1" t="s">
        <v>778</v>
      </c>
      <c r="AA116" s="1" t="s">
        <v>778</v>
      </c>
      <c r="BC116" s="1" t="s">
        <v>778</v>
      </c>
      <c r="BD116" s="1" t="s">
        <v>778</v>
      </c>
      <c r="ER116" s="1" t="s">
        <v>778</v>
      </c>
      <c r="EU116" s="1" t="s">
        <v>778</v>
      </c>
      <c r="EV116" s="1" t="s">
        <v>778</v>
      </c>
      <c r="EX116" s="1" t="s">
        <v>778</v>
      </c>
      <c r="FJ116" s="1" t="s">
        <v>778</v>
      </c>
      <c r="FO116" s="1" t="s">
        <v>778</v>
      </c>
      <c r="FP116" s="1" t="s">
        <v>778</v>
      </c>
      <c r="FQ116" s="1" t="s">
        <v>778</v>
      </c>
      <c r="FR116" s="1" t="s">
        <v>778</v>
      </c>
      <c r="GY116" s="1" t="s">
        <v>778</v>
      </c>
      <c r="GZ116" s="1" t="s">
        <v>778</v>
      </c>
      <c r="NO116" s="1" t="s">
        <v>778</v>
      </c>
      <c r="NZ116" s="1" t="s">
        <v>778</v>
      </c>
      <c r="OA116" s="1" t="s">
        <v>778</v>
      </c>
      <c r="OB116" s="1" t="s">
        <v>778</v>
      </c>
      <c r="OC116" s="1" t="s">
        <v>778</v>
      </c>
      <c r="OD116" s="1" t="s">
        <v>778</v>
      </c>
      <c r="OE116" s="1" t="s">
        <v>778</v>
      </c>
      <c r="OF116" s="1" t="s">
        <v>778</v>
      </c>
      <c r="OG116" s="1" t="s">
        <v>778</v>
      </c>
      <c r="OH116" s="1" t="s">
        <v>778</v>
      </c>
      <c r="OX116" s="1" t="s">
        <v>778</v>
      </c>
      <c r="OZ116" s="1" t="s">
        <v>778</v>
      </c>
      <c r="PF116" s="1" t="s">
        <v>778</v>
      </c>
      <c r="PI116" s="1" t="s">
        <v>778</v>
      </c>
      <c r="PJ116" s="1" t="s">
        <v>778</v>
      </c>
      <c r="PK116" s="1" t="s">
        <v>778</v>
      </c>
      <c r="PM116" s="1" t="s">
        <v>778</v>
      </c>
      <c r="PN116" s="1" t="s">
        <v>778</v>
      </c>
      <c r="PO116" s="1" t="s">
        <v>778</v>
      </c>
      <c r="PP116" s="1" t="s">
        <v>778</v>
      </c>
      <c r="PQ116" s="1" t="s">
        <v>778</v>
      </c>
      <c r="PR116" s="1" t="s">
        <v>778</v>
      </c>
      <c r="PS116" s="1" t="s">
        <v>778</v>
      </c>
      <c r="PT116" s="1" t="s">
        <v>778</v>
      </c>
      <c r="PU116" s="1" t="s">
        <v>778</v>
      </c>
      <c r="QF116" s="1">
        <v>0</v>
      </c>
    </row>
    <row r="117" spans="1:472" ht="159.5" x14ac:dyDescent="0.35">
      <c r="A117" s="1" t="s">
        <v>859</v>
      </c>
      <c r="B117" s="1" t="s">
        <v>52</v>
      </c>
      <c r="C117" s="1" t="s">
        <v>893</v>
      </c>
      <c r="D117" s="1" t="s">
        <v>778</v>
      </c>
      <c r="E117" s="1" t="s">
        <v>778</v>
      </c>
      <c r="F117" s="1" t="s">
        <v>778</v>
      </c>
      <c r="G117" s="1" t="s">
        <v>778</v>
      </c>
      <c r="H117" s="1" t="s">
        <v>778</v>
      </c>
      <c r="I117" s="1" t="s">
        <v>778</v>
      </c>
      <c r="J117" s="1" t="s">
        <v>778</v>
      </c>
      <c r="X117" s="1" t="s">
        <v>778</v>
      </c>
      <c r="Y117" s="1" t="s">
        <v>778</v>
      </c>
      <c r="BC117" s="1" t="s">
        <v>778</v>
      </c>
      <c r="BD117" s="1" t="s">
        <v>778</v>
      </c>
      <c r="ER117" s="1" t="s">
        <v>778</v>
      </c>
      <c r="EU117" s="1" t="s">
        <v>778</v>
      </c>
      <c r="EV117" s="1" t="s">
        <v>778</v>
      </c>
      <c r="EX117" s="1" t="s">
        <v>778</v>
      </c>
      <c r="FJ117" s="1" t="s">
        <v>778</v>
      </c>
      <c r="FO117" s="1" t="s">
        <v>778</v>
      </c>
      <c r="FP117" s="1" t="s">
        <v>778</v>
      </c>
      <c r="FQ117" s="1" t="s">
        <v>778</v>
      </c>
      <c r="FR117" s="1" t="s">
        <v>778</v>
      </c>
      <c r="GY117" s="1" t="s">
        <v>778</v>
      </c>
      <c r="GZ117" s="1" t="s">
        <v>778</v>
      </c>
      <c r="NO117" s="1" t="s">
        <v>778</v>
      </c>
      <c r="NZ117" s="1" t="s">
        <v>778</v>
      </c>
      <c r="OA117" s="1" t="s">
        <v>778</v>
      </c>
      <c r="OB117" s="1" t="s">
        <v>778</v>
      </c>
      <c r="OC117" s="1" t="s">
        <v>778</v>
      </c>
      <c r="OD117" s="1" t="s">
        <v>778</v>
      </c>
      <c r="OE117" s="1" t="s">
        <v>778</v>
      </c>
      <c r="OF117" s="1" t="s">
        <v>778</v>
      </c>
      <c r="OG117" s="1" t="s">
        <v>778</v>
      </c>
      <c r="OH117" s="1" t="s">
        <v>778</v>
      </c>
      <c r="OX117" s="1" t="s">
        <v>778</v>
      </c>
      <c r="OZ117" s="1" t="s">
        <v>778</v>
      </c>
      <c r="PF117" s="1" t="s">
        <v>778</v>
      </c>
      <c r="PI117" s="1" t="s">
        <v>778</v>
      </c>
      <c r="PJ117" s="1" t="s">
        <v>778</v>
      </c>
      <c r="PK117" s="1" t="s">
        <v>778</v>
      </c>
      <c r="PM117" s="1" t="s">
        <v>778</v>
      </c>
      <c r="PN117" s="1" t="s">
        <v>778</v>
      </c>
      <c r="PO117" s="1" t="s">
        <v>778</v>
      </c>
      <c r="PP117" s="1" t="s">
        <v>778</v>
      </c>
      <c r="PQ117" s="1" t="s">
        <v>778</v>
      </c>
      <c r="PR117" s="1" t="s">
        <v>778</v>
      </c>
      <c r="PS117" s="1" t="s">
        <v>778</v>
      </c>
      <c r="PT117" s="1" t="s">
        <v>778</v>
      </c>
      <c r="PU117" s="1" t="s">
        <v>778</v>
      </c>
      <c r="QF117" s="1">
        <f>SUM(D117:QE117)</f>
        <v>0</v>
      </c>
    </row>
    <row r="118" spans="1:472" ht="159.5" x14ac:dyDescent="0.35">
      <c r="A118" s="1" t="s">
        <v>859</v>
      </c>
      <c r="B118" s="1" t="s">
        <v>52</v>
      </c>
      <c r="C118" s="1" t="s">
        <v>894</v>
      </c>
      <c r="D118" s="1" t="s">
        <v>778</v>
      </c>
      <c r="E118" s="1" t="s">
        <v>778</v>
      </c>
      <c r="F118" s="1" t="s">
        <v>778</v>
      </c>
      <c r="G118" s="1" t="s">
        <v>778</v>
      </c>
      <c r="H118" s="1" t="s">
        <v>778</v>
      </c>
      <c r="AX118" s="1" t="s">
        <v>778</v>
      </c>
      <c r="BC118" s="1" t="s">
        <v>778</v>
      </c>
      <c r="BD118" s="1" t="s">
        <v>778</v>
      </c>
      <c r="BP118" s="1" t="s">
        <v>778</v>
      </c>
      <c r="ER118" s="1" t="s">
        <v>778</v>
      </c>
      <c r="EW118" s="1" t="s">
        <v>778</v>
      </c>
      <c r="FJ118" s="1" t="s">
        <v>778</v>
      </c>
      <c r="GU118" s="1" t="s">
        <v>778</v>
      </c>
      <c r="GZ118" s="1" t="s">
        <v>778</v>
      </c>
      <c r="PS118" s="1" t="s">
        <v>778</v>
      </c>
      <c r="PT118" s="1" t="s">
        <v>778</v>
      </c>
      <c r="PU118" s="1" t="s">
        <v>778</v>
      </c>
      <c r="QF118" s="1">
        <f>SUM(D118:QE118)</f>
        <v>0</v>
      </c>
    </row>
    <row r="119" spans="1:472" ht="174" x14ac:dyDescent="0.35">
      <c r="A119" s="1" t="s">
        <v>859</v>
      </c>
      <c r="B119" s="1" t="s">
        <v>52</v>
      </c>
      <c r="C119" s="1" t="s">
        <v>895</v>
      </c>
      <c r="D119" s="1" t="s">
        <v>778</v>
      </c>
      <c r="E119" s="1" t="s">
        <v>778</v>
      </c>
      <c r="F119" s="1" t="s">
        <v>778</v>
      </c>
      <c r="G119" s="1" t="s">
        <v>778</v>
      </c>
      <c r="H119" s="1" t="s">
        <v>778</v>
      </c>
      <c r="AS119" s="1" t="s">
        <v>778</v>
      </c>
      <c r="AX119" s="1" t="s">
        <v>778</v>
      </c>
      <c r="AZ119" s="1" t="s">
        <v>778</v>
      </c>
      <c r="BC119" s="1" t="s">
        <v>778</v>
      </c>
      <c r="BD119" s="1" t="s">
        <v>778</v>
      </c>
      <c r="BP119" s="1" t="s">
        <v>778</v>
      </c>
      <c r="FJ119" s="1" t="s">
        <v>778</v>
      </c>
      <c r="GY119" s="1" t="s">
        <v>778</v>
      </c>
      <c r="NM119" s="1" t="s">
        <v>778</v>
      </c>
      <c r="NN119" s="1" t="s">
        <v>778</v>
      </c>
      <c r="PA119" s="1" t="s">
        <v>778</v>
      </c>
      <c r="QF119" s="1">
        <f>SUM(D119:QE119)</f>
        <v>0</v>
      </c>
    </row>
    <row r="120" spans="1:472" ht="188.5" x14ac:dyDescent="0.35">
      <c r="A120" s="1" t="s">
        <v>859</v>
      </c>
      <c r="B120" s="1" t="s">
        <v>52</v>
      </c>
      <c r="C120" s="1" t="s">
        <v>896</v>
      </c>
      <c r="D120" s="1" t="s">
        <v>778</v>
      </c>
      <c r="E120" s="1" t="s">
        <v>778</v>
      </c>
      <c r="F120" s="1" t="s">
        <v>778</v>
      </c>
      <c r="G120" s="1" t="s">
        <v>778</v>
      </c>
      <c r="H120" s="1" t="s">
        <v>778</v>
      </c>
      <c r="I120" s="1" t="s">
        <v>778</v>
      </c>
      <c r="J120" s="1" t="s">
        <v>778</v>
      </c>
      <c r="AZ120" s="1" t="s">
        <v>778</v>
      </c>
      <c r="BC120" s="1" t="s">
        <v>778</v>
      </c>
      <c r="BD120" s="1" t="s">
        <v>778</v>
      </c>
      <c r="FJ120" s="1" t="s">
        <v>778</v>
      </c>
      <c r="GY120" s="1" t="s">
        <v>778</v>
      </c>
      <c r="NM120" s="1" t="s">
        <v>778</v>
      </c>
      <c r="NN120" s="1" t="s">
        <v>778</v>
      </c>
      <c r="PA120" s="1" t="s">
        <v>778</v>
      </c>
      <c r="QF120" s="1">
        <f>SUM(D120:QE120)</f>
        <v>0</v>
      </c>
    </row>
    <row r="121" spans="1:472" ht="101.5" x14ac:dyDescent="0.35">
      <c r="A121" s="1" t="s">
        <v>859</v>
      </c>
      <c r="B121" s="1" t="s">
        <v>89</v>
      </c>
      <c r="C121" s="1" t="s">
        <v>897</v>
      </c>
      <c r="D121" s="1" t="s">
        <v>778</v>
      </c>
      <c r="E121" s="1" t="s">
        <v>778</v>
      </c>
      <c r="F121" s="1" t="s">
        <v>778</v>
      </c>
      <c r="G121" s="1" t="s">
        <v>778</v>
      </c>
      <c r="H121" s="1" t="s">
        <v>778</v>
      </c>
      <c r="AD121" s="1" t="s">
        <v>778</v>
      </c>
      <c r="AF121" s="1" t="s">
        <v>778</v>
      </c>
      <c r="IY121" s="1" t="s">
        <v>778</v>
      </c>
      <c r="JK121" s="1" t="s">
        <v>778</v>
      </c>
      <c r="JL121" s="1" t="s">
        <v>778</v>
      </c>
      <c r="NJ121" s="1" t="s">
        <v>778</v>
      </c>
      <c r="QF121" s="1" t="s">
        <v>778</v>
      </c>
      <c r="QG121" s="1" t="s">
        <v>778</v>
      </c>
      <c r="QH121" s="1" t="s">
        <v>778</v>
      </c>
      <c r="QI121" s="1" t="s">
        <v>778</v>
      </c>
      <c r="QK121" s="1" t="s">
        <v>778</v>
      </c>
      <c r="QL121" s="1" t="s">
        <v>778</v>
      </c>
      <c r="QM121" s="1" t="s">
        <v>778</v>
      </c>
      <c r="QN121" s="1" t="s">
        <v>778</v>
      </c>
      <c r="QO121" s="1" t="s">
        <v>778</v>
      </c>
      <c r="QP121" s="1" t="s">
        <v>778</v>
      </c>
      <c r="QQ121" s="1" t="s">
        <v>778</v>
      </c>
      <c r="QR121" s="1" t="s">
        <v>778</v>
      </c>
      <c r="QS121" s="1" t="s">
        <v>778</v>
      </c>
      <c r="QT121" s="1" t="s">
        <v>778</v>
      </c>
      <c r="QU121" s="1" t="s">
        <v>778</v>
      </c>
      <c r="QV121" s="1" t="s">
        <v>778</v>
      </c>
      <c r="QW121" s="1" t="s">
        <v>778</v>
      </c>
      <c r="QX121" s="1" t="s">
        <v>778</v>
      </c>
      <c r="QY121" s="1" t="s">
        <v>778</v>
      </c>
      <c r="QZ121" s="1" t="s">
        <v>778</v>
      </c>
      <c r="RA121" s="1" t="s">
        <v>778</v>
      </c>
    </row>
    <row r="122" spans="1:472" ht="58" x14ac:dyDescent="0.35">
      <c r="A122" s="1" t="s">
        <v>859</v>
      </c>
      <c r="B122" s="1" t="s">
        <v>89</v>
      </c>
      <c r="C122" s="1" t="s">
        <v>898</v>
      </c>
      <c r="D122" s="1" t="s">
        <v>778</v>
      </c>
      <c r="E122" s="1" t="s">
        <v>778</v>
      </c>
      <c r="F122" s="1" t="s">
        <v>778</v>
      </c>
      <c r="G122" s="1" t="s">
        <v>778</v>
      </c>
      <c r="H122" s="1" t="s">
        <v>778</v>
      </c>
      <c r="AD122" s="1" t="s">
        <v>778</v>
      </c>
      <c r="AF122" s="1" t="s">
        <v>778</v>
      </c>
      <c r="JK122" s="1" t="s">
        <v>778</v>
      </c>
      <c r="JL122" s="1" t="s">
        <v>778</v>
      </c>
      <c r="NJ122" s="1" t="s">
        <v>778</v>
      </c>
      <c r="QF122" s="1" t="s">
        <v>778</v>
      </c>
    </row>
    <row r="123" spans="1:472" ht="58" x14ac:dyDescent="0.35">
      <c r="A123" s="1" t="s">
        <v>859</v>
      </c>
      <c r="B123" s="1" t="s">
        <v>89</v>
      </c>
      <c r="C123" s="1" t="s">
        <v>899</v>
      </c>
      <c r="D123" s="1" t="s">
        <v>778</v>
      </c>
      <c r="E123" s="1" t="s">
        <v>778</v>
      </c>
      <c r="F123" s="1" t="s">
        <v>778</v>
      </c>
      <c r="G123" s="1" t="s">
        <v>778</v>
      </c>
      <c r="H123" s="1" t="s">
        <v>778</v>
      </c>
      <c r="I123" s="1" t="s">
        <v>778</v>
      </c>
      <c r="J123" s="1" t="s">
        <v>778</v>
      </c>
      <c r="K123" s="1" t="s">
        <v>778</v>
      </c>
      <c r="L123" s="1" t="s">
        <v>778</v>
      </c>
      <c r="M123" s="1" t="s">
        <v>778</v>
      </c>
      <c r="P123" s="1" t="s">
        <v>778</v>
      </c>
      <c r="Q123" s="1" t="s">
        <v>778</v>
      </c>
      <c r="AD123" s="1" t="s">
        <v>778</v>
      </c>
      <c r="AF123" s="1" t="s">
        <v>778</v>
      </c>
      <c r="IY123" s="1" t="s">
        <v>778</v>
      </c>
      <c r="JK123" s="1" t="s">
        <v>778</v>
      </c>
      <c r="JL123" s="1" t="s">
        <v>778</v>
      </c>
      <c r="NJ123" s="1" t="s">
        <v>778</v>
      </c>
      <c r="QD123" s="1" t="s">
        <v>778</v>
      </c>
      <c r="QF123" s="1" t="s">
        <v>778</v>
      </c>
      <c r="QG123" s="1" t="s">
        <v>778</v>
      </c>
      <c r="QH123" s="1" t="s">
        <v>778</v>
      </c>
      <c r="QI123" s="1" t="s">
        <v>778</v>
      </c>
      <c r="QK123" s="1" t="s">
        <v>778</v>
      </c>
      <c r="QL123" s="1" t="s">
        <v>778</v>
      </c>
      <c r="QM123" s="1" t="s">
        <v>778</v>
      </c>
      <c r="QN123" s="1" t="s">
        <v>778</v>
      </c>
      <c r="QO123" s="1" t="s">
        <v>778</v>
      </c>
      <c r="QP123" s="1" t="s">
        <v>778</v>
      </c>
      <c r="QQ123" s="1" t="s">
        <v>778</v>
      </c>
      <c r="QR123" s="1" t="s">
        <v>778</v>
      </c>
      <c r="QS123" s="1" t="s">
        <v>778</v>
      </c>
      <c r="QT123" s="1" t="s">
        <v>778</v>
      </c>
      <c r="QU123" s="1" t="s">
        <v>778</v>
      </c>
      <c r="QV123" s="1" t="s">
        <v>778</v>
      </c>
      <c r="QW123" s="1" t="s">
        <v>778</v>
      </c>
      <c r="QX123" s="1" t="s">
        <v>778</v>
      </c>
      <c r="QY123" s="1" t="s">
        <v>778</v>
      </c>
      <c r="QZ123" s="1" t="s">
        <v>778</v>
      </c>
      <c r="RA123" s="1" t="s">
        <v>778</v>
      </c>
    </row>
    <row r="124" spans="1:472" ht="58" x14ac:dyDescent="0.35">
      <c r="A124" s="1" t="s">
        <v>859</v>
      </c>
      <c r="B124" s="1" t="s">
        <v>71</v>
      </c>
      <c r="C124" s="1" t="s">
        <v>900</v>
      </c>
      <c r="D124" s="1" t="s">
        <v>778</v>
      </c>
      <c r="E124" s="1" t="s">
        <v>778</v>
      </c>
      <c r="F124" s="1" t="s">
        <v>778</v>
      </c>
      <c r="G124" s="1" t="s">
        <v>778</v>
      </c>
      <c r="H124" s="1" t="s">
        <v>778</v>
      </c>
      <c r="NK124" s="1" t="s">
        <v>778</v>
      </c>
      <c r="NQ124" s="1" t="s">
        <v>778</v>
      </c>
      <c r="NR124" s="1" t="s">
        <v>778</v>
      </c>
      <c r="NS124" s="1" t="s">
        <v>778</v>
      </c>
    </row>
    <row r="125" spans="1:472" ht="58" x14ac:dyDescent="0.35">
      <c r="A125" s="1" t="s">
        <v>859</v>
      </c>
      <c r="B125" s="1" t="s">
        <v>71</v>
      </c>
      <c r="C125" s="1" t="s">
        <v>901</v>
      </c>
      <c r="D125" s="1" t="s">
        <v>778</v>
      </c>
      <c r="E125" s="1" t="s">
        <v>778</v>
      </c>
      <c r="F125" s="1" t="s">
        <v>778</v>
      </c>
      <c r="G125" s="1" t="s">
        <v>778</v>
      </c>
      <c r="H125" s="1" t="s">
        <v>778</v>
      </c>
      <c r="I125" s="1" t="s">
        <v>778</v>
      </c>
      <c r="J125" s="1" t="s">
        <v>778</v>
      </c>
      <c r="K125" s="1" t="s">
        <v>778</v>
      </c>
      <c r="L125" s="1" t="s">
        <v>778</v>
      </c>
      <c r="M125" s="1" t="s">
        <v>778</v>
      </c>
      <c r="AD125" s="1" t="s">
        <v>778</v>
      </c>
      <c r="GH125" s="1" t="s">
        <v>778</v>
      </c>
      <c r="IY125" s="1" t="s">
        <v>778</v>
      </c>
      <c r="JK125" s="1" t="s">
        <v>778</v>
      </c>
      <c r="NJ125" s="1" t="s">
        <v>778</v>
      </c>
      <c r="NK125" s="1" t="s">
        <v>778</v>
      </c>
      <c r="NP125" s="1" t="s">
        <v>778</v>
      </c>
      <c r="NT125" s="1" t="s">
        <v>778</v>
      </c>
      <c r="NU125" s="1" t="s">
        <v>778</v>
      </c>
      <c r="NV125" s="1" t="s">
        <v>778</v>
      </c>
      <c r="NW125" s="1" t="s">
        <v>778</v>
      </c>
      <c r="NY125" s="1" t="s">
        <v>778</v>
      </c>
      <c r="OK125" s="1" t="s">
        <v>778</v>
      </c>
      <c r="OL125" s="1" t="s">
        <v>778</v>
      </c>
      <c r="OS125" s="1" t="s">
        <v>778</v>
      </c>
      <c r="OU125" s="1" t="s">
        <v>778</v>
      </c>
      <c r="OV125" s="1" t="s">
        <v>778</v>
      </c>
      <c r="OW125" s="1" t="s">
        <v>778</v>
      </c>
      <c r="PB125" s="1" t="s">
        <v>778</v>
      </c>
      <c r="PC125" s="1" t="s">
        <v>778</v>
      </c>
      <c r="PD125" s="1" t="s">
        <v>778</v>
      </c>
      <c r="PE125" s="1" t="s">
        <v>778</v>
      </c>
      <c r="PV125" s="1" t="s">
        <v>778</v>
      </c>
      <c r="PW125" s="1" t="s">
        <v>778</v>
      </c>
      <c r="QA125" s="1" t="s">
        <v>778</v>
      </c>
      <c r="RB125" s="1" t="s">
        <v>778</v>
      </c>
      <c r="RC125" s="1" t="s">
        <v>778</v>
      </c>
      <c r="RD125" s="1" t="s">
        <v>778</v>
      </c>
    </row>
    <row r="126" spans="1:472" ht="130.5" x14ac:dyDescent="0.35">
      <c r="A126" s="1" t="s">
        <v>859</v>
      </c>
      <c r="B126" s="1" t="s">
        <v>71</v>
      </c>
      <c r="C126" s="1" t="s">
        <v>902</v>
      </c>
      <c r="D126" s="1" t="s">
        <v>778</v>
      </c>
      <c r="E126" s="1" t="s">
        <v>778</v>
      </c>
      <c r="F126" s="1" t="s">
        <v>778</v>
      </c>
      <c r="G126" s="1" t="s">
        <v>778</v>
      </c>
      <c r="H126" s="1" t="s">
        <v>778</v>
      </c>
      <c r="I126" s="1" t="s">
        <v>778</v>
      </c>
      <c r="J126" s="1" t="s">
        <v>778</v>
      </c>
      <c r="K126" s="1" t="s">
        <v>778</v>
      </c>
      <c r="L126" s="1" t="s">
        <v>778</v>
      </c>
      <c r="M126" s="1" t="s">
        <v>778</v>
      </c>
      <c r="AD126" s="1" t="s">
        <v>778</v>
      </c>
      <c r="AF126" s="1" t="s">
        <v>778</v>
      </c>
      <c r="GH126" s="1" t="s">
        <v>778</v>
      </c>
      <c r="IY126" s="1" t="s">
        <v>778</v>
      </c>
      <c r="JK126" s="1" t="s">
        <v>778</v>
      </c>
      <c r="JL126" s="1" t="s">
        <v>778</v>
      </c>
      <c r="NJ126" s="1" t="s">
        <v>778</v>
      </c>
      <c r="NK126" s="1" t="s">
        <v>778</v>
      </c>
      <c r="NP126" s="1" t="s">
        <v>778</v>
      </c>
      <c r="NT126" s="1" t="s">
        <v>778</v>
      </c>
      <c r="NU126" s="1" t="s">
        <v>778</v>
      </c>
      <c r="NV126" s="1" t="s">
        <v>778</v>
      </c>
      <c r="NW126" s="1" t="s">
        <v>778</v>
      </c>
      <c r="NY126" s="1" t="s">
        <v>778</v>
      </c>
      <c r="OK126" s="1" t="s">
        <v>778</v>
      </c>
      <c r="OL126" s="1" t="s">
        <v>778</v>
      </c>
      <c r="OS126" s="1" t="s">
        <v>778</v>
      </c>
      <c r="OU126" s="1" t="s">
        <v>778</v>
      </c>
      <c r="OV126" s="1" t="s">
        <v>778</v>
      </c>
      <c r="OW126" s="1" t="s">
        <v>778</v>
      </c>
      <c r="PB126" s="1" t="s">
        <v>778</v>
      </c>
      <c r="PC126" s="1" t="s">
        <v>778</v>
      </c>
      <c r="PD126" s="1" t="s">
        <v>778</v>
      </c>
      <c r="PE126" s="1" t="s">
        <v>778</v>
      </c>
      <c r="PV126" s="1" t="s">
        <v>778</v>
      </c>
      <c r="PW126" s="1" t="s">
        <v>778</v>
      </c>
      <c r="QA126" s="1" t="s">
        <v>778</v>
      </c>
    </row>
    <row r="127" spans="1:472" ht="116" x14ac:dyDescent="0.35">
      <c r="A127" s="1" t="s">
        <v>859</v>
      </c>
      <c r="B127" s="1" t="s">
        <v>71</v>
      </c>
      <c r="C127" s="1" t="s">
        <v>903</v>
      </c>
      <c r="D127" s="1" t="s">
        <v>778</v>
      </c>
      <c r="E127" s="1" t="s">
        <v>778</v>
      </c>
      <c r="F127" s="1" t="s">
        <v>778</v>
      </c>
      <c r="G127" s="1" t="s">
        <v>778</v>
      </c>
      <c r="H127" s="1" t="s">
        <v>778</v>
      </c>
      <c r="AD127" s="1" t="s">
        <v>778</v>
      </c>
      <c r="AF127" s="1" t="s">
        <v>778</v>
      </c>
      <c r="GH127" s="1" t="s">
        <v>778</v>
      </c>
      <c r="IY127" s="1" t="s">
        <v>778</v>
      </c>
      <c r="JK127" s="1" t="s">
        <v>778</v>
      </c>
      <c r="JL127" s="1" t="s">
        <v>778</v>
      </c>
      <c r="NJ127" s="1" t="s">
        <v>778</v>
      </c>
      <c r="NK127" s="1" t="s">
        <v>778</v>
      </c>
      <c r="NP127" s="1" t="s">
        <v>778</v>
      </c>
      <c r="NT127" s="1" t="s">
        <v>778</v>
      </c>
      <c r="NU127" s="1" t="s">
        <v>778</v>
      </c>
      <c r="NV127" s="1" t="s">
        <v>778</v>
      </c>
      <c r="NW127" s="1" t="s">
        <v>778</v>
      </c>
      <c r="NY127" s="1" t="s">
        <v>778</v>
      </c>
      <c r="OK127" s="1" t="s">
        <v>778</v>
      </c>
      <c r="OL127" s="1" t="s">
        <v>778</v>
      </c>
      <c r="OS127" s="1" t="s">
        <v>778</v>
      </c>
      <c r="OU127" s="1" t="s">
        <v>778</v>
      </c>
      <c r="OV127" s="1" t="s">
        <v>778</v>
      </c>
      <c r="OW127" s="1" t="s">
        <v>778</v>
      </c>
      <c r="PB127" s="1" t="s">
        <v>778</v>
      </c>
      <c r="PC127" s="1" t="s">
        <v>778</v>
      </c>
      <c r="PD127" s="1" t="s">
        <v>778</v>
      </c>
      <c r="PE127" s="1" t="s">
        <v>778</v>
      </c>
      <c r="PV127" s="1" t="s">
        <v>778</v>
      </c>
      <c r="PW127" s="1" t="s">
        <v>778</v>
      </c>
      <c r="QA127" s="1" t="s">
        <v>778</v>
      </c>
    </row>
    <row r="128" spans="1:472" ht="101.5" x14ac:dyDescent="0.35">
      <c r="A128" s="1" t="s">
        <v>859</v>
      </c>
      <c r="B128" s="1" t="s">
        <v>82</v>
      </c>
      <c r="C128" s="1" t="s">
        <v>904</v>
      </c>
      <c r="D128" s="1" t="s">
        <v>778</v>
      </c>
      <c r="E128" s="1" t="s">
        <v>778</v>
      </c>
      <c r="F128" s="1" t="s">
        <v>778</v>
      </c>
      <c r="G128" s="1" t="s">
        <v>778</v>
      </c>
      <c r="H128" s="1" t="s">
        <v>778</v>
      </c>
      <c r="AR128" s="1" t="s">
        <v>778</v>
      </c>
      <c r="AX128" s="1" t="s">
        <v>778</v>
      </c>
      <c r="DU128" s="1" t="s">
        <v>778</v>
      </c>
      <c r="DV128" s="1" t="s">
        <v>778</v>
      </c>
      <c r="JO128" s="1" t="s">
        <v>778</v>
      </c>
      <c r="JP128" s="1" t="s">
        <v>778</v>
      </c>
      <c r="JQ128" s="1" t="s">
        <v>778</v>
      </c>
    </row>
    <row r="129" spans="1:533" ht="101.5" x14ac:dyDescent="0.35">
      <c r="A129" s="1" t="s">
        <v>859</v>
      </c>
      <c r="B129" s="1" t="s">
        <v>82</v>
      </c>
      <c r="C129" s="1" t="s">
        <v>867</v>
      </c>
      <c r="D129" s="1" t="s">
        <v>778</v>
      </c>
      <c r="E129" s="1" t="s">
        <v>778</v>
      </c>
      <c r="F129" s="1" t="s">
        <v>778</v>
      </c>
      <c r="G129" s="1" t="s">
        <v>778</v>
      </c>
      <c r="H129" s="1" t="s">
        <v>778</v>
      </c>
      <c r="AR129" s="1" t="s">
        <v>778</v>
      </c>
      <c r="AX129" s="1" t="s">
        <v>778</v>
      </c>
      <c r="DU129" s="1" t="s">
        <v>778</v>
      </c>
      <c r="DV129" s="1" t="s">
        <v>778</v>
      </c>
      <c r="GQ129" s="1" t="s">
        <v>778</v>
      </c>
      <c r="GR129" s="1" t="s">
        <v>778</v>
      </c>
      <c r="JM129" s="1" t="s">
        <v>778</v>
      </c>
      <c r="JN129" s="1" t="s">
        <v>778</v>
      </c>
      <c r="JR129" s="1" t="s">
        <v>778</v>
      </c>
    </row>
    <row r="130" spans="1:533" ht="58" x14ac:dyDescent="0.35">
      <c r="A130" s="1" t="s">
        <v>543</v>
      </c>
      <c r="B130" s="1" t="s">
        <v>87</v>
      </c>
      <c r="C130" s="2" t="s">
        <v>905</v>
      </c>
      <c r="D130" s="1" t="s">
        <v>778</v>
      </c>
      <c r="E130" s="1" t="s">
        <v>778</v>
      </c>
      <c r="F130" s="1" t="s">
        <v>778</v>
      </c>
      <c r="G130" s="1" t="s">
        <v>778</v>
      </c>
      <c r="H130" s="1" t="s">
        <v>778</v>
      </c>
      <c r="RN130" s="1" t="s">
        <v>778</v>
      </c>
      <c r="RO130" s="1" t="s">
        <v>778</v>
      </c>
      <c r="RP130" s="1" t="s">
        <v>778</v>
      </c>
      <c r="RQ130" s="1" t="s">
        <v>778</v>
      </c>
      <c r="RR130" s="1" t="s">
        <v>778</v>
      </c>
      <c r="RS130" s="1" t="s">
        <v>778</v>
      </c>
    </row>
    <row r="131" spans="1:533" ht="58" x14ac:dyDescent="0.35">
      <c r="A131" s="1" t="s">
        <v>543</v>
      </c>
      <c r="B131" s="1" t="s">
        <v>87</v>
      </c>
      <c r="C131" s="1" t="s">
        <v>906</v>
      </c>
      <c r="D131" s="1" t="s">
        <v>778</v>
      </c>
      <c r="E131" s="1" t="s">
        <v>778</v>
      </c>
      <c r="F131" s="1" t="s">
        <v>778</v>
      </c>
      <c r="G131" s="1" t="s">
        <v>778</v>
      </c>
      <c r="H131" s="1" t="s">
        <v>778</v>
      </c>
      <c r="RT131" s="1" t="s">
        <v>778</v>
      </c>
      <c r="RU131" s="1" t="s">
        <v>778</v>
      </c>
      <c r="RV131" s="1" t="s">
        <v>778</v>
      </c>
    </row>
    <row r="132" spans="1:533" ht="58" x14ac:dyDescent="0.35">
      <c r="A132" s="1" t="s">
        <v>543</v>
      </c>
      <c r="B132" s="1" t="s">
        <v>87</v>
      </c>
      <c r="C132" s="1" t="s">
        <v>907</v>
      </c>
      <c r="D132" s="1" t="s">
        <v>778</v>
      </c>
      <c r="E132" s="1" t="s">
        <v>778</v>
      </c>
      <c r="F132" s="1" t="s">
        <v>778</v>
      </c>
      <c r="G132" s="1" t="s">
        <v>778</v>
      </c>
      <c r="H132" s="1" t="s">
        <v>778</v>
      </c>
      <c r="RU132" s="1" t="s">
        <v>778</v>
      </c>
      <c r="RV132" s="1" t="s">
        <v>778</v>
      </c>
      <c r="RW132" s="1" t="s">
        <v>778</v>
      </c>
      <c r="RX132" s="1" t="s">
        <v>778</v>
      </c>
    </row>
    <row r="133" spans="1:533" ht="58" x14ac:dyDescent="0.35">
      <c r="A133" s="1" t="s">
        <v>543</v>
      </c>
      <c r="B133" s="1" t="s">
        <v>87</v>
      </c>
      <c r="C133" s="1" t="s">
        <v>908</v>
      </c>
      <c r="D133" s="1" t="s">
        <v>778</v>
      </c>
      <c r="E133" s="1" t="s">
        <v>778</v>
      </c>
      <c r="F133" s="1" t="s">
        <v>778</v>
      </c>
      <c r="G133" s="1" t="s">
        <v>778</v>
      </c>
      <c r="H133" s="1" t="s">
        <v>778</v>
      </c>
      <c r="AX133" s="1" t="s">
        <v>778</v>
      </c>
      <c r="RT133" s="1" t="s">
        <v>778</v>
      </c>
      <c r="RU133" s="1" t="s">
        <v>778</v>
      </c>
      <c r="RV133" s="1" t="s">
        <v>778</v>
      </c>
    </row>
    <row r="134" spans="1:533" ht="58" x14ac:dyDescent="0.35">
      <c r="A134" s="1" t="s">
        <v>543</v>
      </c>
      <c r="B134" s="1" t="s">
        <v>87</v>
      </c>
      <c r="C134" s="1" t="s">
        <v>909</v>
      </c>
      <c r="D134" s="1" t="s">
        <v>778</v>
      </c>
      <c r="E134" s="1" t="s">
        <v>778</v>
      </c>
      <c r="F134" s="1" t="s">
        <v>778</v>
      </c>
      <c r="G134" s="1" t="s">
        <v>778</v>
      </c>
      <c r="H134" s="1" t="s">
        <v>778</v>
      </c>
      <c r="I134" s="1" t="s">
        <v>778</v>
      </c>
      <c r="J134" s="1" t="s">
        <v>778</v>
      </c>
      <c r="RT134" s="1" t="s">
        <v>778</v>
      </c>
      <c r="RU134" s="1" t="s">
        <v>778</v>
      </c>
      <c r="RV134" s="1" t="s">
        <v>778</v>
      </c>
    </row>
    <row r="135" spans="1:533" ht="58" x14ac:dyDescent="0.35">
      <c r="A135" s="1" t="s">
        <v>543</v>
      </c>
      <c r="B135" s="1" t="s">
        <v>87</v>
      </c>
      <c r="C135" s="1" t="s">
        <v>910</v>
      </c>
      <c r="D135" s="1" t="s">
        <v>778</v>
      </c>
      <c r="E135" s="1" t="s">
        <v>778</v>
      </c>
      <c r="F135" s="1" t="s">
        <v>778</v>
      </c>
      <c r="G135" s="1" t="s">
        <v>778</v>
      </c>
      <c r="H135" s="1" t="s">
        <v>778</v>
      </c>
      <c r="AJ135" s="1" t="s">
        <v>778</v>
      </c>
      <c r="RT135" s="1" t="s">
        <v>778</v>
      </c>
      <c r="RU135" s="1" t="s">
        <v>778</v>
      </c>
      <c r="RV135" s="1" t="s">
        <v>778</v>
      </c>
    </row>
    <row r="136" spans="1:533" ht="58" x14ac:dyDescent="0.35">
      <c r="A136" s="1" t="s">
        <v>543</v>
      </c>
      <c r="B136" s="1" t="s">
        <v>87</v>
      </c>
      <c r="C136" s="1" t="s">
        <v>911</v>
      </c>
      <c r="D136" s="1" t="s">
        <v>778</v>
      </c>
      <c r="E136" s="1" t="s">
        <v>778</v>
      </c>
      <c r="F136" s="1" t="s">
        <v>778</v>
      </c>
      <c r="G136" s="1" t="s">
        <v>778</v>
      </c>
      <c r="H136" s="1" t="s">
        <v>778</v>
      </c>
      <c r="RT136" s="1" t="s">
        <v>778</v>
      </c>
      <c r="RU136" s="1" t="s">
        <v>778</v>
      </c>
      <c r="RV136" s="1" t="s">
        <v>778</v>
      </c>
      <c r="RY136" s="1" t="s">
        <v>778</v>
      </c>
    </row>
    <row r="137" spans="1:533" ht="87" x14ac:dyDescent="0.35">
      <c r="A137" s="1" t="s">
        <v>543</v>
      </c>
      <c r="B137" s="1" t="s">
        <v>87</v>
      </c>
      <c r="C137" s="1" t="s">
        <v>912</v>
      </c>
      <c r="D137" s="1" t="s">
        <v>778</v>
      </c>
      <c r="E137" s="1" t="s">
        <v>778</v>
      </c>
      <c r="F137" s="1" t="s">
        <v>778</v>
      </c>
      <c r="G137" s="1" t="s">
        <v>778</v>
      </c>
      <c r="H137" s="1" t="s">
        <v>778</v>
      </c>
      <c r="RU137" s="1" t="s">
        <v>778</v>
      </c>
      <c r="RV137" s="1" t="s">
        <v>778</v>
      </c>
      <c r="RZ137" s="1" t="s">
        <v>778</v>
      </c>
    </row>
    <row r="138" spans="1:533" ht="58" x14ac:dyDescent="0.35">
      <c r="A138" s="1" t="s">
        <v>543</v>
      </c>
      <c r="B138" s="1" t="s">
        <v>87</v>
      </c>
      <c r="C138" s="1" t="s">
        <v>913</v>
      </c>
      <c r="D138" s="1" t="s">
        <v>778</v>
      </c>
      <c r="E138" s="1" t="s">
        <v>778</v>
      </c>
      <c r="F138" s="1" t="s">
        <v>778</v>
      </c>
      <c r="G138" s="1" t="s">
        <v>778</v>
      </c>
      <c r="H138" s="1" t="s">
        <v>778</v>
      </c>
      <c r="SA138" s="1" t="s">
        <v>778</v>
      </c>
      <c r="SB138" s="1" t="s">
        <v>778</v>
      </c>
    </row>
    <row r="139" spans="1:533" ht="113.5" x14ac:dyDescent="0.35">
      <c r="A139" s="1" t="s">
        <v>543</v>
      </c>
      <c r="B139" s="1" t="s">
        <v>87</v>
      </c>
      <c r="C139" s="6" t="s">
        <v>914</v>
      </c>
      <c r="D139" s="1" t="s">
        <v>778</v>
      </c>
      <c r="E139" s="1" t="s">
        <v>778</v>
      </c>
      <c r="F139" s="1" t="s">
        <v>778</v>
      </c>
      <c r="G139" s="1" t="s">
        <v>778</v>
      </c>
      <c r="H139" s="1" t="s">
        <v>778</v>
      </c>
      <c r="I139" s="1" t="s">
        <v>778</v>
      </c>
      <c r="J139" s="1" t="s">
        <v>778</v>
      </c>
      <c r="AX139" s="1" t="s">
        <v>778</v>
      </c>
      <c r="BW139" s="1" t="s">
        <v>778</v>
      </c>
      <c r="SC139" s="1" t="s">
        <v>778</v>
      </c>
      <c r="SD139" s="1" t="s">
        <v>778</v>
      </c>
      <c r="SE139" s="1" t="s">
        <v>778</v>
      </c>
      <c r="SF139" s="1" t="s">
        <v>778</v>
      </c>
      <c r="SG139" s="1" t="s">
        <v>778</v>
      </c>
      <c r="SH139" s="1" t="s">
        <v>778</v>
      </c>
      <c r="SI139" s="1" t="s">
        <v>778</v>
      </c>
      <c r="SJ139" s="1" t="s">
        <v>778</v>
      </c>
      <c r="SK139" s="1" t="s">
        <v>778</v>
      </c>
      <c r="SL139" s="1" t="s">
        <v>778</v>
      </c>
      <c r="SM139" s="1" t="s">
        <v>778</v>
      </c>
      <c r="SN139" s="1" t="s">
        <v>778</v>
      </c>
    </row>
    <row r="140" spans="1:533" ht="101" x14ac:dyDescent="0.35">
      <c r="A140" s="6" t="s">
        <v>543</v>
      </c>
      <c r="B140" s="6" t="s">
        <v>65</v>
      </c>
      <c r="C140" s="6" t="s">
        <v>915</v>
      </c>
      <c r="D140" s="1" t="s">
        <v>778</v>
      </c>
      <c r="E140" s="1" t="s">
        <v>778</v>
      </c>
      <c r="F140" s="1" t="s">
        <v>778</v>
      </c>
      <c r="G140" s="1" t="s">
        <v>778</v>
      </c>
      <c r="H140" s="1" t="s">
        <v>778</v>
      </c>
      <c r="AI140" s="1" t="s">
        <v>778</v>
      </c>
      <c r="AX140" s="1" t="s">
        <v>778</v>
      </c>
      <c r="GS140" s="1" t="s">
        <v>778</v>
      </c>
      <c r="SC140" s="1" t="s">
        <v>778</v>
      </c>
      <c r="SI140" s="1" t="s">
        <v>778</v>
      </c>
      <c r="SJ140" s="1" t="s">
        <v>778</v>
      </c>
      <c r="SK140" s="1" t="s">
        <v>778</v>
      </c>
      <c r="SL140" s="1" t="s">
        <v>778</v>
      </c>
      <c r="SM140" s="1" t="s">
        <v>778</v>
      </c>
      <c r="SO140" s="1" t="s">
        <v>778</v>
      </c>
      <c r="SP140" s="1" t="s">
        <v>778</v>
      </c>
      <c r="SQ140" s="1" t="s">
        <v>778</v>
      </c>
      <c r="SR140" s="1" t="s">
        <v>778</v>
      </c>
      <c r="SS140" s="1" t="s">
        <v>778</v>
      </c>
      <c r="ST140" s="1" t="s">
        <v>778</v>
      </c>
      <c r="SU140" s="1" t="s">
        <v>778</v>
      </c>
      <c r="SV140" s="1" t="s">
        <v>778</v>
      </c>
      <c r="SW140" s="1" t="s">
        <v>778</v>
      </c>
      <c r="SX140" s="1" t="s">
        <v>778</v>
      </c>
      <c r="TB140" s="1" t="s">
        <v>778</v>
      </c>
      <c r="TC140" s="1" t="s">
        <v>778</v>
      </c>
      <c r="TM140" s="1">
        <f>SUM(D140:TC140)</f>
        <v>0</v>
      </c>
    </row>
    <row r="141" spans="1:533" ht="101" x14ac:dyDescent="0.35">
      <c r="A141" s="6" t="s">
        <v>543</v>
      </c>
      <c r="B141" s="6" t="s">
        <v>65</v>
      </c>
      <c r="C141" s="6" t="s">
        <v>915</v>
      </c>
      <c r="D141" s="1" t="s">
        <v>778</v>
      </c>
      <c r="E141" s="1" t="s">
        <v>778</v>
      </c>
      <c r="F141" s="1" t="s">
        <v>778</v>
      </c>
      <c r="G141" s="1" t="s">
        <v>778</v>
      </c>
      <c r="H141" s="1" t="s">
        <v>778</v>
      </c>
      <c r="AI141" s="1" t="s">
        <v>778</v>
      </c>
      <c r="AX141" s="1" t="s">
        <v>778</v>
      </c>
      <c r="GS141" s="1" t="s">
        <v>778</v>
      </c>
      <c r="SC141" s="1" t="s">
        <v>778</v>
      </c>
      <c r="SI141" s="1" t="s">
        <v>778</v>
      </c>
      <c r="SJ141" s="1" t="s">
        <v>778</v>
      </c>
      <c r="SK141" s="1" t="s">
        <v>778</v>
      </c>
      <c r="SL141" s="1" t="s">
        <v>778</v>
      </c>
      <c r="SM141" s="1" t="s">
        <v>778</v>
      </c>
      <c r="SO141" s="1" t="s">
        <v>778</v>
      </c>
      <c r="SP141" s="1" t="s">
        <v>778</v>
      </c>
      <c r="SQ141" s="1" t="s">
        <v>778</v>
      </c>
      <c r="SR141" s="1" t="s">
        <v>778</v>
      </c>
      <c r="SS141" s="1" t="s">
        <v>778</v>
      </c>
      <c r="ST141" s="1" t="s">
        <v>778</v>
      </c>
      <c r="SU141" s="1" t="s">
        <v>778</v>
      </c>
      <c r="SV141" s="1" t="s">
        <v>778</v>
      </c>
      <c r="SW141" s="1" t="s">
        <v>778</v>
      </c>
      <c r="SX141" s="1" t="s">
        <v>778</v>
      </c>
      <c r="TB141" s="1" t="s">
        <v>778</v>
      </c>
      <c r="TC141" s="1" t="s">
        <v>778</v>
      </c>
    </row>
    <row r="142" spans="1:533" ht="138.5" x14ac:dyDescent="0.35">
      <c r="A142" s="6" t="s">
        <v>543</v>
      </c>
      <c r="B142" s="6" t="s">
        <v>65</v>
      </c>
      <c r="C142" s="6" t="s">
        <v>916</v>
      </c>
      <c r="D142" s="1" t="s">
        <v>778</v>
      </c>
      <c r="E142" s="1" t="s">
        <v>778</v>
      </c>
      <c r="F142" s="1" t="s">
        <v>778</v>
      </c>
      <c r="G142" s="1" t="s">
        <v>778</v>
      </c>
      <c r="H142" s="1" t="s">
        <v>778</v>
      </c>
      <c r="AI142" s="1" t="s">
        <v>778</v>
      </c>
      <c r="GS142" s="1" t="s">
        <v>778</v>
      </c>
      <c r="SC142" s="1" t="s">
        <v>778</v>
      </c>
      <c r="SI142" s="1" t="s">
        <v>778</v>
      </c>
      <c r="SJ142" s="1" t="s">
        <v>778</v>
      </c>
      <c r="SU142" s="1" t="s">
        <v>778</v>
      </c>
      <c r="SV142" s="1" t="s">
        <v>778</v>
      </c>
      <c r="SW142" s="1" t="s">
        <v>778</v>
      </c>
      <c r="SX142" s="1" t="s">
        <v>778</v>
      </c>
      <c r="SY142" s="1" t="s">
        <v>778</v>
      </c>
      <c r="SZ142" s="1" t="s">
        <v>778</v>
      </c>
      <c r="TA142" s="1" t="s">
        <v>778</v>
      </c>
      <c r="TC142" s="1" t="s">
        <v>778</v>
      </c>
    </row>
    <row r="143" spans="1:533" ht="145" x14ac:dyDescent="0.35">
      <c r="A143" s="6" t="s">
        <v>543</v>
      </c>
      <c r="B143" s="6" t="s">
        <v>65</v>
      </c>
      <c r="C143" s="1" t="s">
        <v>917</v>
      </c>
      <c r="D143" s="1" t="s">
        <v>778</v>
      </c>
      <c r="E143" s="1" t="s">
        <v>778</v>
      </c>
      <c r="F143" s="1" t="s">
        <v>778</v>
      </c>
      <c r="G143" s="1" t="s">
        <v>778</v>
      </c>
      <c r="H143" s="1" t="s">
        <v>778</v>
      </c>
      <c r="I143" s="1" t="s">
        <v>778</v>
      </c>
      <c r="J143" s="1" t="s">
        <v>778</v>
      </c>
      <c r="T143" s="1" t="s">
        <v>778</v>
      </c>
      <c r="U143" s="1" t="s">
        <v>778</v>
      </c>
      <c r="AI143" s="1" t="s">
        <v>778</v>
      </c>
      <c r="AW143" s="1" t="s">
        <v>778</v>
      </c>
      <c r="AX143" s="1" t="s">
        <v>778</v>
      </c>
      <c r="BI143" s="1" t="s">
        <v>778</v>
      </c>
      <c r="BP143" s="1" t="s">
        <v>778</v>
      </c>
      <c r="BQ143" s="1" t="s">
        <v>778</v>
      </c>
      <c r="BU143" s="1" t="s">
        <v>778</v>
      </c>
      <c r="BW143" s="1" t="s">
        <v>778</v>
      </c>
      <c r="GS143" s="1" t="s">
        <v>778</v>
      </c>
      <c r="IM143" s="1" t="s">
        <v>778</v>
      </c>
      <c r="JL143" s="1" t="s">
        <v>778</v>
      </c>
      <c r="JR143" s="1" t="s">
        <v>778</v>
      </c>
      <c r="SC143" s="1" t="s">
        <v>778</v>
      </c>
      <c r="SF143" s="1" t="s">
        <v>778</v>
      </c>
      <c r="SI143" s="1" t="s">
        <v>778</v>
      </c>
      <c r="SJ143" s="1" t="s">
        <v>778</v>
      </c>
      <c r="SK143" s="1" t="s">
        <v>778</v>
      </c>
      <c r="SL143" s="1" t="s">
        <v>778</v>
      </c>
      <c r="SM143" s="1" t="s">
        <v>778</v>
      </c>
      <c r="SO143" s="1" t="s">
        <v>778</v>
      </c>
      <c r="SP143" s="1" t="s">
        <v>778</v>
      </c>
      <c r="SQ143" s="1" t="s">
        <v>778</v>
      </c>
      <c r="SR143" s="1" t="s">
        <v>778</v>
      </c>
      <c r="SS143" s="1" t="s">
        <v>778</v>
      </c>
      <c r="ST143" s="1" t="s">
        <v>778</v>
      </c>
      <c r="SU143" s="1" t="s">
        <v>778</v>
      </c>
      <c r="SV143" s="1" t="s">
        <v>778</v>
      </c>
      <c r="SW143" s="1" t="s">
        <v>778</v>
      </c>
      <c r="SX143" s="1" t="s">
        <v>778</v>
      </c>
      <c r="TC143" s="1" t="s">
        <v>778</v>
      </c>
    </row>
    <row r="144" spans="1:533" ht="116" x14ac:dyDescent="0.35">
      <c r="A144" s="6" t="s">
        <v>543</v>
      </c>
      <c r="B144" s="6" t="s">
        <v>65</v>
      </c>
      <c r="C144" s="1" t="s">
        <v>918</v>
      </c>
      <c r="D144" s="1" t="s">
        <v>778</v>
      </c>
      <c r="E144" s="1" t="s">
        <v>778</v>
      </c>
      <c r="F144" s="1" t="s">
        <v>778</v>
      </c>
      <c r="G144" s="1" t="s">
        <v>778</v>
      </c>
      <c r="H144" s="1" t="s">
        <v>778</v>
      </c>
      <c r="TD144" s="1" t="s">
        <v>778</v>
      </c>
      <c r="TE144" s="1" t="s">
        <v>778</v>
      </c>
      <c r="TF144" s="1" t="s">
        <v>778</v>
      </c>
      <c r="TG144" s="1" t="s">
        <v>778</v>
      </c>
      <c r="TH144" s="1" t="s">
        <v>778</v>
      </c>
      <c r="TI144" s="1" t="s">
        <v>778</v>
      </c>
    </row>
    <row r="145" spans="1:588" ht="88.5" x14ac:dyDescent="0.35">
      <c r="A145" s="6" t="s">
        <v>543</v>
      </c>
      <c r="B145" s="6" t="s">
        <v>65</v>
      </c>
      <c r="C145" s="6" t="s">
        <v>919</v>
      </c>
      <c r="D145" s="1" t="s">
        <v>778</v>
      </c>
      <c r="E145" s="1" t="s">
        <v>778</v>
      </c>
      <c r="F145" s="1" t="s">
        <v>778</v>
      </c>
      <c r="G145" s="1" t="s">
        <v>778</v>
      </c>
      <c r="H145" s="1" t="s">
        <v>778</v>
      </c>
      <c r="AX145" s="1" t="s">
        <v>778</v>
      </c>
      <c r="BI145" s="1" t="s">
        <v>778</v>
      </c>
      <c r="TJ145" s="1" t="s">
        <v>778</v>
      </c>
      <c r="TK145" s="1" t="s">
        <v>778</v>
      </c>
      <c r="TM145" s="1" t="s">
        <v>778</v>
      </c>
      <c r="TN145" s="1" t="s">
        <v>778</v>
      </c>
    </row>
    <row r="146" spans="1:588" ht="88.5" x14ac:dyDescent="0.35">
      <c r="A146" s="6" t="s">
        <v>543</v>
      </c>
      <c r="B146" s="6" t="s">
        <v>65</v>
      </c>
      <c r="C146" s="6" t="s">
        <v>920</v>
      </c>
      <c r="D146" s="1" t="s">
        <v>778</v>
      </c>
      <c r="E146" s="1" t="s">
        <v>778</v>
      </c>
      <c r="F146" s="1" t="s">
        <v>778</v>
      </c>
      <c r="G146" s="1" t="s">
        <v>778</v>
      </c>
      <c r="H146" s="1" t="s">
        <v>778</v>
      </c>
      <c r="AX146" s="1" t="s">
        <v>778</v>
      </c>
      <c r="BI146" s="1" t="s">
        <v>778</v>
      </c>
      <c r="TK146" s="1" t="s">
        <v>778</v>
      </c>
      <c r="TL146" s="1" t="s">
        <v>778</v>
      </c>
      <c r="TM146" s="1" t="s">
        <v>778</v>
      </c>
      <c r="TN146" s="1" t="s">
        <v>778</v>
      </c>
    </row>
    <row r="147" spans="1:588" ht="144.65" customHeight="1" x14ac:dyDescent="0.35">
      <c r="A147" s="6" t="s">
        <v>543</v>
      </c>
      <c r="B147" s="6" t="s">
        <v>65</v>
      </c>
      <c r="C147" s="6" t="s">
        <v>921</v>
      </c>
      <c r="D147" s="1" t="s">
        <v>778</v>
      </c>
      <c r="E147" s="1" t="s">
        <v>778</v>
      </c>
      <c r="F147" s="1" t="s">
        <v>778</v>
      </c>
      <c r="G147" s="1" t="s">
        <v>778</v>
      </c>
      <c r="H147" s="1" t="s">
        <v>778</v>
      </c>
      <c r="I147" s="1" t="s">
        <v>778</v>
      </c>
      <c r="J147" s="1" t="s">
        <v>778</v>
      </c>
      <c r="BI147" s="1" t="s">
        <v>778</v>
      </c>
      <c r="SC147" s="1" t="s">
        <v>778</v>
      </c>
      <c r="SW147" s="1" t="s">
        <v>778</v>
      </c>
      <c r="TM147" s="1" t="s">
        <v>778</v>
      </c>
      <c r="TO147" s="1" t="s">
        <v>778</v>
      </c>
      <c r="TP147" s="1" t="s">
        <v>778</v>
      </c>
      <c r="TQ147" s="1" t="s">
        <v>778</v>
      </c>
      <c r="TR147" s="1" t="s">
        <v>778</v>
      </c>
      <c r="TS147" s="1" t="s">
        <v>778</v>
      </c>
      <c r="TT147" s="1" t="s">
        <v>778</v>
      </c>
    </row>
    <row r="148" spans="1:588" ht="113.5" x14ac:dyDescent="0.35">
      <c r="A148" s="6" t="s">
        <v>543</v>
      </c>
      <c r="B148" s="6" t="s">
        <v>65</v>
      </c>
      <c r="C148" s="6" t="s">
        <v>922</v>
      </c>
      <c r="D148" s="1" t="s">
        <v>778</v>
      </c>
      <c r="E148" s="1" t="s">
        <v>778</v>
      </c>
      <c r="F148" s="1" t="s">
        <v>778</v>
      </c>
      <c r="G148" s="1" t="s">
        <v>778</v>
      </c>
      <c r="H148" s="1" t="s">
        <v>778</v>
      </c>
      <c r="R148" s="1" t="s">
        <v>778</v>
      </c>
      <c r="S148" s="1" t="s">
        <v>778</v>
      </c>
      <c r="BI148" s="1" t="s">
        <v>778</v>
      </c>
      <c r="SC148" s="1" t="s">
        <v>778</v>
      </c>
      <c r="TM148" s="1" t="s">
        <v>778</v>
      </c>
      <c r="TN148" s="1" t="s">
        <v>778</v>
      </c>
      <c r="TO148" s="1" t="s">
        <v>778</v>
      </c>
    </row>
    <row r="149" spans="1:588" ht="131.5" customHeight="1" x14ac:dyDescent="0.35">
      <c r="A149" s="6" t="s">
        <v>543</v>
      </c>
      <c r="B149" s="6" t="s">
        <v>65</v>
      </c>
      <c r="C149" s="6" t="s">
        <v>923</v>
      </c>
      <c r="D149" s="1" t="s">
        <v>778</v>
      </c>
      <c r="E149" s="1" t="s">
        <v>778</v>
      </c>
      <c r="F149" s="1" t="s">
        <v>778</v>
      </c>
      <c r="G149" s="1" t="s">
        <v>778</v>
      </c>
      <c r="H149" s="1" t="s">
        <v>778</v>
      </c>
      <c r="S149" s="1" t="s">
        <v>778</v>
      </c>
      <c r="AX149" s="1" t="s">
        <v>778</v>
      </c>
      <c r="BI149" s="1" t="s">
        <v>778</v>
      </c>
      <c r="BP149" s="1" t="s">
        <v>778</v>
      </c>
      <c r="BW149" s="1" t="s">
        <v>778</v>
      </c>
      <c r="IM149" s="1" t="s">
        <v>778</v>
      </c>
      <c r="SC149" s="1" t="s">
        <v>778</v>
      </c>
      <c r="SW149" s="1" t="s">
        <v>778</v>
      </c>
      <c r="TM149" s="1" t="s">
        <v>778</v>
      </c>
      <c r="TN149" s="1" t="s">
        <v>778</v>
      </c>
      <c r="TO149" s="1" t="s">
        <v>778</v>
      </c>
      <c r="TU149" s="1" t="s">
        <v>778</v>
      </c>
    </row>
    <row r="150" spans="1:588" ht="113.5" x14ac:dyDescent="0.35">
      <c r="A150" s="6" t="s">
        <v>543</v>
      </c>
      <c r="B150" s="6" t="s">
        <v>68</v>
      </c>
      <c r="C150" s="6" t="s">
        <v>924</v>
      </c>
      <c r="D150" s="1" t="s">
        <v>778</v>
      </c>
      <c r="E150" s="1" t="s">
        <v>778</v>
      </c>
      <c r="F150" s="1" t="s">
        <v>778</v>
      </c>
      <c r="G150" s="1" t="s">
        <v>778</v>
      </c>
      <c r="H150" s="1" t="s">
        <v>778</v>
      </c>
      <c r="I150" s="1" t="s">
        <v>778</v>
      </c>
      <c r="J150" s="1" t="s">
        <v>778</v>
      </c>
      <c r="R150" s="1" t="s">
        <v>778</v>
      </c>
      <c r="TV150" s="1" t="s">
        <v>778</v>
      </c>
      <c r="TW150" s="1" t="s">
        <v>778</v>
      </c>
    </row>
    <row r="151" spans="1:588" ht="113.5" x14ac:dyDescent="0.35">
      <c r="A151" s="6" t="s">
        <v>543</v>
      </c>
      <c r="B151" s="6" t="s">
        <v>68</v>
      </c>
      <c r="C151" s="6" t="s">
        <v>925</v>
      </c>
      <c r="D151" s="1" t="s">
        <v>778</v>
      </c>
      <c r="E151" s="1" t="s">
        <v>778</v>
      </c>
      <c r="F151" s="1" t="s">
        <v>778</v>
      </c>
      <c r="G151" s="1" t="s">
        <v>778</v>
      </c>
      <c r="H151" s="1" t="s">
        <v>778</v>
      </c>
      <c r="BI151" s="1" t="s">
        <v>778</v>
      </c>
      <c r="TV151" s="1" t="s">
        <v>778</v>
      </c>
      <c r="TX151" s="1" t="s">
        <v>778</v>
      </c>
      <c r="TY151" s="1" t="s">
        <v>778</v>
      </c>
      <c r="TZ151" s="1" t="s">
        <v>778</v>
      </c>
      <c r="UA151" s="1" t="s">
        <v>778</v>
      </c>
      <c r="UB151" s="1" t="s">
        <v>778</v>
      </c>
      <c r="UC151" s="1" t="s">
        <v>778</v>
      </c>
      <c r="UD151" s="1" t="s">
        <v>778</v>
      </c>
      <c r="UE151" s="1" t="s">
        <v>778</v>
      </c>
      <c r="UF151" s="1" t="s">
        <v>778</v>
      </c>
      <c r="UG151" s="1" t="s">
        <v>778</v>
      </c>
      <c r="UH151" s="1" t="s">
        <v>778</v>
      </c>
    </row>
    <row r="152" spans="1:588" ht="116" x14ac:dyDescent="0.35">
      <c r="A152" s="6" t="s">
        <v>543</v>
      </c>
      <c r="B152" s="6" t="s">
        <v>68</v>
      </c>
      <c r="C152" s="1" t="s">
        <v>926</v>
      </c>
      <c r="D152" s="1" t="s">
        <v>778</v>
      </c>
      <c r="E152" s="1" t="s">
        <v>778</v>
      </c>
      <c r="F152" s="1" t="s">
        <v>778</v>
      </c>
      <c r="G152" s="1" t="s">
        <v>778</v>
      </c>
      <c r="H152" s="1" t="s">
        <v>778</v>
      </c>
      <c r="BI152" s="1" t="s">
        <v>778</v>
      </c>
      <c r="SV152" s="1" t="s">
        <v>778</v>
      </c>
      <c r="SW152" s="1" t="s">
        <v>778</v>
      </c>
      <c r="SX152" s="1" t="s">
        <v>778</v>
      </c>
      <c r="UI152" s="1" t="s">
        <v>778</v>
      </c>
      <c r="UJ152" s="1" t="s">
        <v>778</v>
      </c>
      <c r="UK152" s="1" t="s">
        <v>778</v>
      </c>
      <c r="UL152" s="1" t="s">
        <v>778</v>
      </c>
      <c r="UM152" s="1" t="s">
        <v>778</v>
      </c>
    </row>
    <row r="153" spans="1:588" ht="113.5" x14ac:dyDescent="0.35">
      <c r="A153" s="6" t="s">
        <v>543</v>
      </c>
      <c r="B153" s="6" t="s">
        <v>68</v>
      </c>
      <c r="C153" s="6" t="s">
        <v>927</v>
      </c>
      <c r="D153" s="1" t="s">
        <v>778</v>
      </c>
      <c r="E153" s="1" t="s">
        <v>778</v>
      </c>
      <c r="F153" s="1" t="s">
        <v>778</v>
      </c>
      <c r="G153" s="1" t="s">
        <v>778</v>
      </c>
      <c r="H153" s="1" t="s">
        <v>778</v>
      </c>
      <c r="S153" s="1" t="s">
        <v>778</v>
      </c>
      <c r="SV153" s="1" t="s">
        <v>778</v>
      </c>
      <c r="SW153" s="1" t="s">
        <v>778</v>
      </c>
      <c r="SX153" s="1" t="s">
        <v>778</v>
      </c>
      <c r="UJ153" s="1" t="s">
        <v>778</v>
      </c>
      <c r="UM153" s="1" t="s">
        <v>778</v>
      </c>
      <c r="UN153" s="1" t="s">
        <v>778</v>
      </c>
      <c r="UO153" s="1" t="s">
        <v>778</v>
      </c>
    </row>
    <row r="154" spans="1:588" ht="126" x14ac:dyDescent="0.35">
      <c r="A154" s="6" t="s">
        <v>543</v>
      </c>
      <c r="B154" s="6" t="s">
        <v>68</v>
      </c>
      <c r="C154" s="6" t="s">
        <v>928</v>
      </c>
      <c r="D154" s="1" t="s">
        <v>778</v>
      </c>
      <c r="E154" s="1" t="s">
        <v>778</v>
      </c>
      <c r="F154" s="1" t="s">
        <v>778</v>
      </c>
      <c r="G154" s="1" t="s">
        <v>778</v>
      </c>
      <c r="H154" s="1" t="s">
        <v>778</v>
      </c>
      <c r="R154" s="1" t="s">
        <v>778</v>
      </c>
      <c r="TV154" s="1" t="s">
        <v>778</v>
      </c>
      <c r="UP154" s="1" t="s">
        <v>778</v>
      </c>
      <c r="UQ154" s="1" t="s">
        <v>778</v>
      </c>
      <c r="UR154" s="1" t="s">
        <v>778</v>
      </c>
      <c r="US154" s="1" t="s">
        <v>778</v>
      </c>
      <c r="UT154" s="1" t="s">
        <v>778</v>
      </c>
    </row>
    <row r="155" spans="1:588" ht="101" x14ac:dyDescent="0.35">
      <c r="A155" s="6" t="s">
        <v>543</v>
      </c>
      <c r="B155" s="6" t="s">
        <v>68</v>
      </c>
      <c r="C155" s="6" t="s">
        <v>929</v>
      </c>
      <c r="D155" s="1" t="s">
        <v>778</v>
      </c>
      <c r="E155" s="1" t="s">
        <v>778</v>
      </c>
      <c r="F155" s="1" t="s">
        <v>778</v>
      </c>
      <c r="G155" s="1" t="s">
        <v>778</v>
      </c>
      <c r="H155" s="1" t="s">
        <v>778</v>
      </c>
      <c r="BI155" s="1" t="s">
        <v>778</v>
      </c>
      <c r="SV155" s="1" t="s">
        <v>778</v>
      </c>
      <c r="SW155" s="1" t="s">
        <v>778</v>
      </c>
      <c r="SX155" s="1" t="s">
        <v>778</v>
      </c>
      <c r="UJ155" s="1" t="s">
        <v>778</v>
      </c>
      <c r="UM155" s="1" t="s">
        <v>778</v>
      </c>
      <c r="UN155" s="1" t="s">
        <v>778</v>
      </c>
      <c r="UO155" s="1" t="s">
        <v>778</v>
      </c>
      <c r="UU155" s="1" t="s">
        <v>778</v>
      </c>
      <c r="UV155" s="1" t="s">
        <v>778</v>
      </c>
      <c r="UW155" s="1" t="s">
        <v>778</v>
      </c>
      <c r="UX155" s="1" t="s">
        <v>778</v>
      </c>
      <c r="UY155" s="1" t="s">
        <v>778</v>
      </c>
      <c r="UZ155" s="1" t="s">
        <v>778</v>
      </c>
      <c r="VA155" s="1" t="s">
        <v>778</v>
      </c>
    </row>
    <row r="156" spans="1:588" ht="126" x14ac:dyDescent="0.35">
      <c r="A156" s="6" t="s">
        <v>543</v>
      </c>
      <c r="B156" s="6" t="s">
        <v>68</v>
      </c>
      <c r="C156" s="2" t="s">
        <v>930</v>
      </c>
      <c r="D156" s="1" t="s">
        <v>778</v>
      </c>
      <c r="E156" s="1" t="s">
        <v>778</v>
      </c>
      <c r="F156" s="1" t="s">
        <v>778</v>
      </c>
      <c r="G156" s="1" t="s">
        <v>778</v>
      </c>
      <c r="H156" s="1" t="s">
        <v>778</v>
      </c>
      <c r="BI156" s="1" t="s">
        <v>778</v>
      </c>
      <c r="VB156" s="1" t="s">
        <v>778</v>
      </c>
      <c r="VC156" s="1" t="s">
        <v>778</v>
      </c>
      <c r="VD156" s="1" t="s">
        <v>778</v>
      </c>
      <c r="VE156" s="1" t="s">
        <v>778</v>
      </c>
      <c r="VF156" s="1" t="s">
        <v>778</v>
      </c>
      <c r="VG156" s="1" t="s">
        <v>778</v>
      </c>
    </row>
    <row r="157" spans="1:588" ht="51" x14ac:dyDescent="0.35">
      <c r="A157" s="6" t="s">
        <v>543</v>
      </c>
      <c r="B157" s="6" t="s">
        <v>99</v>
      </c>
      <c r="C157" s="6" t="s">
        <v>931</v>
      </c>
      <c r="D157" s="1" t="s">
        <v>778</v>
      </c>
      <c r="E157" s="1" t="s">
        <v>778</v>
      </c>
      <c r="F157" s="1" t="s">
        <v>778</v>
      </c>
      <c r="G157" s="1" t="s">
        <v>778</v>
      </c>
      <c r="H157" s="1" t="s">
        <v>778</v>
      </c>
      <c r="AD157" s="1" t="s">
        <v>778</v>
      </c>
      <c r="AG157" s="1" t="s">
        <v>778</v>
      </c>
      <c r="VH157" s="1" t="s">
        <v>778</v>
      </c>
      <c r="VK157" s="1" t="s">
        <v>778</v>
      </c>
      <c r="VN157" s="1" t="s">
        <v>778</v>
      </c>
      <c r="VO157" s="1" t="s">
        <v>778</v>
      </c>
      <c r="VP157" s="1" t="s">
        <v>778</v>
      </c>
    </row>
    <row r="158" spans="1:588" ht="51" x14ac:dyDescent="0.35">
      <c r="A158" s="6" t="s">
        <v>543</v>
      </c>
      <c r="B158" s="6" t="s">
        <v>99</v>
      </c>
      <c r="C158" s="6" t="s">
        <v>932</v>
      </c>
      <c r="D158" s="1" t="s">
        <v>778</v>
      </c>
      <c r="E158" s="1" t="s">
        <v>778</v>
      </c>
      <c r="F158" s="1" t="s">
        <v>778</v>
      </c>
      <c r="G158" s="1" t="s">
        <v>778</v>
      </c>
      <c r="H158" s="1" t="s">
        <v>778</v>
      </c>
      <c r="I158" s="1" t="s">
        <v>778</v>
      </c>
      <c r="J158" s="1" t="s">
        <v>778</v>
      </c>
      <c r="K158" s="1" t="s">
        <v>778</v>
      </c>
      <c r="L158" s="1" t="s">
        <v>778</v>
      </c>
      <c r="M158" s="1" t="s">
        <v>778</v>
      </c>
      <c r="BS158" s="1" t="s">
        <v>778</v>
      </c>
      <c r="BT158" s="1" t="s">
        <v>778</v>
      </c>
      <c r="VH158" s="1" t="s">
        <v>778</v>
      </c>
      <c r="VK158" s="1" t="s">
        <v>778</v>
      </c>
      <c r="VN158" s="1" t="s">
        <v>778</v>
      </c>
      <c r="VO158" s="1" t="s">
        <v>778</v>
      </c>
      <c r="VP158" s="1" t="s">
        <v>778</v>
      </c>
    </row>
    <row r="159" spans="1:588" ht="51" x14ac:dyDescent="0.35">
      <c r="A159" s="6" t="s">
        <v>543</v>
      </c>
      <c r="B159" s="6" t="s">
        <v>99</v>
      </c>
      <c r="C159" s="6" t="s">
        <v>933</v>
      </c>
      <c r="D159" s="1" t="s">
        <v>778</v>
      </c>
      <c r="E159" s="1" t="s">
        <v>778</v>
      </c>
      <c r="F159" s="1" t="s">
        <v>778</v>
      </c>
      <c r="G159" s="1" t="s">
        <v>778</v>
      </c>
      <c r="H159" s="1" t="s">
        <v>778</v>
      </c>
      <c r="I159" s="1" t="s">
        <v>778</v>
      </c>
      <c r="J159" s="1" t="s">
        <v>778</v>
      </c>
      <c r="K159" s="1" t="s">
        <v>778</v>
      </c>
      <c r="L159" s="1" t="s">
        <v>778</v>
      </c>
      <c r="M159" s="1" t="s">
        <v>778</v>
      </c>
      <c r="BW159" s="1" t="s">
        <v>778</v>
      </c>
      <c r="VH159" s="1" t="s">
        <v>778</v>
      </c>
      <c r="VK159" s="1" t="s">
        <v>778</v>
      </c>
      <c r="VN159" s="1" t="s">
        <v>778</v>
      </c>
      <c r="VO159" s="1" t="s">
        <v>778</v>
      </c>
      <c r="VP159" s="1" t="s">
        <v>778</v>
      </c>
    </row>
    <row r="160" spans="1:588" ht="51" x14ac:dyDescent="0.35">
      <c r="A160" s="6" t="s">
        <v>543</v>
      </c>
      <c r="B160" s="6" t="s">
        <v>99</v>
      </c>
      <c r="C160" s="1" t="s">
        <v>934</v>
      </c>
      <c r="D160" s="1" t="s">
        <v>778</v>
      </c>
      <c r="E160" s="1" t="s">
        <v>778</v>
      </c>
      <c r="F160" s="1" t="s">
        <v>778</v>
      </c>
      <c r="G160" s="1" t="s">
        <v>778</v>
      </c>
      <c r="H160" s="1" t="s">
        <v>778</v>
      </c>
      <c r="I160" s="1" t="s">
        <v>778</v>
      </c>
      <c r="J160" s="1" t="s">
        <v>778</v>
      </c>
      <c r="K160" s="1" t="s">
        <v>778</v>
      </c>
      <c r="L160" s="1" t="s">
        <v>778</v>
      </c>
      <c r="M160" s="1" t="s">
        <v>778</v>
      </c>
      <c r="BX160" s="1" t="s">
        <v>778</v>
      </c>
      <c r="BY160" s="1" t="s">
        <v>778</v>
      </c>
      <c r="VH160" s="1" t="s">
        <v>778</v>
      </c>
      <c r="VI160" s="1" t="s">
        <v>778</v>
      </c>
      <c r="VJ160" s="1" t="s">
        <v>778</v>
      </c>
      <c r="VK160" s="1" t="s">
        <v>778</v>
      </c>
      <c r="VL160" s="1" t="s">
        <v>778</v>
      </c>
      <c r="VM160" s="1" t="s">
        <v>778</v>
      </c>
    </row>
    <row r="161" spans="1:615" ht="51" x14ac:dyDescent="0.35">
      <c r="A161" s="6" t="s">
        <v>543</v>
      </c>
      <c r="B161" s="6" t="s">
        <v>99</v>
      </c>
      <c r="C161" s="6" t="s">
        <v>935</v>
      </c>
      <c r="D161" s="1" t="s">
        <v>778</v>
      </c>
      <c r="E161" s="1" t="s">
        <v>778</v>
      </c>
      <c r="F161" s="1" t="s">
        <v>778</v>
      </c>
      <c r="G161" s="1" t="s">
        <v>778</v>
      </c>
      <c r="H161" s="1" t="s">
        <v>778</v>
      </c>
      <c r="AX161" s="1" t="s">
        <v>778</v>
      </c>
      <c r="BS161" s="1" t="s">
        <v>778</v>
      </c>
      <c r="BT161" s="1" t="s">
        <v>778</v>
      </c>
      <c r="BW161" s="1" t="s">
        <v>778</v>
      </c>
      <c r="VH161" s="1" t="s">
        <v>778</v>
      </c>
      <c r="VK161" s="1" t="s">
        <v>778</v>
      </c>
      <c r="VN161" s="1" t="s">
        <v>778</v>
      </c>
      <c r="VO161" s="1" t="s">
        <v>778</v>
      </c>
      <c r="VP161" s="1" t="s">
        <v>778</v>
      </c>
    </row>
    <row r="162" spans="1:615" ht="51" x14ac:dyDescent="0.35">
      <c r="A162" s="6" t="s">
        <v>543</v>
      </c>
      <c r="B162" s="6" t="s">
        <v>99</v>
      </c>
      <c r="C162" s="6" t="s">
        <v>936</v>
      </c>
      <c r="D162" s="1" t="s">
        <v>778</v>
      </c>
      <c r="E162" s="1" t="s">
        <v>778</v>
      </c>
      <c r="F162" s="1" t="s">
        <v>778</v>
      </c>
      <c r="G162" s="1" t="s">
        <v>778</v>
      </c>
      <c r="H162" s="1" t="s">
        <v>778</v>
      </c>
      <c r="I162" s="1" t="s">
        <v>778</v>
      </c>
      <c r="J162" s="1" t="s">
        <v>778</v>
      </c>
      <c r="AX162" s="1" t="s">
        <v>778</v>
      </c>
      <c r="BS162" s="1" t="s">
        <v>778</v>
      </c>
      <c r="BW162" s="1" t="s">
        <v>778</v>
      </c>
      <c r="VH162" s="1" t="s">
        <v>778</v>
      </c>
      <c r="VK162" s="1" t="s">
        <v>778</v>
      </c>
      <c r="VN162" s="1" t="s">
        <v>778</v>
      </c>
      <c r="VO162" s="1" t="s">
        <v>778</v>
      </c>
      <c r="VP162" s="1" t="s">
        <v>778</v>
      </c>
    </row>
    <row r="163" spans="1:615" ht="51" x14ac:dyDescent="0.35">
      <c r="A163" s="6" t="s">
        <v>543</v>
      </c>
      <c r="B163" s="6" t="s">
        <v>99</v>
      </c>
      <c r="C163" s="6" t="s">
        <v>937</v>
      </c>
      <c r="D163" s="1" t="s">
        <v>778</v>
      </c>
      <c r="E163" s="1" t="s">
        <v>778</v>
      </c>
      <c r="F163" s="1" t="s">
        <v>778</v>
      </c>
      <c r="G163" s="1" t="s">
        <v>778</v>
      </c>
      <c r="H163" s="1" t="s">
        <v>778</v>
      </c>
      <c r="I163" s="1" t="s">
        <v>778</v>
      </c>
      <c r="J163" s="1" t="s">
        <v>778</v>
      </c>
      <c r="K163" s="1" t="s">
        <v>778</v>
      </c>
      <c r="L163" s="1" t="s">
        <v>778</v>
      </c>
      <c r="M163" s="1" t="s">
        <v>778</v>
      </c>
      <c r="AX163" s="1" t="s">
        <v>778</v>
      </c>
      <c r="VH163" s="1" t="s">
        <v>778</v>
      </c>
      <c r="VK163" s="1" t="s">
        <v>778</v>
      </c>
      <c r="VN163" s="1" t="s">
        <v>778</v>
      </c>
      <c r="VO163" s="1" t="s">
        <v>778</v>
      </c>
      <c r="VP163" s="1" t="s">
        <v>778</v>
      </c>
    </row>
    <row r="164" spans="1:615" ht="51" x14ac:dyDescent="0.35">
      <c r="A164" s="6" t="s">
        <v>543</v>
      </c>
      <c r="B164" s="6" t="s">
        <v>99</v>
      </c>
      <c r="C164" s="6" t="s">
        <v>938</v>
      </c>
      <c r="D164" s="1" t="s">
        <v>778</v>
      </c>
      <c r="E164" s="1" t="s">
        <v>778</v>
      </c>
      <c r="F164" s="1" t="s">
        <v>778</v>
      </c>
      <c r="G164" s="1" t="s">
        <v>778</v>
      </c>
      <c r="H164" s="1" t="s">
        <v>778</v>
      </c>
      <c r="BX164" s="1" t="s">
        <v>786</v>
      </c>
      <c r="VQ164" s="1" t="s">
        <v>786</v>
      </c>
      <c r="VR164" s="1" t="s">
        <v>786</v>
      </c>
      <c r="VS164" s="1" t="s">
        <v>786</v>
      </c>
      <c r="VT164" s="1" t="s">
        <v>786</v>
      </c>
      <c r="VU164" s="1" t="s">
        <v>786</v>
      </c>
    </row>
    <row r="165" spans="1:615" ht="51" x14ac:dyDescent="0.35">
      <c r="A165" s="6" t="s">
        <v>543</v>
      </c>
      <c r="B165" s="6" t="s">
        <v>99</v>
      </c>
      <c r="C165" s="1" t="s">
        <v>939</v>
      </c>
      <c r="D165" s="1" t="s">
        <v>778</v>
      </c>
      <c r="E165" s="1" t="s">
        <v>778</v>
      </c>
      <c r="F165" s="1" t="s">
        <v>778</v>
      </c>
      <c r="G165" s="1" t="s">
        <v>778</v>
      </c>
      <c r="H165" s="1" t="s">
        <v>778</v>
      </c>
      <c r="RE165" s="1" t="s">
        <v>778</v>
      </c>
      <c r="RG165" s="1" t="s">
        <v>778</v>
      </c>
      <c r="VH165" s="1" t="s">
        <v>778</v>
      </c>
      <c r="VK165" s="1" t="s">
        <v>778</v>
      </c>
      <c r="VN165" s="1" t="s">
        <v>778</v>
      </c>
      <c r="VO165" s="1" t="s">
        <v>778</v>
      </c>
      <c r="VP165" s="1" t="s">
        <v>778</v>
      </c>
    </row>
    <row r="166" spans="1:615" ht="51" x14ac:dyDescent="0.35">
      <c r="A166" s="6" t="s">
        <v>543</v>
      </c>
      <c r="B166" s="6" t="s">
        <v>99</v>
      </c>
      <c r="C166" s="1" t="s">
        <v>940</v>
      </c>
      <c r="D166" s="1" t="s">
        <v>778</v>
      </c>
      <c r="E166" s="1" t="s">
        <v>778</v>
      </c>
      <c r="F166" s="1" t="s">
        <v>778</v>
      </c>
      <c r="G166" s="1" t="s">
        <v>778</v>
      </c>
      <c r="H166" s="1" t="s">
        <v>778</v>
      </c>
      <c r="RG166" s="1">
        <f>IF(ISERROR(HLOOKUP(RG2,[1]school_type_gap!$A$1:$L$1,1,FALSE)),0,1)</f>
        <v>1</v>
      </c>
      <c r="VL166" s="1" t="s">
        <v>778</v>
      </c>
      <c r="VM166" s="1" t="s">
        <v>778</v>
      </c>
      <c r="VV166" s="1" t="s">
        <v>778</v>
      </c>
      <c r="VW166" s="1" t="s">
        <v>778</v>
      </c>
      <c r="VX166" s="1" t="s">
        <v>778</v>
      </c>
      <c r="VY166" s="1" t="s">
        <v>778</v>
      </c>
    </row>
    <row r="167" spans="1:615" ht="51" x14ac:dyDescent="0.35">
      <c r="A167" s="6" t="s">
        <v>543</v>
      </c>
      <c r="B167" s="6" t="s">
        <v>99</v>
      </c>
      <c r="C167" s="6" t="s">
        <v>941</v>
      </c>
      <c r="D167" s="1" t="s">
        <v>778</v>
      </c>
      <c r="E167" s="1" t="s">
        <v>778</v>
      </c>
      <c r="F167" s="1" t="s">
        <v>778</v>
      </c>
      <c r="G167" s="1" t="s">
        <v>778</v>
      </c>
      <c r="H167" s="1" t="s">
        <v>778</v>
      </c>
      <c r="I167" s="1" t="s">
        <v>778</v>
      </c>
      <c r="J167" s="1" t="s">
        <v>778</v>
      </c>
      <c r="K167" s="1" t="s">
        <v>778</v>
      </c>
      <c r="L167" s="1" t="s">
        <v>778</v>
      </c>
      <c r="M167" s="1" t="s">
        <v>778</v>
      </c>
      <c r="VH167" s="1" t="s">
        <v>778</v>
      </c>
      <c r="VK167" s="1" t="s">
        <v>778</v>
      </c>
      <c r="VN167" s="1" t="s">
        <v>778</v>
      </c>
      <c r="VO167" s="1" t="s">
        <v>778</v>
      </c>
      <c r="VP167" s="1" t="s">
        <v>778</v>
      </c>
      <c r="VZ167" s="1" t="s">
        <v>778</v>
      </c>
    </row>
    <row r="168" spans="1:615" ht="51" x14ac:dyDescent="0.35">
      <c r="A168" s="6" t="s">
        <v>543</v>
      </c>
      <c r="B168" s="6" t="s">
        <v>99</v>
      </c>
      <c r="C168" s="6" t="s">
        <v>942</v>
      </c>
      <c r="D168" s="1" t="s">
        <v>778</v>
      </c>
      <c r="E168" s="1" t="s">
        <v>778</v>
      </c>
      <c r="F168" s="1" t="s">
        <v>778</v>
      </c>
      <c r="G168" s="1" t="s">
        <v>778</v>
      </c>
      <c r="H168" s="1" t="s">
        <v>778</v>
      </c>
      <c r="FH168" s="1" t="s">
        <v>778</v>
      </c>
      <c r="FI168" s="1" t="s">
        <v>778</v>
      </c>
      <c r="WA168" s="1" t="s">
        <v>778</v>
      </c>
      <c r="WB168" s="1" t="s">
        <v>778</v>
      </c>
    </row>
    <row r="169" spans="1:615" ht="63.5" x14ac:dyDescent="0.35">
      <c r="A169" s="6" t="s">
        <v>543</v>
      </c>
      <c r="B169" s="6" t="s">
        <v>99</v>
      </c>
      <c r="C169" s="6" t="s">
        <v>943</v>
      </c>
      <c r="D169" s="1" t="s">
        <v>778</v>
      </c>
      <c r="E169" s="1" t="s">
        <v>778</v>
      </c>
      <c r="F169" s="1" t="s">
        <v>778</v>
      </c>
      <c r="G169" s="1" t="s">
        <v>778</v>
      </c>
      <c r="H169" s="1" t="s">
        <v>778</v>
      </c>
      <c r="RE169" s="1" t="s">
        <v>778</v>
      </c>
      <c r="VH169" s="1" t="s">
        <v>778</v>
      </c>
      <c r="VN169" s="1" t="s">
        <v>778</v>
      </c>
      <c r="WC169" s="1" t="s">
        <v>778</v>
      </c>
      <c r="WD169" s="1" t="s">
        <v>778</v>
      </c>
    </row>
    <row r="170" spans="1:615" ht="38.5" x14ac:dyDescent="0.35">
      <c r="A170" s="6" t="s">
        <v>543</v>
      </c>
      <c r="B170" s="6" t="s">
        <v>60</v>
      </c>
      <c r="C170" s="6" t="s">
        <v>944</v>
      </c>
      <c r="D170" s="1" t="s">
        <v>778</v>
      </c>
      <c r="E170" s="1" t="s">
        <v>778</v>
      </c>
      <c r="F170" s="1" t="s">
        <v>778</v>
      </c>
      <c r="G170" s="1" t="s">
        <v>778</v>
      </c>
      <c r="H170" s="1" t="s">
        <v>778</v>
      </c>
      <c r="WJ170" s="1" t="s">
        <v>778</v>
      </c>
      <c r="WK170" s="1" t="s">
        <v>778</v>
      </c>
      <c r="WL170" s="1" t="s">
        <v>778</v>
      </c>
      <c r="WM170" s="1" t="s">
        <v>778</v>
      </c>
      <c r="WN170" s="1" t="s">
        <v>778</v>
      </c>
      <c r="WO170" s="1" t="s">
        <v>778</v>
      </c>
    </row>
    <row r="171" spans="1:615" ht="72.5" x14ac:dyDescent="0.35">
      <c r="A171" s="6" t="s">
        <v>543</v>
      </c>
      <c r="B171" s="1" t="s">
        <v>60</v>
      </c>
      <c r="C171" s="1" t="s">
        <v>945</v>
      </c>
      <c r="D171" s="1" t="s">
        <v>778</v>
      </c>
      <c r="E171" s="1" t="s">
        <v>778</v>
      </c>
      <c r="F171" s="1" t="s">
        <v>778</v>
      </c>
      <c r="G171" s="1" t="s">
        <v>778</v>
      </c>
      <c r="H171" s="1" t="s">
        <v>778</v>
      </c>
      <c r="AJ171" s="1" t="s">
        <v>778</v>
      </c>
      <c r="AS171" s="1" t="s">
        <v>778</v>
      </c>
      <c r="JR171" s="1" t="s">
        <v>778</v>
      </c>
      <c r="WE171" s="1" t="s">
        <v>778</v>
      </c>
      <c r="WF171" s="1" t="s">
        <v>778</v>
      </c>
      <c r="WG171" s="1" t="s">
        <v>778</v>
      </c>
    </row>
    <row r="172" spans="1:615" ht="51" x14ac:dyDescent="0.35">
      <c r="A172" s="6" t="s">
        <v>543</v>
      </c>
      <c r="B172" s="6" t="s">
        <v>60</v>
      </c>
      <c r="C172" s="6" t="s">
        <v>946</v>
      </c>
      <c r="D172" s="1" t="s">
        <v>778</v>
      </c>
      <c r="E172" s="1" t="s">
        <v>778</v>
      </c>
      <c r="F172" s="1" t="s">
        <v>778</v>
      </c>
      <c r="G172" s="1" t="s">
        <v>778</v>
      </c>
      <c r="H172" s="1" t="s">
        <v>778</v>
      </c>
      <c r="AK172" s="1" t="s">
        <v>778</v>
      </c>
      <c r="BN172" s="1" t="s">
        <v>778</v>
      </c>
      <c r="WF172" s="1" t="s">
        <v>778</v>
      </c>
      <c r="WG172" s="1" t="s">
        <v>778</v>
      </c>
      <c r="WJ172" s="1" t="s">
        <v>778</v>
      </c>
    </row>
    <row r="173" spans="1:615" ht="51" x14ac:dyDescent="0.35">
      <c r="A173" s="6" t="s">
        <v>543</v>
      </c>
      <c r="B173" s="6" t="s">
        <v>60</v>
      </c>
      <c r="C173" s="6" t="s">
        <v>947</v>
      </c>
      <c r="D173" s="1" t="s">
        <v>778</v>
      </c>
      <c r="E173" s="1" t="s">
        <v>778</v>
      </c>
      <c r="F173" s="1" t="s">
        <v>778</v>
      </c>
      <c r="G173" s="1" t="s">
        <v>778</v>
      </c>
      <c r="H173" s="1" t="s">
        <v>778</v>
      </c>
      <c r="AJ173" s="1" t="s">
        <v>778</v>
      </c>
      <c r="BP173" s="1" t="s">
        <v>778</v>
      </c>
      <c r="WE173" s="1" t="s">
        <v>778</v>
      </c>
      <c r="WF173" s="1" t="s">
        <v>778</v>
      </c>
      <c r="WG173" s="1" t="s">
        <v>778</v>
      </c>
    </row>
    <row r="174" spans="1:615" ht="63.5" x14ac:dyDescent="0.35">
      <c r="A174" s="6" t="s">
        <v>543</v>
      </c>
      <c r="B174" s="6" t="s">
        <v>60</v>
      </c>
      <c r="C174" s="6" t="s">
        <v>948</v>
      </c>
      <c r="D174" s="1" t="s">
        <v>778</v>
      </c>
      <c r="E174" s="1" t="s">
        <v>778</v>
      </c>
      <c r="F174" s="1" t="s">
        <v>778</v>
      </c>
      <c r="G174" s="1" t="s">
        <v>778</v>
      </c>
      <c r="H174" s="1" t="s">
        <v>778</v>
      </c>
      <c r="AJ174" s="1" t="s">
        <v>778</v>
      </c>
      <c r="WE174" s="1" t="s">
        <v>778</v>
      </c>
      <c r="WF174" s="1" t="s">
        <v>778</v>
      </c>
      <c r="WG174" s="1" t="s">
        <v>778</v>
      </c>
      <c r="WP174" s="1" t="s">
        <v>778</v>
      </c>
    </row>
    <row r="175" spans="1:615" ht="51" x14ac:dyDescent="0.35">
      <c r="A175" s="6" t="s">
        <v>543</v>
      </c>
      <c r="B175" s="6" t="s">
        <v>60</v>
      </c>
      <c r="C175" s="6" t="s">
        <v>949</v>
      </c>
      <c r="D175" s="1" t="s">
        <v>778</v>
      </c>
      <c r="E175" s="1" t="s">
        <v>778</v>
      </c>
      <c r="F175" s="1" t="s">
        <v>778</v>
      </c>
      <c r="G175" s="1" t="s">
        <v>778</v>
      </c>
      <c r="H175" s="1" t="s">
        <v>778</v>
      </c>
      <c r="AJ175" s="1" t="s">
        <v>778</v>
      </c>
      <c r="JR175" s="1" t="s">
        <v>778</v>
      </c>
      <c r="WE175" s="1" t="s">
        <v>778</v>
      </c>
      <c r="WF175" s="1" t="s">
        <v>778</v>
      </c>
      <c r="WG175" s="1" t="s">
        <v>778</v>
      </c>
    </row>
    <row r="176" spans="1:615" ht="63.5" x14ac:dyDescent="0.35">
      <c r="A176" s="6" t="s">
        <v>543</v>
      </c>
      <c r="B176" s="6" t="s">
        <v>60</v>
      </c>
      <c r="C176" s="6" t="s">
        <v>950</v>
      </c>
      <c r="D176" s="1" t="s">
        <v>778</v>
      </c>
      <c r="E176" s="1" t="s">
        <v>778</v>
      </c>
      <c r="F176" s="1" t="s">
        <v>778</v>
      </c>
      <c r="G176" s="1" t="s">
        <v>778</v>
      </c>
      <c r="H176" s="1" t="s">
        <v>778</v>
      </c>
      <c r="AJ176" s="1" t="s">
        <v>778</v>
      </c>
      <c r="JR176" s="1" t="s">
        <v>778</v>
      </c>
      <c r="WE176" s="1" t="s">
        <v>778</v>
      </c>
      <c r="WF176" s="1" t="s">
        <v>778</v>
      </c>
      <c r="WG176" s="1" t="s">
        <v>778</v>
      </c>
      <c r="WQ176" s="1" t="s">
        <v>778</v>
      </c>
    </row>
    <row r="177" spans="1:619" ht="63.5" x14ac:dyDescent="0.35">
      <c r="A177" s="6" t="s">
        <v>543</v>
      </c>
      <c r="B177" s="6" t="s">
        <v>60</v>
      </c>
      <c r="C177" s="6" t="s">
        <v>951</v>
      </c>
      <c r="D177" s="1" t="s">
        <v>778</v>
      </c>
      <c r="E177" s="1" t="s">
        <v>778</v>
      </c>
      <c r="F177" s="1" t="s">
        <v>778</v>
      </c>
      <c r="G177" s="1" t="s">
        <v>778</v>
      </c>
      <c r="H177" s="1" t="s">
        <v>778</v>
      </c>
      <c r="AJ177" s="1" t="s">
        <v>778</v>
      </c>
      <c r="WE177" s="1" t="s">
        <v>778</v>
      </c>
      <c r="WF177" s="1" t="s">
        <v>778</v>
      </c>
      <c r="WG177" s="1" t="s">
        <v>778</v>
      </c>
      <c r="WR177" s="1" t="s">
        <v>778</v>
      </c>
    </row>
    <row r="178" spans="1:619" ht="51" x14ac:dyDescent="0.35">
      <c r="A178" s="6" t="s">
        <v>543</v>
      </c>
      <c r="B178" s="6" t="s">
        <v>60</v>
      </c>
      <c r="C178" s="6" t="s">
        <v>952</v>
      </c>
      <c r="D178" s="1" t="s">
        <v>778</v>
      </c>
      <c r="E178" s="1" t="s">
        <v>778</v>
      </c>
      <c r="F178" s="1" t="s">
        <v>778</v>
      </c>
      <c r="G178" s="1" t="s">
        <v>778</v>
      </c>
      <c r="H178" s="1" t="s">
        <v>778</v>
      </c>
      <c r="I178" s="1" t="s">
        <v>778</v>
      </c>
      <c r="J178" s="1" t="s">
        <v>778</v>
      </c>
      <c r="AJ178" s="1" t="s">
        <v>778</v>
      </c>
      <c r="WE178" s="1" t="s">
        <v>778</v>
      </c>
      <c r="WF178" s="1" t="s">
        <v>778</v>
      </c>
      <c r="WG178" s="1" t="s">
        <v>778</v>
      </c>
    </row>
    <row r="179" spans="1:619" ht="38.5" x14ac:dyDescent="0.35">
      <c r="A179" s="6" t="s">
        <v>543</v>
      </c>
      <c r="B179" s="6" t="s">
        <v>60</v>
      </c>
      <c r="C179" s="6" t="s">
        <v>953</v>
      </c>
      <c r="D179" s="1" t="s">
        <v>778</v>
      </c>
      <c r="E179" s="1" t="s">
        <v>778</v>
      </c>
      <c r="F179" s="1" t="s">
        <v>778</v>
      </c>
      <c r="G179" s="1" t="s">
        <v>778</v>
      </c>
      <c r="H179" s="1" t="s">
        <v>778</v>
      </c>
      <c r="AJ179" s="1" t="s">
        <v>778</v>
      </c>
      <c r="AX179" s="1" t="s">
        <v>778</v>
      </c>
      <c r="WE179" s="1" t="s">
        <v>778</v>
      </c>
      <c r="WF179" s="1" t="s">
        <v>778</v>
      </c>
      <c r="WG179" s="1" t="s">
        <v>778</v>
      </c>
    </row>
    <row r="180" spans="1:619" ht="76" x14ac:dyDescent="0.35">
      <c r="A180" s="6" t="s">
        <v>543</v>
      </c>
      <c r="B180" s="6" t="s">
        <v>60</v>
      </c>
      <c r="C180" s="6" t="s">
        <v>954</v>
      </c>
      <c r="D180" s="1" t="s">
        <v>778</v>
      </c>
      <c r="E180" s="1" t="s">
        <v>778</v>
      </c>
      <c r="F180" s="1" t="s">
        <v>778</v>
      </c>
      <c r="G180" s="1" t="s">
        <v>778</v>
      </c>
      <c r="H180" s="1" t="s">
        <v>778</v>
      </c>
      <c r="AJ180" s="1" t="s">
        <v>778</v>
      </c>
      <c r="WE180" s="1" t="s">
        <v>778</v>
      </c>
      <c r="WF180" s="1" t="s">
        <v>778</v>
      </c>
      <c r="WG180" s="1" t="s">
        <v>778</v>
      </c>
      <c r="WS180" s="1" t="s">
        <v>778</v>
      </c>
    </row>
    <row r="181" spans="1:619" ht="76" x14ac:dyDescent="0.35">
      <c r="A181" s="6" t="s">
        <v>543</v>
      </c>
      <c r="B181" s="6" t="s">
        <v>60</v>
      </c>
      <c r="C181" s="6" t="s">
        <v>955</v>
      </c>
      <c r="D181" s="1" t="s">
        <v>778</v>
      </c>
      <c r="E181" s="1" t="s">
        <v>778</v>
      </c>
      <c r="F181" s="1" t="s">
        <v>778</v>
      </c>
      <c r="G181" s="1" t="s">
        <v>778</v>
      </c>
      <c r="H181" s="1" t="s">
        <v>778</v>
      </c>
      <c r="AJ181" s="1" t="s">
        <v>778</v>
      </c>
      <c r="WE181" s="1" t="s">
        <v>778</v>
      </c>
      <c r="WF181" s="1" t="s">
        <v>778</v>
      </c>
      <c r="WG181" s="1" t="s">
        <v>778</v>
      </c>
      <c r="WT181" s="1" t="s">
        <v>778</v>
      </c>
    </row>
    <row r="182" spans="1:619" ht="101" x14ac:dyDescent="0.35">
      <c r="A182" s="6" t="s">
        <v>543</v>
      </c>
      <c r="B182" s="6" t="s">
        <v>60</v>
      </c>
      <c r="C182" s="6" t="s">
        <v>956</v>
      </c>
      <c r="D182" s="1" t="s">
        <v>778</v>
      </c>
      <c r="E182" s="1" t="s">
        <v>778</v>
      </c>
      <c r="F182" s="1" t="s">
        <v>778</v>
      </c>
      <c r="G182" s="1" t="s">
        <v>778</v>
      </c>
      <c r="H182" s="1" t="s">
        <v>778</v>
      </c>
      <c r="AJ182" s="1" t="s">
        <v>778</v>
      </c>
      <c r="WE182" s="1" t="s">
        <v>778</v>
      </c>
      <c r="WF182" s="1" t="s">
        <v>778</v>
      </c>
      <c r="WG182" s="1" t="s">
        <v>778</v>
      </c>
      <c r="WU182" s="1" t="s">
        <v>778</v>
      </c>
    </row>
    <row r="183" spans="1:619" ht="63.5" x14ac:dyDescent="0.35">
      <c r="A183" s="6" t="s">
        <v>543</v>
      </c>
      <c r="B183" s="6" t="s">
        <v>60</v>
      </c>
      <c r="C183" s="6" t="s">
        <v>957</v>
      </c>
      <c r="D183" s="1" t="s">
        <v>778</v>
      </c>
      <c r="E183" s="1" t="s">
        <v>778</v>
      </c>
      <c r="F183" s="1" t="s">
        <v>778</v>
      </c>
      <c r="G183" s="1" t="s">
        <v>778</v>
      </c>
      <c r="H183" s="1" t="s">
        <v>778</v>
      </c>
      <c r="AJ183" s="1" t="s">
        <v>778</v>
      </c>
      <c r="OT183" s="1" t="s">
        <v>778</v>
      </c>
      <c r="WE183" s="1" t="s">
        <v>778</v>
      </c>
      <c r="WG183" s="1" t="s">
        <v>778</v>
      </c>
    </row>
    <row r="184" spans="1:619" ht="63.5" x14ac:dyDescent="0.35">
      <c r="A184" s="6" t="s">
        <v>543</v>
      </c>
      <c r="B184" s="6" t="s">
        <v>60</v>
      </c>
      <c r="C184" s="6" t="s">
        <v>958</v>
      </c>
      <c r="D184" s="1" t="s">
        <v>778</v>
      </c>
      <c r="E184" s="1" t="s">
        <v>778</v>
      </c>
      <c r="F184" s="1" t="s">
        <v>778</v>
      </c>
      <c r="G184" s="1" t="s">
        <v>778</v>
      </c>
      <c r="H184" s="1" t="s">
        <v>778</v>
      </c>
      <c r="AJ184" s="1" t="s">
        <v>778</v>
      </c>
      <c r="AS184" s="1" t="s">
        <v>778</v>
      </c>
      <c r="EE184" s="1" t="s">
        <v>778</v>
      </c>
      <c r="JR184" s="1" t="s">
        <v>778</v>
      </c>
      <c r="RU184" s="1" t="s">
        <v>778</v>
      </c>
      <c r="WF184" s="1" t="s">
        <v>778</v>
      </c>
      <c r="WH184" s="1" t="s">
        <v>778</v>
      </c>
      <c r="WI184" s="1" t="s">
        <v>778</v>
      </c>
    </row>
    <row r="185" spans="1:619" ht="63.5" x14ac:dyDescent="0.35">
      <c r="A185" s="6" t="s">
        <v>543</v>
      </c>
      <c r="B185" s="6" t="s">
        <v>60</v>
      </c>
      <c r="C185" s="6" t="s">
        <v>959</v>
      </c>
      <c r="D185" s="1" t="s">
        <v>778</v>
      </c>
      <c r="E185" s="1" t="s">
        <v>778</v>
      </c>
      <c r="F185" s="1" t="s">
        <v>778</v>
      </c>
      <c r="G185" s="1" t="s">
        <v>778</v>
      </c>
      <c r="H185" s="1" t="s">
        <v>778</v>
      </c>
      <c r="AJ185" s="1" t="s">
        <v>778</v>
      </c>
      <c r="BM185" s="1" t="s">
        <v>778</v>
      </c>
      <c r="EE185" s="1" t="s">
        <v>778</v>
      </c>
      <c r="RU185" s="1" t="s">
        <v>778</v>
      </c>
      <c r="WF185" s="1" t="s">
        <v>778</v>
      </c>
      <c r="WH185" s="1" t="s">
        <v>778</v>
      </c>
      <c r="WI185" s="1" t="s">
        <v>778</v>
      </c>
    </row>
    <row r="186" spans="1:619" ht="63.5" x14ac:dyDescent="0.35">
      <c r="A186" s="6" t="s">
        <v>543</v>
      </c>
      <c r="B186" s="6" t="s">
        <v>60</v>
      </c>
      <c r="C186" s="6" t="s">
        <v>960</v>
      </c>
      <c r="D186" s="1" t="s">
        <v>778</v>
      </c>
      <c r="E186" s="1" t="s">
        <v>778</v>
      </c>
      <c r="F186" s="1" t="s">
        <v>778</v>
      </c>
      <c r="G186" s="1" t="s">
        <v>778</v>
      </c>
      <c r="H186" s="1" t="s">
        <v>778</v>
      </c>
      <c r="AJ186" s="1" t="s">
        <v>778</v>
      </c>
      <c r="EE186" s="1" t="s">
        <v>778</v>
      </c>
      <c r="GV186" s="1" t="s">
        <v>778</v>
      </c>
      <c r="RU186" s="1" t="s">
        <v>778</v>
      </c>
      <c r="WF186" s="1" t="s">
        <v>778</v>
      </c>
      <c r="WH186" s="1" t="s">
        <v>778</v>
      </c>
      <c r="WI186" s="1" t="s">
        <v>778</v>
      </c>
    </row>
    <row r="187" spans="1:619" ht="63.5" x14ac:dyDescent="0.35">
      <c r="A187" s="6" t="s">
        <v>543</v>
      </c>
      <c r="B187" s="6" t="s">
        <v>60</v>
      </c>
      <c r="C187" s="6" t="s">
        <v>961</v>
      </c>
      <c r="D187" s="1" t="s">
        <v>778</v>
      </c>
      <c r="E187" s="1" t="s">
        <v>778</v>
      </c>
      <c r="F187" s="1" t="s">
        <v>778</v>
      </c>
      <c r="G187" s="1" t="s">
        <v>778</v>
      </c>
      <c r="H187" s="1" t="s">
        <v>778</v>
      </c>
      <c r="AJ187" s="1" t="s">
        <v>778</v>
      </c>
      <c r="BP187" s="1" t="s">
        <v>778</v>
      </c>
      <c r="EE187" s="1" t="s">
        <v>778</v>
      </c>
      <c r="RU187" s="1" t="s">
        <v>778</v>
      </c>
      <c r="WF187" s="1" t="s">
        <v>778</v>
      </c>
      <c r="WH187" s="1" t="s">
        <v>778</v>
      </c>
      <c r="WI187" s="1" t="s">
        <v>778</v>
      </c>
    </row>
    <row r="188" spans="1:619" ht="76" x14ac:dyDescent="0.35">
      <c r="A188" s="6" t="s">
        <v>543</v>
      </c>
      <c r="B188" s="6" t="s">
        <v>60</v>
      </c>
      <c r="C188" s="6" t="s">
        <v>962</v>
      </c>
      <c r="D188" s="1" t="s">
        <v>778</v>
      </c>
      <c r="E188" s="1" t="s">
        <v>778</v>
      </c>
      <c r="F188" s="1" t="s">
        <v>778</v>
      </c>
      <c r="G188" s="1" t="s">
        <v>778</v>
      </c>
      <c r="H188" s="1" t="s">
        <v>778</v>
      </c>
      <c r="AJ188" s="1" t="s">
        <v>778</v>
      </c>
      <c r="EE188" s="1" t="s">
        <v>778</v>
      </c>
      <c r="RU188" s="1" t="s">
        <v>778</v>
      </c>
      <c r="WF188" s="1" t="s">
        <v>778</v>
      </c>
      <c r="WH188" s="1" t="s">
        <v>778</v>
      </c>
      <c r="WI188" s="1" t="s">
        <v>778</v>
      </c>
      <c r="WP188" s="1" t="s">
        <v>778</v>
      </c>
    </row>
    <row r="189" spans="1:619" ht="63.5" x14ac:dyDescent="0.35">
      <c r="A189" s="6" t="s">
        <v>543</v>
      </c>
      <c r="B189" s="6" t="s">
        <v>60</v>
      </c>
      <c r="C189" s="6" t="s">
        <v>963</v>
      </c>
      <c r="D189" s="1" t="s">
        <v>778</v>
      </c>
      <c r="E189" s="1" t="s">
        <v>778</v>
      </c>
      <c r="F189" s="1" t="s">
        <v>778</v>
      </c>
      <c r="G189" s="1" t="s">
        <v>778</v>
      </c>
      <c r="H189" s="1" t="s">
        <v>778</v>
      </c>
      <c r="AJ189" s="1" t="s">
        <v>778</v>
      </c>
      <c r="EE189" s="1" t="s">
        <v>778</v>
      </c>
      <c r="JR189" s="1" t="s">
        <v>778</v>
      </c>
      <c r="RU189" s="1" t="s">
        <v>778</v>
      </c>
      <c r="WF189" s="1" t="s">
        <v>778</v>
      </c>
      <c r="WH189" s="1" t="s">
        <v>778</v>
      </c>
      <c r="WI189" s="1" t="s">
        <v>778</v>
      </c>
    </row>
    <row r="190" spans="1:619" ht="76" x14ac:dyDescent="0.35">
      <c r="A190" s="6" t="s">
        <v>543</v>
      </c>
      <c r="B190" s="6" t="s">
        <v>60</v>
      </c>
      <c r="C190" s="6" t="s">
        <v>964</v>
      </c>
      <c r="D190" s="1" t="s">
        <v>778</v>
      </c>
      <c r="E190" s="1" t="s">
        <v>778</v>
      </c>
      <c r="F190" s="1" t="s">
        <v>778</v>
      </c>
      <c r="G190" s="1" t="s">
        <v>778</v>
      </c>
      <c r="H190" s="1" t="s">
        <v>778</v>
      </c>
      <c r="AJ190" s="1" t="s">
        <v>778</v>
      </c>
      <c r="EE190" s="1" t="s">
        <v>778</v>
      </c>
      <c r="JR190" s="1" t="s">
        <v>778</v>
      </c>
      <c r="RU190" s="1" t="s">
        <v>778</v>
      </c>
      <c r="WF190" s="1" t="s">
        <v>778</v>
      </c>
      <c r="WH190" s="1" t="s">
        <v>778</v>
      </c>
      <c r="WI190" s="1" t="s">
        <v>778</v>
      </c>
      <c r="WQ190" s="1" t="s">
        <v>778</v>
      </c>
    </row>
    <row r="191" spans="1:619" ht="51" x14ac:dyDescent="0.35">
      <c r="A191" s="6" t="s">
        <v>543</v>
      </c>
      <c r="B191" s="6" t="s">
        <v>60</v>
      </c>
      <c r="C191" s="6" t="s">
        <v>965</v>
      </c>
      <c r="D191" s="1" t="s">
        <v>778</v>
      </c>
      <c r="E191" s="1" t="s">
        <v>778</v>
      </c>
      <c r="F191" s="1" t="s">
        <v>778</v>
      </c>
      <c r="G191" s="1" t="s">
        <v>778</v>
      </c>
      <c r="H191" s="1" t="s">
        <v>778</v>
      </c>
      <c r="AJ191" s="1" t="s">
        <v>778</v>
      </c>
      <c r="EE191" s="1" t="s">
        <v>778</v>
      </c>
      <c r="RU191" s="1" t="s">
        <v>778</v>
      </c>
      <c r="WF191" s="1" t="s">
        <v>778</v>
      </c>
      <c r="WH191" s="1" t="s">
        <v>778</v>
      </c>
      <c r="WI191" s="1" t="s">
        <v>778</v>
      </c>
      <c r="WR191" s="1" t="s">
        <v>778</v>
      </c>
    </row>
    <row r="192" spans="1:619" ht="63.5" x14ac:dyDescent="0.35">
      <c r="A192" s="6" t="s">
        <v>543</v>
      </c>
      <c r="B192" s="6" t="s">
        <v>60</v>
      </c>
      <c r="C192" s="6" t="s">
        <v>966</v>
      </c>
      <c r="D192" s="1" t="s">
        <v>778</v>
      </c>
      <c r="E192" s="1" t="s">
        <v>778</v>
      </c>
      <c r="F192" s="1" t="s">
        <v>778</v>
      </c>
      <c r="G192" s="1" t="s">
        <v>778</v>
      </c>
      <c r="H192" s="1" t="s">
        <v>778</v>
      </c>
      <c r="AJ192" s="1" t="s">
        <v>778</v>
      </c>
      <c r="EE192" s="1" t="s">
        <v>778</v>
      </c>
      <c r="GX192" s="1" t="s">
        <v>778</v>
      </c>
      <c r="RU192" s="1" t="s">
        <v>778</v>
      </c>
      <c r="WF192" s="1" t="s">
        <v>778</v>
      </c>
      <c r="WH192" s="1" t="s">
        <v>778</v>
      </c>
      <c r="WI192" s="1" t="s">
        <v>778</v>
      </c>
    </row>
    <row r="193" spans="1:632" ht="63.5" x14ac:dyDescent="0.35">
      <c r="A193" s="6" t="s">
        <v>543</v>
      </c>
      <c r="B193" s="6" t="s">
        <v>60</v>
      </c>
      <c r="C193" s="6" t="s">
        <v>967</v>
      </c>
      <c r="D193" s="1" t="s">
        <v>778</v>
      </c>
      <c r="E193" s="1" t="s">
        <v>778</v>
      </c>
      <c r="F193" s="1" t="s">
        <v>778</v>
      </c>
      <c r="G193" s="1" t="s">
        <v>778</v>
      </c>
      <c r="H193" s="1" t="s">
        <v>778</v>
      </c>
      <c r="I193" s="1" t="s">
        <v>778</v>
      </c>
      <c r="J193" s="1" t="s">
        <v>778</v>
      </c>
      <c r="AJ193" s="1" t="s">
        <v>778</v>
      </c>
      <c r="EE193" s="1" t="s">
        <v>778</v>
      </c>
      <c r="RU193" s="1" t="s">
        <v>778</v>
      </c>
      <c r="WF193" s="1" t="s">
        <v>778</v>
      </c>
      <c r="WH193" s="1" t="s">
        <v>778</v>
      </c>
      <c r="WI193" s="1" t="s">
        <v>778</v>
      </c>
    </row>
    <row r="194" spans="1:632" ht="51" x14ac:dyDescent="0.35">
      <c r="A194" s="6" t="s">
        <v>543</v>
      </c>
      <c r="B194" s="6" t="s">
        <v>60</v>
      </c>
      <c r="C194" s="6" t="s">
        <v>968</v>
      </c>
      <c r="D194" s="1" t="s">
        <v>778</v>
      </c>
      <c r="E194" s="1" t="s">
        <v>778</v>
      </c>
      <c r="F194" s="1" t="s">
        <v>778</v>
      </c>
      <c r="G194" s="1" t="s">
        <v>778</v>
      </c>
      <c r="H194" s="1" t="s">
        <v>778</v>
      </c>
      <c r="AJ194" s="1" t="s">
        <v>778</v>
      </c>
      <c r="AX194" s="1" t="s">
        <v>778</v>
      </c>
      <c r="EE194" s="1" t="s">
        <v>778</v>
      </c>
      <c r="RU194" s="1" t="s">
        <v>778</v>
      </c>
      <c r="WF194" s="1" t="s">
        <v>778</v>
      </c>
      <c r="WH194" s="1" t="s">
        <v>778</v>
      </c>
      <c r="WI194" s="1" t="s">
        <v>778</v>
      </c>
    </row>
    <row r="195" spans="1:632" ht="76" x14ac:dyDescent="0.35">
      <c r="A195" s="6" t="s">
        <v>543</v>
      </c>
      <c r="B195" s="6" t="s">
        <v>60</v>
      </c>
      <c r="C195" s="6" t="s">
        <v>969</v>
      </c>
      <c r="D195" s="1" t="s">
        <v>778</v>
      </c>
      <c r="E195" s="1" t="s">
        <v>778</v>
      </c>
      <c r="F195" s="1" t="s">
        <v>778</v>
      </c>
      <c r="G195" s="1" t="s">
        <v>778</v>
      </c>
      <c r="H195" s="1" t="s">
        <v>778</v>
      </c>
      <c r="AJ195" s="1" t="s">
        <v>778</v>
      </c>
      <c r="EE195" s="1" t="s">
        <v>778</v>
      </c>
      <c r="RU195" s="1" t="s">
        <v>778</v>
      </c>
      <c r="WF195" s="1" t="s">
        <v>778</v>
      </c>
      <c r="WH195" s="1" t="s">
        <v>778</v>
      </c>
      <c r="WI195" s="1" t="s">
        <v>778</v>
      </c>
      <c r="WS195" s="1" t="s">
        <v>778</v>
      </c>
    </row>
    <row r="196" spans="1:632" ht="76" x14ac:dyDescent="0.35">
      <c r="A196" s="6" t="s">
        <v>543</v>
      </c>
      <c r="B196" s="6" t="s">
        <v>60</v>
      </c>
      <c r="C196" s="6" t="s">
        <v>970</v>
      </c>
      <c r="D196" s="1" t="s">
        <v>778</v>
      </c>
      <c r="E196" s="1" t="s">
        <v>778</v>
      </c>
      <c r="F196" s="1" t="s">
        <v>778</v>
      </c>
      <c r="G196" s="1" t="s">
        <v>778</v>
      </c>
      <c r="H196" s="1" t="s">
        <v>778</v>
      </c>
      <c r="AJ196" s="1" t="s">
        <v>778</v>
      </c>
      <c r="EE196" s="1" t="s">
        <v>778</v>
      </c>
      <c r="RU196" s="1" t="s">
        <v>778</v>
      </c>
      <c r="WF196" s="1" t="s">
        <v>778</v>
      </c>
      <c r="WH196" s="1" t="s">
        <v>778</v>
      </c>
      <c r="WI196" s="1" t="s">
        <v>778</v>
      </c>
      <c r="WT196" s="1" t="s">
        <v>778</v>
      </c>
    </row>
    <row r="197" spans="1:632" ht="101" x14ac:dyDescent="0.35">
      <c r="A197" s="6" t="s">
        <v>543</v>
      </c>
      <c r="B197" s="6" t="s">
        <v>60</v>
      </c>
      <c r="C197" s="6" t="s">
        <v>971</v>
      </c>
      <c r="D197" s="1" t="s">
        <v>778</v>
      </c>
      <c r="E197" s="1" t="s">
        <v>778</v>
      </c>
      <c r="F197" s="1" t="s">
        <v>778</v>
      </c>
      <c r="G197" s="1" t="s">
        <v>778</v>
      </c>
      <c r="H197" s="1" t="s">
        <v>778</v>
      </c>
      <c r="AJ197" s="1" t="s">
        <v>778</v>
      </c>
      <c r="EE197" s="1" t="s">
        <v>778</v>
      </c>
      <c r="RU197" s="1" t="s">
        <v>778</v>
      </c>
      <c r="WF197" s="1" t="s">
        <v>778</v>
      </c>
      <c r="WH197" s="1" t="s">
        <v>778</v>
      </c>
      <c r="WI197" s="1" t="s">
        <v>778</v>
      </c>
      <c r="WU197" s="1" t="s">
        <v>778</v>
      </c>
    </row>
    <row r="198" spans="1:632" ht="51" x14ac:dyDescent="0.35">
      <c r="A198" s="6" t="s">
        <v>543</v>
      </c>
      <c r="B198" s="6" t="s">
        <v>60</v>
      </c>
      <c r="C198" s="6" t="s">
        <v>972</v>
      </c>
      <c r="D198" s="1" t="s">
        <v>778</v>
      </c>
      <c r="E198" s="1" t="s">
        <v>778</v>
      </c>
      <c r="F198" s="1" t="s">
        <v>778</v>
      </c>
      <c r="G198" s="1" t="s">
        <v>778</v>
      </c>
      <c r="H198" s="1" t="s">
        <v>778</v>
      </c>
      <c r="AJ198" s="1" t="s">
        <v>778</v>
      </c>
      <c r="EE198" s="1" t="s">
        <v>778</v>
      </c>
      <c r="OT198" s="1" t="s">
        <v>778</v>
      </c>
      <c r="RU198" s="1" t="s">
        <v>778</v>
      </c>
      <c r="WH198" s="1" t="s">
        <v>778</v>
      </c>
      <c r="WI198" s="1" t="s">
        <v>778</v>
      </c>
    </row>
    <row r="199" spans="1:632" ht="51" x14ac:dyDescent="0.35">
      <c r="A199" s="6" t="s">
        <v>543</v>
      </c>
      <c r="B199" s="6" t="s">
        <v>973</v>
      </c>
      <c r="C199" s="6" t="s">
        <v>974</v>
      </c>
      <c r="D199" s="1" t="s">
        <v>778</v>
      </c>
      <c r="E199" s="1" t="s">
        <v>778</v>
      </c>
      <c r="F199" s="1" t="s">
        <v>778</v>
      </c>
      <c r="G199" s="1" t="s">
        <v>778</v>
      </c>
      <c r="H199" s="1" t="s">
        <v>778</v>
      </c>
      <c r="BM199" s="1" t="s">
        <v>778</v>
      </c>
      <c r="WY199" s="1" t="s">
        <v>778</v>
      </c>
      <c r="XD199" s="1" t="s">
        <v>778</v>
      </c>
      <c r="XE199" s="1" t="s">
        <v>778</v>
      </c>
      <c r="XF199" s="1" t="s">
        <v>778</v>
      </c>
      <c r="XG199" s="1" t="s">
        <v>778</v>
      </c>
    </row>
    <row r="200" spans="1:632" ht="51" x14ac:dyDescent="0.35">
      <c r="A200" s="6" t="s">
        <v>543</v>
      </c>
      <c r="B200" s="6" t="s">
        <v>973</v>
      </c>
      <c r="C200" s="6" t="s">
        <v>975</v>
      </c>
      <c r="D200" s="1" t="s">
        <v>778</v>
      </c>
      <c r="E200" s="1" t="s">
        <v>778</v>
      </c>
      <c r="F200" s="1" t="s">
        <v>778</v>
      </c>
      <c r="G200" s="1" t="s">
        <v>778</v>
      </c>
      <c r="H200" s="1" t="s">
        <v>778</v>
      </c>
      <c r="BP200" s="1" t="s">
        <v>778</v>
      </c>
      <c r="WY200" s="1" t="s">
        <v>778</v>
      </c>
      <c r="XD200" s="1" t="s">
        <v>778</v>
      </c>
      <c r="XE200" s="1" t="s">
        <v>778</v>
      </c>
      <c r="XF200" s="1" t="s">
        <v>778</v>
      </c>
      <c r="XG200" s="1" t="s">
        <v>778</v>
      </c>
    </row>
    <row r="201" spans="1:632" ht="51" x14ac:dyDescent="0.35">
      <c r="A201" s="6" t="s">
        <v>543</v>
      </c>
      <c r="B201" s="6" t="s">
        <v>973</v>
      </c>
      <c r="C201" s="6" t="s">
        <v>976</v>
      </c>
      <c r="D201" s="1" t="s">
        <v>778</v>
      </c>
      <c r="E201" s="1" t="s">
        <v>778</v>
      </c>
      <c r="F201" s="1" t="s">
        <v>778</v>
      </c>
      <c r="G201" s="1" t="s">
        <v>778</v>
      </c>
      <c r="H201" s="1" t="s">
        <v>778</v>
      </c>
      <c r="PT201" s="1" t="s">
        <v>778</v>
      </c>
      <c r="WV201" s="1" t="s">
        <v>778</v>
      </c>
      <c r="WW201" s="1" t="s">
        <v>778</v>
      </c>
      <c r="XD201" s="1" t="s">
        <v>778</v>
      </c>
      <c r="XE201" s="1" t="s">
        <v>778</v>
      </c>
      <c r="XF201" s="1" t="s">
        <v>778</v>
      </c>
      <c r="XG201" s="1" t="s">
        <v>778</v>
      </c>
    </row>
    <row r="202" spans="1:632" ht="51" x14ac:dyDescent="0.35">
      <c r="A202" s="6" t="s">
        <v>543</v>
      </c>
      <c r="B202" s="6" t="s">
        <v>973</v>
      </c>
      <c r="C202" s="6" t="s">
        <v>977</v>
      </c>
      <c r="D202" s="1" t="s">
        <v>778</v>
      </c>
      <c r="E202" s="1" t="s">
        <v>778</v>
      </c>
      <c r="F202" s="1" t="s">
        <v>778</v>
      </c>
      <c r="G202" s="1" t="s">
        <v>778</v>
      </c>
      <c r="H202" s="1" t="s">
        <v>778</v>
      </c>
      <c r="QJ202" s="1" t="s">
        <v>778</v>
      </c>
      <c r="WY202" s="1" t="s">
        <v>778</v>
      </c>
      <c r="XD202" s="1" t="s">
        <v>778</v>
      </c>
      <c r="XE202" s="1" t="s">
        <v>778</v>
      </c>
      <c r="XF202" s="1" t="s">
        <v>778</v>
      </c>
      <c r="XG202" s="1" t="s">
        <v>778</v>
      </c>
    </row>
    <row r="203" spans="1:632" ht="51" x14ac:dyDescent="0.35">
      <c r="A203" s="6" t="s">
        <v>543</v>
      </c>
      <c r="B203" s="6" t="s">
        <v>973</v>
      </c>
      <c r="C203" s="6" t="s">
        <v>978</v>
      </c>
      <c r="D203" s="1" t="s">
        <v>778</v>
      </c>
      <c r="E203" s="1" t="s">
        <v>778</v>
      </c>
      <c r="F203" s="1" t="s">
        <v>778</v>
      </c>
      <c r="G203" s="1" t="s">
        <v>778</v>
      </c>
      <c r="H203" s="1" t="s">
        <v>778</v>
      </c>
      <c r="WV203" s="1" t="s">
        <v>778</v>
      </c>
      <c r="WW203" s="1" t="s">
        <v>778</v>
      </c>
      <c r="WY203" s="1" t="s">
        <v>778</v>
      </c>
      <c r="XD203" s="1" t="s">
        <v>778</v>
      </c>
      <c r="XE203" s="1" t="s">
        <v>778</v>
      </c>
      <c r="XF203" s="1" t="s">
        <v>778</v>
      </c>
      <c r="XG203" s="1" t="s">
        <v>778</v>
      </c>
    </row>
    <row r="204" spans="1:632" ht="51" x14ac:dyDescent="0.35">
      <c r="A204" s="6" t="s">
        <v>543</v>
      </c>
      <c r="B204" s="6" t="s">
        <v>973</v>
      </c>
      <c r="C204" s="6" t="s">
        <v>979</v>
      </c>
      <c r="D204" s="1" t="s">
        <v>778</v>
      </c>
      <c r="E204" s="1" t="s">
        <v>778</v>
      </c>
      <c r="F204" s="1" t="s">
        <v>778</v>
      </c>
      <c r="G204" s="1" t="s">
        <v>778</v>
      </c>
      <c r="H204" s="1" t="s">
        <v>778</v>
      </c>
      <c r="NA204" s="1" t="s">
        <v>778</v>
      </c>
      <c r="PT204" s="1" t="s">
        <v>778</v>
      </c>
      <c r="WV204" s="1" t="s">
        <v>778</v>
      </c>
      <c r="WW204" s="1" t="s">
        <v>778</v>
      </c>
      <c r="WY204" s="1" t="s">
        <v>778</v>
      </c>
    </row>
    <row r="205" spans="1:632" ht="51" x14ac:dyDescent="0.35">
      <c r="A205" s="6" t="s">
        <v>543</v>
      </c>
      <c r="B205" s="6" t="s">
        <v>973</v>
      </c>
      <c r="C205" s="6" t="s">
        <v>980</v>
      </c>
      <c r="D205" s="1" t="s">
        <v>778</v>
      </c>
      <c r="E205" s="1" t="s">
        <v>778</v>
      </c>
      <c r="F205" s="1" t="s">
        <v>778</v>
      </c>
      <c r="G205" s="1" t="s">
        <v>778</v>
      </c>
      <c r="H205" s="1" t="s">
        <v>778</v>
      </c>
      <c r="AX205" s="1" t="s">
        <v>778</v>
      </c>
      <c r="BA205" s="1" t="s">
        <v>778</v>
      </c>
      <c r="NA205" s="1" t="s">
        <v>778</v>
      </c>
      <c r="PT205" s="1" t="s">
        <v>778</v>
      </c>
      <c r="WY205" s="1" t="s">
        <v>778</v>
      </c>
    </row>
    <row r="206" spans="1:632" ht="51" x14ac:dyDescent="0.35">
      <c r="A206" s="6" t="s">
        <v>543</v>
      </c>
      <c r="B206" s="6" t="s">
        <v>973</v>
      </c>
      <c r="C206" s="6" t="s">
        <v>981</v>
      </c>
      <c r="D206" s="1" t="s">
        <v>778</v>
      </c>
      <c r="E206" s="1" t="s">
        <v>778</v>
      </c>
      <c r="F206" s="1" t="s">
        <v>778</v>
      </c>
      <c r="G206" s="1" t="s">
        <v>778</v>
      </c>
      <c r="H206" s="1" t="s">
        <v>778</v>
      </c>
      <c r="AS206" s="1" t="s">
        <v>778</v>
      </c>
      <c r="WZ206" s="1" t="s">
        <v>778</v>
      </c>
      <c r="XA206" s="1" t="s">
        <v>778</v>
      </c>
      <c r="XB206" s="1" t="s">
        <v>778</v>
      </c>
      <c r="XC206" s="1" t="s">
        <v>778</v>
      </c>
    </row>
    <row r="207" spans="1:632" ht="51" x14ac:dyDescent="0.35">
      <c r="A207" s="6" t="s">
        <v>543</v>
      </c>
      <c r="B207" s="6" t="s">
        <v>973</v>
      </c>
      <c r="C207" s="6" t="s">
        <v>982</v>
      </c>
      <c r="D207" s="1" t="s">
        <v>778</v>
      </c>
      <c r="E207" s="1" t="s">
        <v>778</v>
      </c>
      <c r="F207" s="1" t="s">
        <v>778</v>
      </c>
      <c r="G207" s="1" t="s">
        <v>778</v>
      </c>
      <c r="H207" s="1" t="s">
        <v>778</v>
      </c>
      <c r="AS207" s="1" t="s">
        <v>778</v>
      </c>
      <c r="WX207" s="1" t="s">
        <v>778</v>
      </c>
      <c r="XD207" s="1" t="s">
        <v>778</v>
      </c>
      <c r="XE207" s="1" t="s">
        <v>778</v>
      </c>
      <c r="XF207" s="1" t="s">
        <v>778</v>
      </c>
      <c r="XG207" s="1" t="s">
        <v>778</v>
      </c>
    </row>
    <row r="208" spans="1:632" ht="51" x14ac:dyDescent="0.35">
      <c r="A208" s="6" t="s">
        <v>543</v>
      </c>
      <c r="B208" s="6" t="s">
        <v>973</v>
      </c>
      <c r="C208" s="6" t="s">
        <v>983</v>
      </c>
      <c r="D208" s="1" t="s">
        <v>778</v>
      </c>
      <c r="E208" s="1" t="s">
        <v>778</v>
      </c>
      <c r="F208" s="1" t="s">
        <v>778</v>
      </c>
      <c r="G208" s="1" t="s">
        <v>778</v>
      </c>
      <c r="H208" s="1" t="s">
        <v>778</v>
      </c>
      <c r="WV208" s="1" t="s">
        <v>778</v>
      </c>
      <c r="WW208" s="1" t="s">
        <v>778</v>
      </c>
      <c r="WX208" s="1" t="s">
        <v>778</v>
      </c>
      <c r="XH208" s="1" t="s">
        <v>778</v>
      </c>
    </row>
    <row r="209" spans="1:642" ht="51" x14ac:dyDescent="0.35">
      <c r="A209" s="6" t="s">
        <v>543</v>
      </c>
      <c r="B209" s="6" t="s">
        <v>973</v>
      </c>
      <c r="C209" s="6" t="s">
        <v>984</v>
      </c>
      <c r="D209" s="1" t="s">
        <v>778</v>
      </c>
      <c r="E209" s="1" t="s">
        <v>778</v>
      </c>
      <c r="F209" s="1" t="s">
        <v>778</v>
      </c>
      <c r="G209" s="1" t="s">
        <v>778</v>
      </c>
      <c r="H209" s="1" t="s">
        <v>778</v>
      </c>
      <c r="AP209" s="1" t="s">
        <v>778</v>
      </c>
      <c r="AS209" s="1" t="s">
        <v>778</v>
      </c>
      <c r="WX209" s="1" t="s">
        <v>778</v>
      </c>
      <c r="XI209" s="1" t="s">
        <v>778</v>
      </c>
      <c r="XJ209" s="1" t="s">
        <v>778</v>
      </c>
      <c r="XK209" s="1" t="s">
        <v>778</v>
      </c>
      <c r="XL209" s="1" t="s">
        <v>778</v>
      </c>
      <c r="XM209" s="1" t="s">
        <v>778</v>
      </c>
      <c r="XN209" s="1" t="s">
        <v>778</v>
      </c>
      <c r="XO209" s="1" t="s">
        <v>778</v>
      </c>
      <c r="XP209" s="1" t="s">
        <v>778</v>
      </c>
      <c r="XQ209" s="1" t="s">
        <v>778</v>
      </c>
      <c r="XR209" s="1">
        <f>SUM(D209:XQ209)</f>
        <v>0</v>
      </c>
    </row>
    <row r="210" spans="1:642" ht="51" x14ac:dyDescent="0.35">
      <c r="A210" s="6" t="s">
        <v>543</v>
      </c>
      <c r="B210" s="6" t="s">
        <v>973</v>
      </c>
      <c r="C210" s="6" t="s">
        <v>985</v>
      </c>
      <c r="D210" s="1" t="s">
        <v>778</v>
      </c>
      <c r="E210" s="1" t="s">
        <v>778</v>
      </c>
      <c r="F210" s="1" t="s">
        <v>778</v>
      </c>
      <c r="G210" s="1" t="s">
        <v>778</v>
      </c>
      <c r="H210" s="1" t="s">
        <v>778</v>
      </c>
      <c r="AS210" s="1" t="s">
        <v>778</v>
      </c>
      <c r="AX210" s="1" t="s">
        <v>778</v>
      </c>
      <c r="PT210" s="1" t="s">
        <v>778</v>
      </c>
      <c r="WX210" s="1" t="s">
        <v>778</v>
      </c>
      <c r="XR210" s="1">
        <f>SUM(D210:XQ210)</f>
        <v>0</v>
      </c>
    </row>
  </sheetData>
  <autoFilter ref="A2:XR2" xr:uid="{7B099CB9-5D6F-4180-87CB-7CA58F958D9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A4995-E188-4402-9938-467B6EE8D4E3}">
  <sheetPr filterMode="1"/>
  <dimension ref="A1:ADV249"/>
  <sheetViews>
    <sheetView workbookViewId="0">
      <selection activeCell="F3" sqref="F3"/>
    </sheetView>
  </sheetViews>
  <sheetFormatPr defaultColWidth="8.7265625" defaultRowHeight="14.5" x14ac:dyDescent="0.35"/>
  <cols>
    <col min="1" max="1" width="11.54296875" style="1" customWidth="1"/>
    <col min="2" max="4" width="11.1796875" style="1" customWidth="1"/>
    <col min="5" max="5" width="26.1796875" style="1" customWidth="1"/>
    <col min="6" max="12" width="8.7265625" style="1"/>
    <col min="13" max="13" width="7.453125" style="1" customWidth="1"/>
    <col min="14" max="17" width="8.7265625" style="1"/>
    <col min="18" max="18" width="6.1796875" style="1" customWidth="1"/>
    <col min="19" max="25" width="6" style="1" customWidth="1"/>
    <col min="26" max="30" width="8.7265625" style="1"/>
    <col min="31" max="32" width="7.54296875" style="1" customWidth="1"/>
    <col min="33" max="33" width="11.7265625" style="1" customWidth="1"/>
    <col min="34" max="35" width="8.7265625" style="1"/>
    <col min="36" max="37" width="7.81640625" style="1" customWidth="1"/>
    <col min="38" max="40" width="4.54296875" style="1" customWidth="1"/>
    <col min="41" max="42" width="7.1796875" style="1" customWidth="1"/>
    <col min="43" max="46" width="8.7265625" style="1"/>
    <col min="47" max="47" width="5.7265625" style="1" customWidth="1"/>
    <col min="48" max="50" width="8.7265625" style="1"/>
    <col min="51" max="51" width="5.1796875" style="1" customWidth="1"/>
    <col min="52" max="52" width="5.26953125" style="1" customWidth="1"/>
    <col min="53" max="56" width="5.81640625" style="1" customWidth="1"/>
    <col min="57" max="57" width="5.1796875" style="1" customWidth="1"/>
    <col min="58" max="60" width="5" style="1" customWidth="1"/>
    <col min="61" max="63" width="7.54296875" style="1" customWidth="1"/>
    <col min="64" max="64" width="5.26953125" style="1" customWidth="1"/>
    <col min="65" max="67" width="8.81640625" style="1" customWidth="1"/>
    <col min="68" max="80" width="8.7265625" style="1"/>
    <col min="81" max="83" width="10" style="1" customWidth="1"/>
    <col min="84" max="84" width="5" style="1" customWidth="1"/>
    <col min="85" max="85" width="10" style="1" customWidth="1"/>
    <col min="86" max="86" width="6.453125" style="1" customWidth="1"/>
    <col min="87" max="87" width="7" style="1" customWidth="1"/>
    <col min="88" max="89" width="8.7265625" style="1"/>
    <col min="90" max="91" width="6.81640625" style="1" customWidth="1"/>
    <col min="92" max="92" width="6" style="1" customWidth="1"/>
    <col min="93" max="95" width="11.54296875" style="1" customWidth="1"/>
    <col min="96" max="96" width="10.1796875" style="1" customWidth="1"/>
    <col min="97" max="100" width="8.7265625" style="1"/>
    <col min="101" max="101" width="10.1796875" style="1" customWidth="1"/>
    <col min="102" max="102" width="12.453125" style="1" customWidth="1"/>
    <col min="103" max="103" width="7.26953125" style="1" customWidth="1"/>
    <col min="104" max="104" width="7.54296875" style="1" customWidth="1"/>
    <col min="105" max="105" width="5.453125" style="1" customWidth="1"/>
    <col min="106" max="106" width="8.1796875" style="1" customWidth="1"/>
    <col min="107" max="109" width="8.7265625" style="1"/>
    <col min="110" max="110" width="10.54296875" style="1" customWidth="1"/>
    <col min="111" max="114" width="8.7265625" style="1"/>
    <col min="115" max="115" width="10.1796875" style="1" customWidth="1"/>
    <col min="116" max="120" width="9.1796875" style="1" customWidth="1"/>
    <col min="121" max="134" width="8.7265625" style="1"/>
    <col min="135" max="136" width="9.81640625" style="1" customWidth="1"/>
    <col min="137" max="137" width="8.7265625" style="1"/>
    <col min="138" max="138" width="5.7265625" style="1" customWidth="1"/>
    <col min="139" max="139" width="8.7265625" style="1"/>
    <col min="140" max="140" width="5.7265625" style="1" customWidth="1"/>
    <col min="141" max="143" width="8.7265625" style="1"/>
    <col min="144" max="144" width="6.1796875" style="1" customWidth="1"/>
    <col min="145" max="145" width="8.7265625" style="1"/>
    <col min="146" max="146" width="12.26953125" style="1" customWidth="1"/>
    <col min="147" max="167" width="8.7265625" style="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ol min="181" max="182" width="5.1796875" style="1" customWidth="1"/>
    <col min="183" max="183" width="8.26953125" style="1" customWidth="1"/>
    <col min="184" max="185" width="8.7265625" style="1"/>
    <col min="186" max="186" width="9.81640625" style="1" customWidth="1"/>
    <col min="187" max="191" width="8.7265625" style="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685" width="8.7265625" style="1"/>
    <col min="686" max="686" width="9.1796875" customWidth="1"/>
    <col min="687" max="16384" width="8.7265625" style="1"/>
  </cols>
  <sheetData>
    <row r="1" spans="1:802" ht="145" x14ac:dyDescent="0.35">
      <c r="E1" s="1" t="s">
        <v>2290</v>
      </c>
      <c r="F1" s="1" t="s">
        <v>138</v>
      </c>
      <c r="G1" s="1" t="s">
        <v>139</v>
      </c>
      <c r="H1" s="1" t="s">
        <v>140</v>
      </c>
      <c r="I1" s="1" t="s">
        <v>141</v>
      </c>
      <c r="J1" s="1" t="s">
        <v>142</v>
      </c>
      <c r="K1" s="1" t="s">
        <v>143</v>
      </c>
      <c r="L1" s="1" t="s">
        <v>144</v>
      </c>
      <c r="M1" s="1" t="s">
        <v>145</v>
      </c>
      <c r="N1" s="1" t="s">
        <v>146</v>
      </c>
      <c r="O1" s="1" t="s">
        <v>147</v>
      </c>
      <c r="P1" s="1" t="s">
        <v>148</v>
      </c>
      <c r="Q1" s="1" t="s">
        <v>149</v>
      </c>
      <c r="R1" s="1" t="s">
        <v>150</v>
      </c>
      <c r="S1" s="1" t="s">
        <v>151</v>
      </c>
      <c r="T1" s="1" t="s">
        <v>152</v>
      </c>
      <c r="U1" s="1" t="s">
        <v>153</v>
      </c>
      <c r="V1" s="1" t="s">
        <v>154</v>
      </c>
      <c r="W1" s="1" t="s">
        <v>155</v>
      </c>
      <c r="X1" s="1" t="s">
        <v>156</v>
      </c>
      <c r="Y1" s="1" t="s">
        <v>157</v>
      </c>
      <c r="Z1" s="1" t="s">
        <v>158</v>
      </c>
      <c r="AA1" s="1" t="s">
        <v>159</v>
      </c>
      <c r="AB1" s="1" t="s">
        <v>160</v>
      </c>
      <c r="AC1" s="1" t="s">
        <v>161</v>
      </c>
      <c r="AD1" s="1" t="s">
        <v>162</v>
      </c>
      <c r="AE1" s="1" t="s">
        <v>163</v>
      </c>
      <c r="AF1" s="1" t="s">
        <v>164</v>
      </c>
      <c r="AG1" s="1" t="s">
        <v>165</v>
      </c>
      <c r="AH1" s="1" t="s">
        <v>166</v>
      </c>
      <c r="AI1" s="1" t="s">
        <v>167</v>
      </c>
      <c r="AJ1" s="1" t="s">
        <v>168</v>
      </c>
      <c r="AK1" s="1" t="s">
        <v>169</v>
      </c>
      <c r="AL1" s="1" t="s">
        <v>170</v>
      </c>
      <c r="AM1" s="1" t="s">
        <v>171</v>
      </c>
      <c r="AN1" s="1" t="s">
        <v>172</v>
      </c>
      <c r="AO1" s="1" t="s">
        <v>173</v>
      </c>
      <c r="AP1" s="1" t="s">
        <v>174</v>
      </c>
      <c r="AQ1" s="1" t="s">
        <v>2238</v>
      </c>
      <c r="AR1" s="1" t="s">
        <v>176</v>
      </c>
      <c r="AS1" s="1" t="s">
        <v>177</v>
      </c>
      <c r="AT1" s="1" t="s">
        <v>178</v>
      </c>
      <c r="AU1" s="1" t="s">
        <v>179</v>
      </c>
      <c r="AV1" s="1" t="s">
        <v>180</v>
      </c>
      <c r="AW1" s="1" t="s">
        <v>181</v>
      </c>
      <c r="AX1" s="1" t="s">
        <v>182</v>
      </c>
      <c r="AY1" s="1" t="s">
        <v>183</v>
      </c>
      <c r="AZ1" s="1" t="s">
        <v>184</v>
      </c>
      <c r="BA1" s="1" t="s">
        <v>185</v>
      </c>
      <c r="BB1" s="1" t="s">
        <v>186</v>
      </c>
      <c r="BC1" s="1" t="s">
        <v>187</v>
      </c>
      <c r="BD1" s="1" t="s">
        <v>188</v>
      </c>
      <c r="BE1" s="1" t="s">
        <v>189</v>
      </c>
      <c r="BF1" s="1" t="s">
        <v>190</v>
      </c>
      <c r="BG1" s="1" t="s">
        <v>191</v>
      </c>
      <c r="BH1" s="1" t="s">
        <v>192</v>
      </c>
      <c r="BI1" s="1" t="s">
        <v>193</v>
      </c>
      <c r="BJ1" s="1" t="s">
        <v>194</v>
      </c>
      <c r="BK1" s="1" t="s">
        <v>195</v>
      </c>
      <c r="BL1" s="1" t="s">
        <v>196</v>
      </c>
      <c r="BM1" s="1" t="s">
        <v>197</v>
      </c>
      <c r="BN1" s="1" t="s">
        <v>198</v>
      </c>
      <c r="BO1" s="1" t="s">
        <v>199</v>
      </c>
      <c r="BP1" s="1" t="s">
        <v>2239</v>
      </c>
      <c r="BQ1" s="1" t="s">
        <v>201</v>
      </c>
      <c r="BR1" s="1" t="s">
        <v>202</v>
      </c>
      <c r="BS1" s="1" t="s">
        <v>203</v>
      </c>
      <c r="BT1" s="1" t="s">
        <v>204</v>
      </c>
      <c r="BU1" s="1" t="s">
        <v>205</v>
      </c>
      <c r="BV1" s="1" t="s">
        <v>206</v>
      </c>
      <c r="BW1" s="1" t="s">
        <v>207</v>
      </c>
      <c r="BX1" s="1" t="s">
        <v>208</v>
      </c>
      <c r="BY1" s="1" t="s">
        <v>209</v>
      </c>
      <c r="BZ1" s="1" t="s">
        <v>210</v>
      </c>
      <c r="CA1" s="1" t="s">
        <v>211</v>
      </c>
      <c r="CB1" s="1" t="s">
        <v>212</v>
      </c>
      <c r="CC1" s="1" t="s">
        <v>213</v>
      </c>
      <c r="CD1" s="1" t="s">
        <v>214</v>
      </c>
      <c r="CE1" s="1" t="s">
        <v>2240</v>
      </c>
      <c r="CF1" s="1" t="s">
        <v>2241</v>
      </c>
      <c r="CG1" s="1" t="s">
        <v>2242</v>
      </c>
      <c r="CH1" s="1" t="s">
        <v>218</v>
      </c>
      <c r="CI1" s="1" t="s">
        <v>219</v>
      </c>
      <c r="CJ1" s="1" t="s">
        <v>220</v>
      </c>
      <c r="CK1" s="1" t="s">
        <v>2244</v>
      </c>
      <c r="CL1" s="1" t="s">
        <v>223</v>
      </c>
      <c r="CM1" s="1" t="s">
        <v>224</v>
      </c>
      <c r="CN1" s="1" t="s">
        <v>225</v>
      </c>
      <c r="CO1" s="1" t="s">
        <v>226</v>
      </c>
      <c r="CP1" s="1" t="s">
        <v>227</v>
      </c>
      <c r="CQ1" s="1" t="s">
        <v>228</v>
      </c>
      <c r="CR1" s="1" t="s">
        <v>229</v>
      </c>
      <c r="CS1" s="1" t="s">
        <v>230</v>
      </c>
      <c r="CT1" s="1" t="s">
        <v>231</v>
      </c>
      <c r="CU1" s="1" t="s">
        <v>232</v>
      </c>
      <c r="CV1" s="1" t="s">
        <v>233</v>
      </c>
      <c r="CW1" s="1" t="s">
        <v>234</v>
      </c>
      <c r="CX1" s="1" t="s">
        <v>235</v>
      </c>
      <c r="CY1" s="1" t="s">
        <v>236</v>
      </c>
      <c r="CZ1" s="1" t="s">
        <v>237</v>
      </c>
      <c r="DA1" s="1" t="s">
        <v>238</v>
      </c>
      <c r="DB1" s="1" t="s">
        <v>239</v>
      </c>
      <c r="DC1" s="1" t="s">
        <v>240</v>
      </c>
      <c r="DD1" s="1" t="s">
        <v>241</v>
      </c>
      <c r="DE1" s="1" t="s">
        <v>242</v>
      </c>
      <c r="DF1" s="1" t="s">
        <v>243</v>
      </c>
      <c r="DG1" s="1" t="s">
        <v>244</v>
      </c>
      <c r="DH1" s="1" t="s">
        <v>245</v>
      </c>
      <c r="DI1" s="1" t="s">
        <v>246</v>
      </c>
      <c r="DJ1" s="1" t="s">
        <v>247</v>
      </c>
      <c r="DK1" s="1" t="s">
        <v>248</v>
      </c>
      <c r="DL1" s="1" t="s">
        <v>249</v>
      </c>
      <c r="DM1" s="1" t="s">
        <v>250</v>
      </c>
      <c r="DN1" s="1" t="s">
        <v>251</v>
      </c>
      <c r="DO1" s="1" t="s">
        <v>253</v>
      </c>
      <c r="DP1" s="1" t="s">
        <v>254</v>
      </c>
      <c r="DQ1" s="1" t="s">
        <v>255</v>
      </c>
      <c r="DR1" s="1" t="s">
        <v>256</v>
      </c>
      <c r="DS1" s="1" t="s">
        <v>2245</v>
      </c>
      <c r="DT1" s="1" t="s">
        <v>2246</v>
      </c>
      <c r="DU1" s="1" t="s">
        <v>2247</v>
      </c>
      <c r="DV1" s="1" t="s">
        <v>2248</v>
      </c>
      <c r="DW1" s="1" t="s">
        <v>261</v>
      </c>
      <c r="DX1" s="1" t="s">
        <v>262</v>
      </c>
      <c r="DY1" s="1" t="s">
        <v>263</v>
      </c>
      <c r="DZ1" s="1" t="s">
        <v>264</v>
      </c>
      <c r="EA1" s="1" t="s">
        <v>265</v>
      </c>
      <c r="EB1" s="1" t="s">
        <v>266</v>
      </c>
      <c r="EC1" s="1" t="s">
        <v>267</v>
      </c>
      <c r="ED1" s="1" t="s">
        <v>268</v>
      </c>
      <c r="EE1" s="1" t="s">
        <v>269</v>
      </c>
      <c r="EF1" s="1" t="s">
        <v>270</v>
      </c>
      <c r="EG1" s="1" t="s">
        <v>271</v>
      </c>
      <c r="EH1" s="1" t="s">
        <v>272</v>
      </c>
      <c r="EI1" s="1" t="s">
        <v>273</v>
      </c>
      <c r="EJ1" s="1" t="s">
        <v>274</v>
      </c>
      <c r="EK1" s="1" t="s">
        <v>275</v>
      </c>
      <c r="EL1" s="1" t="s">
        <v>276</v>
      </c>
      <c r="EM1" s="1" t="s">
        <v>277</v>
      </c>
      <c r="EN1" s="1" t="s">
        <v>278</v>
      </c>
      <c r="EO1" s="1" t="s">
        <v>279</v>
      </c>
      <c r="EP1" s="1" t="s">
        <v>280</v>
      </c>
      <c r="EQ1" s="1" t="s">
        <v>281</v>
      </c>
      <c r="ER1" s="1" t="s">
        <v>282</v>
      </c>
      <c r="ES1" s="1" t="s">
        <v>283</v>
      </c>
      <c r="ET1" s="1" t="s">
        <v>284</v>
      </c>
      <c r="EU1" s="1" t="s">
        <v>285</v>
      </c>
      <c r="EV1" s="1" t="s">
        <v>286</v>
      </c>
      <c r="EW1" s="1" t="s">
        <v>287</v>
      </c>
      <c r="EX1" s="1" t="s">
        <v>288</v>
      </c>
      <c r="EY1" s="1" t="s">
        <v>289</v>
      </c>
      <c r="EZ1" s="1" t="s">
        <v>290</v>
      </c>
      <c r="FA1" s="1" t="s">
        <v>291</v>
      </c>
      <c r="FB1" s="1" t="s">
        <v>292</v>
      </c>
      <c r="FC1" s="1" t="s">
        <v>293</v>
      </c>
      <c r="FD1" s="1" t="s">
        <v>294</v>
      </c>
      <c r="FE1" s="1" t="s">
        <v>295</v>
      </c>
      <c r="FF1" s="1" t="s">
        <v>296</v>
      </c>
      <c r="FG1" s="1" t="s">
        <v>297</v>
      </c>
      <c r="FH1" s="1" t="s">
        <v>298</v>
      </c>
      <c r="FI1" s="1" t="s">
        <v>299</v>
      </c>
      <c r="FJ1" s="1" t="s">
        <v>300</v>
      </c>
      <c r="FK1" s="1" t="s">
        <v>2249</v>
      </c>
      <c r="FL1" s="1" t="s">
        <v>302</v>
      </c>
      <c r="FM1" s="1" t="s">
        <v>303</v>
      </c>
      <c r="FN1" s="1" t="s">
        <v>304</v>
      </c>
      <c r="FO1" s="1" t="s">
        <v>305</v>
      </c>
      <c r="FP1" s="1" t="s">
        <v>306</v>
      </c>
      <c r="FQ1" s="1" t="s">
        <v>307</v>
      </c>
      <c r="FR1" s="1" t="s">
        <v>308</v>
      </c>
      <c r="FS1" s="1" t="s">
        <v>309</v>
      </c>
      <c r="FT1" s="1" t="s">
        <v>310</v>
      </c>
      <c r="FU1" s="1" t="s">
        <v>311</v>
      </c>
      <c r="FV1" s="1" t="s">
        <v>312</v>
      </c>
      <c r="FW1" s="1" t="s">
        <v>313</v>
      </c>
      <c r="FX1" s="1" t="s">
        <v>314</v>
      </c>
      <c r="FY1" s="1" t="s">
        <v>315</v>
      </c>
      <c r="FZ1" s="1" t="s">
        <v>316</v>
      </c>
      <c r="GA1" s="1" t="s">
        <v>317</v>
      </c>
      <c r="GB1" s="1" t="s">
        <v>318</v>
      </c>
      <c r="GC1" s="1" t="s">
        <v>319</v>
      </c>
      <c r="GD1" s="1" t="s">
        <v>320</v>
      </c>
      <c r="GE1" s="1" t="s">
        <v>321</v>
      </c>
      <c r="GF1" s="1" t="s">
        <v>322</v>
      </c>
      <c r="GG1" s="1" t="s">
        <v>323</v>
      </c>
      <c r="GH1" s="1" t="s">
        <v>324</v>
      </c>
      <c r="GI1" s="1" t="s">
        <v>325</v>
      </c>
      <c r="GJ1" s="1" t="s">
        <v>326</v>
      </c>
      <c r="GK1" s="1" t="s">
        <v>327</v>
      </c>
      <c r="GL1" s="1" t="s">
        <v>328</v>
      </c>
      <c r="GM1" s="1" t="s">
        <v>329</v>
      </c>
      <c r="GN1" s="1" t="s">
        <v>330</v>
      </c>
      <c r="GO1" s="1" t="s">
        <v>331</v>
      </c>
      <c r="GP1" s="1" t="s">
        <v>332</v>
      </c>
      <c r="GQ1" s="1" t="s">
        <v>333</v>
      </c>
      <c r="GR1" s="1" t="s">
        <v>334</v>
      </c>
      <c r="GS1" s="1" t="s">
        <v>335</v>
      </c>
      <c r="GT1" s="1" t="s">
        <v>336</v>
      </c>
      <c r="GU1" s="1" t="s">
        <v>337</v>
      </c>
      <c r="GV1" s="1" t="s">
        <v>338</v>
      </c>
      <c r="GW1" s="1" t="s">
        <v>339</v>
      </c>
      <c r="GX1" s="1" t="s">
        <v>340</v>
      </c>
      <c r="GY1" s="1" t="s">
        <v>341</v>
      </c>
      <c r="GZ1" s="1" t="s">
        <v>342</v>
      </c>
      <c r="HA1" s="1" t="s">
        <v>343</v>
      </c>
      <c r="HB1" s="1" t="s">
        <v>344</v>
      </c>
      <c r="HC1" s="1" t="s">
        <v>345</v>
      </c>
      <c r="HD1" s="1" t="s">
        <v>346</v>
      </c>
      <c r="HE1" s="1" t="s">
        <v>347</v>
      </c>
      <c r="HF1" s="1" t="s">
        <v>348</v>
      </c>
      <c r="HG1" s="1" t="s">
        <v>349</v>
      </c>
      <c r="HH1" s="1" t="s">
        <v>350</v>
      </c>
      <c r="HI1" s="1" t="s">
        <v>351</v>
      </c>
      <c r="HJ1" s="1" t="s">
        <v>352</v>
      </c>
      <c r="HK1" s="1" t="s">
        <v>353</v>
      </c>
      <c r="HL1" s="1" t="s">
        <v>354</v>
      </c>
      <c r="HM1" s="1" t="s">
        <v>355</v>
      </c>
      <c r="HN1" s="1" t="s">
        <v>356</v>
      </c>
      <c r="HO1" s="1" t="s">
        <v>357</v>
      </c>
      <c r="HP1" s="1" t="s">
        <v>358</v>
      </c>
      <c r="HQ1" s="1" t="s">
        <v>359</v>
      </c>
      <c r="HR1" s="1" t="s">
        <v>360</v>
      </c>
      <c r="HS1" s="1" t="s">
        <v>361</v>
      </c>
      <c r="HT1" s="1" t="s">
        <v>362</v>
      </c>
      <c r="HU1" s="1" t="s">
        <v>363</v>
      </c>
      <c r="HV1" s="1" t="s">
        <v>364</v>
      </c>
      <c r="HW1" s="1" t="s">
        <v>365</v>
      </c>
      <c r="HX1" s="1" t="s">
        <v>366</v>
      </c>
      <c r="HY1" s="1" t="s">
        <v>367</v>
      </c>
      <c r="HZ1" s="1" t="s">
        <v>368</v>
      </c>
      <c r="IA1" s="1" t="s">
        <v>369</v>
      </c>
      <c r="IB1" s="1" t="s">
        <v>370</v>
      </c>
      <c r="IC1" s="1" t="s">
        <v>371</v>
      </c>
      <c r="ID1" s="1" t="s">
        <v>372</v>
      </c>
      <c r="IE1" s="1" t="s">
        <v>373</v>
      </c>
      <c r="IF1" s="1" t="s">
        <v>374</v>
      </c>
      <c r="IG1" s="1" t="s">
        <v>375</v>
      </c>
      <c r="IH1" s="1" t="s">
        <v>376</v>
      </c>
      <c r="II1" s="1" t="s">
        <v>377</v>
      </c>
      <c r="IJ1" s="1" t="s">
        <v>378</v>
      </c>
      <c r="IK1" s="1" t="s">
        <v>379</v>
      </c>
      <c r="IL1" s="1" t="s">
        <v>380</v>
      </c>
      <c r="IM1" s="1" t="s">
        <v>381</v>
      </c>
      <c r="IN1" s="1" t="s">
        <v>382</v>
      </c>
      <c r="IO1" s="1" t="s">
        <v>383</v>
      </c>
      <c r="IP1" s="1" t="s">
        <v>384</v>
      </c>
      <c r="IQ1" s="1" t="s">
        <v>385</v>
      </c>
      <c r="IR1" s="1" t="s">
        <v>386</v>
      </c>
      <c r="IS1" s="1" t="s">
        <v>387</v>
      </c>
      <c r="IT1" s="1" t="s">
        <v>388</v>
      </c>
      <c r="IU1" s="1" t="s">
        <v>389</v>
      </c>
      <c r="IV1" s="1" t="s">
        <v>390</v>
      </c>
      <c r="IW1" s="1" t="s">
        <v>391</v>
      </c>
      <c r="IX1" s="1" t="s">
        <v>392</v>
      </c>
      <c r="IY1" s="1" t="s">
        <v>393</v>
      </c>
      <c r="IZ1" s="1" t="s">
        <v>394</v>
      </c>
      <c r="JA1" s="1" t="s">
        <v>395</v>
      </c>
      <c r="JB1" s="1" t="s">
        <v>396</v>
      </c>
      <c r="JC1" s="1" t="s">
        <v>397</v>
      </c>
      <c r="JD1" s="1" t="s">
        <v>398</v>
      </c>
      <c r="JE1" s="1" t="s">
        <v>399</v>
      </c>
      <c r="JF1" s="1" t="s">
        <v>400</v>
      </c>
      <c r="JG1" s="1" t="s">
        <v>401</v>
      </c>
      <c r="JH1" s="1" t="s">
        <v>2250</v>
      </c>
      <c r="JI1" s="1" t="s">
        <v>2251</v>
      </c>
      <c r="JJ1" s="1" t="s">
        <v>404</v>
      </c>
      <c r="JK1" s="1" t="s">
        <v>405</v>
      </c>
      <c r="JL1" s="1" t="s">
        <v>406</v>
      </c>
      <c r="JM1" s="1" t="s">
        <v>407</v>
      </c>
      <c r="JN1" s="1" t="s">
        <v>408</v>
      </c>
      <c r="JO1" s="1" t="s">
        <v>409</v>
      </c>
      <c r="JP1" s="1" t="s">
        <v>410</v>
      </c>
      <c r="JQ1" s="1" t="s">
        <v>411</v>
      </c>
      <c r="JR1" s="1" t="s">
        <v>412</v>
      </c>
      <c r="JS1" s="1" t="s">
        <v>413</v>
      </c>
      <c r="JT1" s="1" t="s">
        <v>414</v>
      </c>
      <c r="JU1" s="1" t="s">
        <v>415</v>
      </c>
      <c r="JV1" s="1" t="s">
        <v>416</v>
      </c>
      <c r="JW1" s="1" t="s">
        <v>417</v>
      </c>
      <c r="JX1" s="1" t="s">
        <v>418</v>
      </c>
      <c r="JY1" s="1" t="s">
        <v>419</v>
      </c>
      <c r="JZ1" s="1" t="s">
        <v>420</v>
      </c>
      <c r="KA1" s="1" t="s">
        <v>421</v>
      </c>
      <c r="KB1" s="1" t="s">
        <v>422</v>
      </c>
      <c r="KC1" s="1" t="s">
        <v>423</v>
      </c>
      <c r="KD1" s="1" t="s">
        <v>424</v>
      </c>
      <c r="KE1" s="1" t="s">
        <v>425</v>
      </c>
      <c r="KF1" s="1" t="s">
        <v>426</v>
      </c>
      <c r="KG1" s="1" t="s">
        <v>427</v>
      </c>
      <c r="KH1" s="1" t="s">
        <v>428</v>
      </c>
      <c r="KI1" s="1" t="s">
        <v>429</v>
      </c>
      <c r="KJ1" s="1" t="s">
        <v>430</v>
      </c>
      <c r="KK1" s="1" t="s">
        <v>431</v>
      </c>
      <c r="KL1" s="1" t="s">
        <v>432</v>
      </c>
      <c r="KM1" s="1" t="s">
        <v>433</v>
      </c>
      <c r="KN1" s="1" t="s">
        <v>434</v>
      </c>
      <c r="KO1" s="1" t="s">
        <v>435</v>
      </c>
      <c r="KP1" s="1" t="s">
        <v>436</v>
      </c>
      <c r="KQ1" s="1" t="s">
        <v>437</v>
      </c>
      <c r="KR1" s="1" t="s">
        <v>438</v>
      </c>
      <c r="KS1" s="1" t="s">
        <v>439</v>
      </c>
      <c r="KT1" s="1" t="s">
        <v>440</v>
      </c>
      <c r="KU1" s="1" t="s">
        <v>441</v>
      </c>
      <c r="KV1" s="1" t="s">
        <v>442</v>
      </c>
      <c r="KW1" s="1" t="s">
        <v>443</v>
      </c>
      <c r="KX1" s="1" t="s">
        <v>444</v>
      </c>
      <c r="KY1" s="1" t="s">
        <v>445</v>
      </c>
      <c r="KZ1" s="1" t="s">
        <v>446</v>
      </c>
      <c r="LA1" s="1" t="s">
        <v>447</v>
      </c>
      <c r="LB1" s="1" t="s">
        <v>448</v>
      </c>
      <c r="LC1" s="1" t="s">
        <v>449</v>
      </c>
      <c r="LD1" s="1" t="s">
        <v>450</v>
      </c>
      <c r="LE1" s="1" t="s">
        <v>451</v>
      </c>
      <c r="LF1" s="1" t="s">
        <v>452</v>
      </c>
      <c r="LG1" s="1" t="s">
        <v>453</v>
      </c>
      <c r="LH1" s="1" t="s">
        <v>454</v>
      </c>
      <c r="LI1" s="1" t="s">
        <v>455</v>
      </c>
      <c r="LJ1" s="1" t="s">
        <v>456</v>
      </c>
      <c r="LK1" s="1" t="s">
        <v>457</v>
      </c>
      <c r="LL1" s="1" t="s">
        <v>458</v>
      </c>
      <c r="LM1" s="1" t="s">
        <v>459</v>
      </c>
      <c r="LN1" s="1" t="s">
        <v>460</v>
      </c>
      <c r="LO1" s="1" t="s">
        <v>461</v>
      </c>
      <c r="LP1" s="1" t="s">
        <v>462</v>
      </c>
      <c r="LQ1" s="1" t="s">
        <v>463</v>
      </c>
      <c r="LR1" s="1" t="s">
        <v>464</v>
      </c>
      <c r="LS1" s="1" t="s">
        <v>465</v>
      </c>
      <c r="LT1" s="1" t="s">
        <v>466</v>
      </c>
      <c r="LU1" s="1" t="s">
        <v>467</v>
      </c>
      <c r="LV1" s="1" t="s">
        <v>468</v>
      </c>
      <c r="LW1" s="1" t="s">
        <v>469</v>
      </c>
      <c r="LX1" s="1" t="s">
        <v>470</v>
      </c>
      <c r="LY1" s="1" t="s">
        <v>471</v>
      </c>
      <c r="LZ1" s="1" t="s">
        <v>472</v>
      </c>
      <c r="MA1" s="1" t="s">
        <v>473</v>
      </c>
      <c r="MB1" s="1" t="s">
        <v>474</v>
      </c>
      <c r="MC1" s="1" t="s">
        <v>475</v>
      </c>
      <c r="MD1" s="1" t="s">
        <v>476</v>
      </c>
      <c r="ME1" s="1" t="s">
        <v>477</v>
      </c>
      <c r="MF1" s="1" t="s">
        <v>478</v>
      </c>
      <c r="MG1" s="1" t="s">
        <v>479</v>
      </c>
      <c r="MH1" s="1" t="s">
        <v>480</v>
      </c>
      <c r="MI1" s="1" t="s">
        <v>481</v>
      </c>
      <c r="MJ1" s="1" t="s">
        <v>482</v>
      </c>
      <c r="MK1" s="1" t="s">
        <v>483</v>
      </c>
      <c r="ML1" s="1" t="s">
        <v>484</v>
      </c>
      <c r="MM1" s="1" t="s">
        <v>485</v>
      </c>
      <c r="MN1" s="1" t="s">
        <v>486</v>
      </c>
      <c r="MO1" s="1" t="s">
        <v>487</v>
      </c>
      <c r="MP1" s="1" t="s">
        <v>488</v>
      </c>
      <c r="MQ1" s="1" t="s">
        <v>489</v>
      </c>
      <c r="MR1" s="1" t="s">
        <v>490</v>
      </c>
      <c r="MS1" s="1" t="s">
        <v>491</v>
      </c>
      <c r="MT1" s="1" t="s">
        <v>492</v>
      </c>
      <c r="MU1" s="1" t="s">
        <v>493</v>
      </c>
      <c r="MV1" s="1" t="s">
        <v>494</v>
      </c>
      <c r="MW1" s="1" t="s">
        <v>495</v>
      </c>
      <c r="MX1" s="1" t="s">
        <v>496</v>
      </c>
      <c r="MY1" s="1" t="s">
        <v>497</v>
      </c>
      <c r="MZ1" s="1" t="s">
        <v>498</v>
      </c>
      <c r="NA1" s="1" t="s">
        <v>499</v>
      </c>
      <c r="NB1" s="1" t="s">
        <v>500</v>
      </c>
      <c r="NC1" s="1" t="s">
        <v>501</v>
      </c>
      <c r="ND1" s="1" t="s">
        <v>502</v>
      </c>
      <c r="NE1" s="1" t="s">
        <v>503</v>
      </c>
      <c r="NF1" s="1" t="s">
        <v>504</v>
      </c>
      <c r="NG1" s="1" t="s">
        <v>505</v>
      </c>
      <c r="NH1" s="1" t="s">
        <v>506</v>
      </c>
      <c r="NI1" s="1" t="s">
        <v>507</v>
      </c>
      <c r="NJ1" s="1" t="s">
        <v>508</v>
      </c>
      <c r="NK1" s="1" t="s">
        <v>509</v>
      </c>
      <c r="NL1" s="1" t="s">
        <v>510</v>
      </c>
      <c r="NM1" s="1" t="s">
        <v>511</v>
      </c>
      <c r="NN1" s="1" t="s">
        <v>512</v>
      </c>
      <c r="NO1" s="1" t="s">
        <v>513</v>
      </c>
      <c r="NP1" s="1" t="s">
        <v>2252</v>
      </c>
      <c r="NQ1" s="1" t="s">
        <v>515</v>
      </c>
      <c r="NR1" s="1" t="s">
        <v>516</v>
      </c>
      <c r="NS1" s="1" t="s">
        <v>517</v>
      </c>
      <c r="NT1" s="1" t="s">
        <v>518</v>
      </c>
      <c r="NU1" s="1" t="s">
        <v>519</v>
      </c>
      <c r="NV1" s="1" t="s">
        <v>520</v>
      </c>
      <c r="NW1" s="1" t="s">
        <v>521</v>
      </c>
      <c r="NX1" s="1" t="s">
        <v>522</v>
      </c>
      <c r="NY1" s="1" t="s">
        <v>523</v>
      </c>
      <c r="NZ1" s="1" t="s">
        <v>524</v>
      </c>
      <c r="OA1" s="1" t="s">
        <v>525</v>
      </c>
      <c r="OB1" s="1" t="s">
        <v>526</v>
      </c>
      <c r="OC1" s="1" t="s">
        <v>527</v>
      </c>
      <c r="OD1" s="1" t="s">
        <v>528</v>
      </c>
      <c r="OE1" s="1" t="s">
        <v>529</v>
      </c>
      <c r="OF1" s="1" t="s">
        <v>530</v>
      </c>
      <c r="OG1" s="1" t="s">
        <v>531</v>
      </c>
      <c r="OH1" s="1" t="s">
        <v>532</v>
      </c>
      <c r="OI1" s="1" t="s">
        <v>533</v>
      </c>
      <c r="OJ1" s="1" t="s">
        <v>534</v>
      </c>
      <c r="OK1" s="1" t="s">
        <v>535</v>
      </c>
      <c r="OL1" s="1" t="s">
        <v>536</v>
      </c>
      <c r="OM1" s="1" t="s">
        <v>537</v>
      </c>
      <c r="ON1" s="1" t="s">
        <v>538</v>
      </c>
      <c r="OO1" s="1" t="s">
        <v>539</v>
      </c>
      <c r="OP1" s="1" t="s">
        <v>540</v>
      </c>
      <c r="OQ1" s="1" t="s">
        <v>541</v>
      </c>
      <c r="OR1" s="1" t="s">
        <v>542</v>
      </c>
      <c r="OS1" s="1" t="s">
        <v>543</v>
      </c>
      <c r="OT1" s="1" t="s">
        <v>544</v>
      </c>
      <c r="OU1" s="1" t="s">
        <v>545</v>
      </c>
      <c r="OV1" s="1" t="s">
        <v>546</v>
      </c>
      <c r="OW1" s="1" t="s">
        <v>547</v>
      </c>
      <c r="OX1" s="1" t="s">
        <v>548</v>
      </c>
      <c r="OY1" s="1" t="s">
        <v>549</v>
      </c>
      <c r="OZ1" s="1" t="s">
        <v>550</v>
      </c>
      <c r="PA1" s="1" t="s">
        <v>551</v>
      </c>
      <c r="PB1" s="1" t="s">
        <v>552</v>
      </c>
      <c r="PC1" s="1" t="s">
        <v>553</v>
      </c>
      <c r="PD1" s="1" t="s">
        <v>554</v>
      </c>
      <c r="PE1" s="1" t="s">
        <v>555</v>
      </c>
      <c r="PF1" s="1" t="s">
        <v>556</v>
      </c>
      <c r="PG1" s="1" t="s">
        <v>557</v>
      </c>
      <c r="PH1" s="1" t="s">
        <v>558</v>
      </c>
      <c r="PI1" s="1" t="s">
        <v>559</v>
      </c>
      <c r="PJ1" s="1" t="s">
        <v>560</v>
      </c>
      <c r="PK1" s="1" t="s">
        <v>561</v>
      </c>
      <c r="PL1" s="1" t="s">
        <v>562</v>
      </c>
      <c r="PM1" s="1" t="s">
        <v>563</v>
      </c>
      <c r="PN1" s="1" t="s">
        <v>564</v>
      </c>
      <c r="PO1" s="1" t="s">
        <v>565</v>
      </c>
      <c r="PP1" s="1" t="s">
        <v>566</v>
      </c>
      <c r="PQ1" s="1" t="s">
        <v>567</v>
      </c>
      <c r="PR1" s="1" t="s">
        <v>568</v>
      </c>
      <c r="PS1" s="1" t="s">
        <v>569</v>
      </c>
      <c r="PT1" s="1" t="s">
        <v>570</v>
      </c>
      <c r="PU1" s="1" t="s">
        <v>571</v>
      </c>
      <c r="PV1" s="1" t="s">
        <v>572</v>
      </c>
      <c r="PW1" s="1" t="s">
        <v>573</v>
      </c>
      <c r="PX1" s="1" t="s">
        <v>574</v>
      </c>
      <c r="PY1" s="1" t="s">
        <v>575</v>
      </c>
      <c r="PZ1" s="1" t="s">
        <v>576</v>
      </c>
      <c r="QA1" s="1" t="s">
        <v>577</v>
      </c>
      <c r="QB1" s="1" t="s">
        <v>578</v>
      </c>
      <c r="QC1" s="1" t="s">
        <v>579</v>
      </c>
      <c r="QD1" s="1" t="s">
        <v>580</v>
      </c>
      <c r="QE1" s="1" t="s">
        <v>581</v>
      </c>
      <c r="QF1" s="1" t="s">
        <v>582</v>
      </c>
      <c r="QG1" s="1" t="s">
        <v>583</v>
      </c>
      <c r="QH1" s="1" t="s">
        <v>584</v>
      </c>
      <c r="QI1" s="1" t="s">
        <v>585</v>
      </c>
      <c r="QJ1" s="1" t="s">
        <v>2253</v>
      </c>
      <c r="QK1" s="1" t="s">
        <v>587</v>
      </c>
      <c r="QL1" s="1" t="s">
        <v>588</v>
      </c>
      <c r="QM1" s="1" t="s">
        <v>589</v>
      </c>
      <c r="QN1" s="1" t="s">
        <v>590</v>
      </c>
      <c r="QO1" s="1" t="s">
        <v>591</v>
      </c>
      <c r="QP1" s="1" t="s">
        <v>592</v>
      </c>
      <c r="QQ1" s="1" t="s">
        <v>593</v>
      </c>
      <c r="QR1" s="1" t="s">
        <v>594</v>
      </c>
      <c r="QS1" s="1" t="s">
        <v>595</v>
      </c>
      <c r="QT1" s="1" t="s">
        <v>596</v>
      </c>
      <c r="QU1" s="1" t="s">
        <v>597</v>
      </c>
      <c r="QV1" s="1" t="s">
        <v>598</v>
      </c>
      <c r="QW1" s="1" t="s">
        <v>599</v>
      </c>
      <c r="QX1" s="1" t="s">
        <v>600</v>
      </c>
      <c r="QY1" s="1" t="s">
        <v>601</v>
      </c>
      <c r="QZ1" s="1" t="s">
        <v>602</v>
      </c>
      <c r="RA1" s="1" t="s">
        <v>603</v>
      </c>
      <c r="RB1" s="1" t="s">
        <v>604</v>
      </c>
      <c r="RC1" s="1" t="s">
        <v>605</v>
      </c>
      <c r="RD1" s="1" t="s">
        <v>606</v>
      </c>
      <c r="RE1" s="1" t="s">
        <v>607</v>
      </c>
      <c r="RF1" s="1" t="s">
        <v>608</v>
      </c>
      <c r="RG1" s="1" t="s">
        <v>609</v>
      </c>
      <c r="RH1" s="1" t="s">
        <v>610</v>
      </c>
      <c r="RI1" s="1" t="s">
        <v>611</v>
      </c>
      <c r="RJ1" s="1" t="s">
        <v>612</v>
      </c>
      <c r="RK1" s="1" t="s">
        <v>613</v>
      </c>
      <c r="RL1" s="1" t="s">
        <v>614</v>
      </c>
      <c r="RM1" s="1" t="s">
        <v>615</v>
      </c>
      <c r="RN1" s="1" t="s">
        <v>616</v>
      </c>
      <c r="RO1" s="1" t="s">
        <v>617</v>
      </c>
      <c r="RP1" s="1" t="s">
        <v>618</v>
      </c>
      <c r="RQ1" s="1" t="s">
        <v>619</v>
      </c>
      <c r="RR1" s="1" t="s">
        <v>620</v>
      </c>
      <c r="RS1" s="1" t="s">
        <v>621</v>
      </c>
      <c r="RT1" s="1" t="s">
        <v>622</v>
      </c>
      <c r="RU1" s="1" t="s">
        <v>623</v>
      </c>
      <c r="RV1" s="1" t="s">
        <v>624</v>
      </c>
      <c r="RW1" s="1" t="s">
        <v>625</v>
      </c>
      <c r="RX1" s="1" t="s">
        <v>626</v>
      </c>
      <c r="RY1" s="1" t="s">
        <v>627</v>
      </c>
      <c r="RZ1" s="1" t="s">
        <v>628</v>
      </c>
      <c r="SA1" s="1" t="s">
        <v>629</v>
      </c>
      <c r="SB1" s="1" t="s">
        <v>630</v>
      </c>
      <c r="SC1" s="1" t="s">
        <v>631</v>
      </c>
      <c r="SD1" s="1" t="s">
        <v>632</v>
      </c>
      <c r="SE1" s="1" t="s">
        <v>633</v>
      </c>
      <c r="SF1" s="1" t="s">
        <v>634</v>
      </c>
      <c r="SG1" s="1" t="s">
        <v>635</v>
      </c>
      <c r="SH1" s="1" t="s">
        <v>636</v>
      </c>
      <c r="SI1" s="1" t="s">
        <v>637</v>
      </c>
      <c r="SJ1" s="1" t="s">
        <v>638</v>
      </c>
      <c r="SK1" s="1" t="s">
        <v>639</v>
      </c>
      <c r="SL1" s="1" t="s">
        <v>640</v>
      </c>
      <c r="SM1" s="1" t="s">
        <v>641</v>
      </c>
      <c r="SN1" s="1" t="s">
        <v>642</v>
      </c>
      <c r="SO1" s="1" t="s">
        <v>643</v>
      </c>
      <c r="SP1" s="1" t="s">
        <v>644</v>
      </c>
      <c r="SQ1" s="1" t="s">
        <v>645</v>
      </c>
      <c r="SR1" s="1" t="s">
        <v>646</v>
      </c>
      <c r="SS1" s="1" t="s">
        <v>647</v>
      </c>
      <c r="ST1" s="1" t="s">
        <v>648</v>
      </c>
      <c r="SU1" s="1" t="s">
        <v>649</v>
      </c>
      <c r="SV1" s="1" t="s">
        <v>650</v>
      </c>
      <c r="SW1" s="1" t="s">
        <v>651</v>
      </c>
      <c r="SX1" s="1" t="s">
        <v>652</v>
      </c>
      <c r="SY1" s="1" t="s">
        <v>653</v>
      </c>
      <c r="SZ1" s="1" t="s">
        <v>654</v>
      </c>
      <c r="TA1" s="1" t="s">
        <v>655</v>
      </c>
      <c r="TB1" s="1" t="s">
        <v>656</v>
      </c>
      <c r="TC1" s="1" t="s">
        <v>657</v>
      </c>
      <c r="TD1" s="1" t="s">
        <v>658</v>
      </c>
      <c r="TE1" s="1" t="s">
        <v>659</v>
      </c>
      <c r="TF1" s="1" t="s">
        <v>660</v>
      </c>
      <c r="TG1" s="1" t="s">
        <v>661</v>
      </c>
      <c r="TH1" s="1" t="s">
        <v>662</v>
      </c>
      <c r="TI1" s="1" t="s">
        <v>663</v>
      </c>
      <c r="TJ1" s="1" t="s">
        <v>664</v>
      </c>
      <c r="TK1" s="1" t="s">
        <v>665</v>
      </c>
      <c r="TL1" s="1" t="s">
        <v>666</v>
      </c>
      <c r="TM1" s="1" t="s">
        <v>667</v>
      </c>
      <c r="TN1" s="1" t="s">
        <v>668</v>
      </c>
      <c r="TO1" s="1" t="s">
        <v>669</v>
      </c>
      <c r="TP1" s="1" t="s">
        <v>670</v>
      </c>
      <c r="TQ1" s="1" t="s">
        <v>671</v>
      </c>
      <c r="TR1" s="1" t="s">
        <v>672</v>
      </c>
      <c r="TS1" s="1" t="s">
        <v>673</v>
      </c>
      <c r="TT1" s="1" t="s">
        <v>674</v>
      </c>
      <c r="TU1" s="1" t="s">
        <v>675</v>
      </c>
      <c r="TV1" s="1" t="s">
        <v>676</v>
      </c>
      <c r="TW1" s="1" t="s">
        <v>677</v>
      </c>
      <c r="TX1" s="1" t="s">
        <v>678</v>
      </c>
      <c r="TY1" s="1" t="s">
        <v>679</v>
      </c>
      <c r="TZ1" s="1" t="s">
        <v>680</v>
      </c>
      <c r="UA1" s="1" t="s">
        <v>681</v>
      </c>
      <c r="UB1" s="1" t="s">
        <v>682</v>
      </c>
      <c r="UC1" s="1" t="s">
        <v>683</v>
      </c>
      <c r="UD1" s="1" t="s">
        <v>684</v>
      </c>
      <c r="UE1" s="1" t="s">
        <v>685</v>
      </c>
      <c r="UF1" s="1" t="s">
        <v>686</v>
      </c>
      <c r="UG1" s="1" t="s">
        <v>687</v>
      </c>
      <c r="UH1" s="1" t="s">
        <v>688</v>
      </c>
      <c r="UI1" s="1" t="s">
        <v>689</v>
      </c>
      <c r="UJ1" s="1" t="s">
        <v>690</v>
      </c>
      <c r="UK1" s="1" t="s">
        <v>691</v>
      </c>
      <c r="UL1" s="1" t="s">
        <v>692</v>
      </c>
      <c r="UM1" s="1" t="s">
        <v>693</v>
      </c>
      <c r="UN1" s="1" t="s">
        <v>694</v>
      </c>
      <c r="UO1" s="1" t="s">
        <v>695</v>
      </c>
      <c r="UP1" s="1" t="s">
        <v>696</v>
      </c>
      <c r="UQ1" s="1" t="s">
        <v>697</v>
      </c>
      <c r="UR1" s="1" t="s">
        <v>698</v>
      </c>
      <c r="US1" s="1" t="s">
        <v>699</v>
      </c>
      <c r="UT1" s="1" t="s">
        <v>700</v>
      </c>
      <c r="UU1" s="1" t="s">
        <v>701</v>
      </c>
      <c r="UV1" s="1" t="s">
        <v>702</v>
      </c>
      <c r="UW1" s="1" t="s">
        <v>703</v>
      </c>
      <c r="UX1" s="1" t="s">
        <v>704</v>
      </c>
      <c r="UY1" s="1" t="s">
        <v>705</v>
      </c>
      <c r="UZ1" s="1" t="s">
        <v>706</v>
      </c>
      <c r="VA1" s="1" t="s">
        <v>707</v>
      </c>
      <c r="VB1" s="1" t="s">
        <v>708</v>
      </c>
      <c r="VC1" s="1" t="s">
        <v>709</v>
      </c>
      <c r="VD1" s="1" t="s">
        <v>710</v>
      </c>
      <c r="VE1" s="1" t="s">
        <v>711</v>
      </c>
      <c r="VF1" s="1" t="s">
        <v>712</v>
      </c>
      <c r="VG1" s="1" t="s">
        <v>713</v>
      </c>
      <c r="VH1" s="1" t="s">
        <v>714</v>
      </c>
      <c r="VI1" s="1" t="s">
        <v>715</v>
      </c>
      <c r="VJ1" s="1" t="s">
        <v>716</v>
      </c>
      <c r="VK1" s="1" t="s">
        <v>717</v>
      </c>
      <c r="VL1" s="1" t="s">
        <v>718</v>
      </c>
      <c r="VM1" s="1" t="s">
        <v>719</v>
      </c>
      <c r="VN1" s="1" t="s">
        <v>720</v>
      </c>
      <c r="VO1" s="1" t="s">
        <v>721</v>
      </c>
      <c r="VP1" s="1" t="s">
        <v>722</v>
      </c>
      <c r="VQ1" s="1" t="s">
        <v>723</v>
      </c>
      <c r="VR1" s="1" t="s">
        <v>724</v>
      </c>
      <c r="VS1" s="1" t="s">
        <v>725</v>
      </c>
      <c r="VT1" s="1" t="s">
        <v>726</v>
      </c>
      <c r="VU1" s="1" t="s">
        <v>727</v>
      </c>
      <c r="VV1" s="1" t="s">
        <v>728</v>
      </c>
      <c r="VW1" s="1" t="s">
        <v>729</v>
      </c>
      <c r="VX1" s="1" t="s">
        <v>730</v>
      </c>
      <c r="VY1" s="1" t="s">
        <v>731</v>
      </c>
      <c r="VZ1" s="1" t="s">
        <v>732</v>
      </c>
      <c r="WA1" s="1" t="s">
        <v>733</v>
      </c>
      <c r="WB1" s="1" t="s">
        <v>734</v>
      </c>
      <c r="WC1" s="1" t="s">
        <v>735</v>
      </c>
      <c r="WD1" s="1" t="s">
        <v>736</v>
      </c>
      <c r="WE1" s="1" t="s">
        <v>737</v>
      </c>
      <c r="WF1" s="1" t="s">
        <v>738</v>
      </c>
      <c r="WG1" s="1" t="s">
        <v>739</v>
      </c>
      <c r="WH1" s="1" t="s">
        <v>740</v>
      </c>
      <c r="WI1" s="1" t="s">
        <v>741</v>
      </c>
      <c r="WJ1" s="1" t="s">
        <v>742</v>
      </c>
      <c r="WK1" s="1" t="s">
        <v>743</v>
      </c>
      <c r="WL1" s="1" t="s">
        <v>744</v>
      </c>
      <c r="WM1" s="1" t="s">
        <v>745</v>
      </c>
      <c r="WN1" s="1" t="s">
        <v>746</v>
      </c>
      <c r="WO1" s="1" t="s">
        <v>747</v>
      </c>
      <c r="WP1" s="1" t="s">
        <v>748</v>
      </c>
      <c r="WQ1" s="1" t="s">
        <v>749</v>
      </c>
      <c r="WR1" s="1" t="s">
        <v>750</v>
      </c>
      <c r="WS1" s="1" t="s">
        <v>751</v>
      </c>
      <c r="WT1" s="1" t="s">
        <v>752</v>
      </c>
      <c r="WU1" s="1" t="s">
        <v>753</v>
      </c>
      <c r="WV1" s="1" t="s">
        <v>754</v>
      </c>
      <c r="WW1" s="1" t="s">
        <v>755</v>
      </c>
      <c r="WX1" s="1" t="s">
        <v>756</v>
      </c>
      <c r="WY1" s="1" t="s">
        <v>757</v>
      </c>
      <c r="WZ1" s="1" t="s">
        <v>2254</v>
      </c>
      <c r="XA1" s="1" t="s">
        <v>2255</v>
      </c>
      <c r="XB1" s="1" t="s">
        <v>2256</v>
      </c>
      <c r="XC1" s="1" t="s">
        <v>2257</v>
      </c>
      <c r="XD1" s="1" t="s">
        <v>762</v>
      </c>
      <c r="XE1" s="1" t="s">
        <v>763</v>
      </c>
      <c r="XF1" s="1" t="s">
        <v>764</v>
      </c>
      <c r="XG1" s="1" t="s">
        <v>765</v>
      </c>
      <c r="XH1" s="1" t="s">
        <v>766</v>
      </c>
      <c r="XI1" s="1" t="s">
        <v>767</v>
      </c>
      <c r="XJ1" s="1" t="s">
        <v>768</v>
      </c>
      <c r="XK1" s="1" t="s">
        <v>769</v>
      </c>
      <c r="XL1" s="1" t="s">
        <v>770</v>
      </c>
      <c r="XM1" s="1" t="s">
        <v>771</v>
      </c>
      <c r="XN1" s="1" t="s">
        <v>772</v>
      </c>
      <c r="XO1" s="1" t="s">
        <v>773</v>
      </c>
      <c r="XP1" s="1" t="s">
        <v>774</v>
      </c>
      <c r="XQ1" s="1" t="s">
        <v>775</v>
      </c>
      <c r="XR1" s="1" t="s">
        <v>986</v>
      </c>
      <c r="XS1" s="1" t="s">
        <v>987</v>
      </c>
      <c r="XT1" s="1" t="s">
        <v>988</v>
      </c>
      <c r="XU1" s="1" t="s">
        <v>989</v>
      </c>
      <c r="XV1" s="1" t="s">
        <v>990</v>
      </c>
      <c r="XW1" s="1" t="s">
        <v>991</v>
      </c>
      <c r="XX1" s="1" t="s">
        <v>992</v>
      </c>
      <c r="XY1" s="1" t="s">
        <v>993</v>
      </c>
      <c r="XZ1" s="1" t="s">
        <v>994</v>
      </c>
      <c r="YA1" s="1" t="s">
        <v>996</v>
      </c>
      <c r="YB1" s="1" t="s">
        <v>997</v>
      </c>
      <c r="YC1" s="1" t="s">
        <v>998</v>
      </c>
      <c r="YD1" s="1" t="s">
        <v>999</v>
      </c>
      <c r="YE1" s="1" t="s">
        <v>1000</v>
      </c>
      <c r="YF1" s="1" t="s">
        <v>1001</v>
      </c>
      <c r="YG1" s="1" t="s">
        <v>1002</v>
      </c>
      <c r="YH1" s="1" t="s">
        <v>1003</v>
      </c>
      <c r="YI1" s="1" t="s">
        <v>1004</v>
      </c>
      <c r="YJ1" s="1" t="s">
        <v>1005</v>
      </c>
      <c r="YK1" s="1" t="s">
        <v>1006</v>
      </c>
      <c r="YL1" s="1" t="s">
        <v>1007</v>
      </c>
      <c r="YM1" s="1" t="s">
        <v>1008</v>
      </c>
      <c r="YN1" s="1" t="s">
        <v>1009</v>
      </c>
      <c r="YO1" s="1" t="s">
        <v>1010</v>
      </c>
      <c r="YP1" s="1" t="s">
        <v>1011</v>
      </c>
      <c r="YQ1" s="1" t="s">
        <v>1012</v>
      </c>
      <c r="YR1" s="1" t="s">
        <v>1013</v>
      </c>
      <c r="YS1" s="1" t="s">
        <v>1014</v>
      </c>
      <c r="YT1" s="1" t="s">
        <v>1015</v>
      </c>
      <c r="YU1" s="1" t="s">
        <v>1016</v>
      </c>
      <c r="YV1" s="1" t="s">
        <v>1017</v>
      </c>
      <c r="YW1" s="1" t="s">
        <v>1018</v>
      </c>
      <c r="YX1" s="1" t="s">
        <v>1019</v>
      </c>
      <c r="YY1" s="1" t="s">
        <v>1020</v>
      </c>
      <c r="YZ1" s="1" t="s">
        <v>1021</v>
      </c>
      <c r="ZA1" s="1" t="s">
        <v>1022</v>
      </c>
      <c r="ZB1" s="1" t="s">
        <v>1023</v>
      </c>
      <c r="ZC1" s="1" t="s">
        <v>1024</v>
      </c>
      <c r="ZD1" s="1" t="s">
        <v>1025</v>
      </c>
      <c r="ZE1" s="1" t="s">
        <v>1026</v>
      </c>
      <c r="ZF1" s="1" t="s">
        <v>1027</v>
      </c>
      <c r="ZG1" s="1" t="s">
        <v>1028</v>
      </c>
      <c r="ZH1" s="1" t="s">
        <v>1029</v>
      </c>
      <c r="ZI1" s="1" t="s">
        <v>1030</v>
      </c>
      <c r="ZJ1" s="1" t="s">
        <v>1031</v>
      </c>
      <c r="ZK1" s="1" t="s">
        <v>1032</v>
      </c>
      <c r="ZL1" s="1" t="s">
        <v>1033</v>
      </c>
      <c r="ZM1" s="1" t="s">
        <v>1034</v>
      </c>
      <c r="ZN1" s="1" t="s">
        <v>1035</v>
      </c>
      <c r="ZO1" s="1" t="s">
        <v>1036</v>
      </c>
      <c r="ZP1" s="1" t="s">
        <v>1037</v>
      </c>
      <c r="ZQ1" s="1" t="s">
        <v>1038</v>
      </c>
      <c r="ZR1" s="1" t="s">
        <v>1039</v>
      </c>
      <c r="ZS1" s="1" t="s">
        <v>1040</v>
      </c>
      <c r="ZT1" s="1" t="s">
        <v>1041</v>
      </c>
      <c r="ZU1" s="1" t="s">
        <v>1042</v>
      </c>
      <c r="ZV1" s="1" t="s">
        <v>1043</v>
      </c>
      <c r="ZW1" s="1" t="s">
        <v>1044</v>
      </c>
      <c r="ZX1" s="1" t="s">
        <v>1045</v>
      </c>
      <c r="ZY1" s="1" t="s">
        <v>1046</v>
      </c>
      <c r="ZZ1" s="1" t="s">
        <v>1047</v>
      </c>
      <c r="AAA1" s="1" t="s">
        <v>1048</v>
      </c>
      <c r="AAB1" s="1" t="s">
        <v>1049</v>
      </c>
      <c r="AAC1" s="1" t="s">
        <v>1050</v>
      </c>
      <c r="AAD1" s="1" t="s">
        <v>1051</v>
      </c>
      <c r="AAE1" s="1" t="s">
        <v>1052</v>
      </c>
      <c r="AAF1" s="1" t="s">
        <v>1053</v>
      </c>
      <c r="AAG1" s="1" t="s">
        <v>1054</v>
      </c>
      <c r="AAH1" s="1" t="s">
        <v>1055</v>
      </c>
      <c r="AAI1" s="1" t="s">
        <v>1056</v>
      </c>
      <c r="AAJ1" s="1" t="s">
        <v>1057</v>
      </c>
      <c r="AAK1" s="1" t="s">
        <v>1058</v>
      </c>
      <c r="AAL1" s="1" t="s">
        <v>1059</v>
      </c>
      <c r="AAM1" s="1" t="s">
        <v>1060</v>
      </c>
      <c r="AAN1" s="1" t="s">
        <v>1061</v>
      </c>
      <c r="AAO1" s="1" t="s">
        <v>1062</v>
      </c>
      <c r="AAP1" s="1" t="s">
        <v>1063</v>
      </c>
      <c r="AAQ1" s="1" t="s">
        <v>1064</v>
      </c>
      <c r="AAR1" s="1" t="s">
        <v>1065</v>
      </c>
      <c r="AAS1" t="s">
        <v>1066</v>
      </c>
      <c r="AAT1" t="s">
        <v>1067</v>
      </c>
      <c r="AAU1" t="s">
        <v>1068</v>
      </c>
      <c r="AAV1" s="1" t="s">
        <v>1070</v>
      </c>
      <c r="AAW1" s="1" t="s">
        <v>1071</v>
      </c>
      <c r="AAX1" s="1" t="s">
        <v>1072</v>
      </c>
      <c r="AAY1" s="1" t="s">
        <v>1073</v>
      </c>
      <c r="AAZ1" s="1" t="s">
        <v>1074</v>
      </c>
      <c r="ABA1" s="1" t="s">
        <v>1075</v>
      </c>
      <c r="ABB1" s="1" t="s">
        <v>1077</v>
      </c>
      <c r="ABC1" s="1" t="s">
        <v>1078</v>
      </c>
      <c r="ABD1" s="1" t="s">
        <v>1079</v>
      </c>
      <c r="ABE1" t="s">
        <v>1080</v>
      </c>
      <c r="ABF1" t="s">
        <v>1081</v>
      </c>
      <c r="ABG1" t="s">
        <v>1082</v>
      </c>
      <c r="ABH1" t="s">
        <v>1083</v>
      </c>
      <c r="ABI1" t="s">
        <v>1084</v>
      </c>
      <c r="ABJ1" t="s">
        <v>1085</v>
      </c>
      <c r="ABK1" t="s">
        <v>1086</v>
      </c>
      <c r="ABL1" t="s">
        <v>1087</v>
      </c>
      <c r="ABM1" t="s">
        <v>1088</v>
      </c>
      <c r="ABN1" s="1" t="s">
        <v>1089</v>
      </c>
      <c r="ABO1" s="1" t="s">
        <v>1090</v>
      </c>
      <c r="ABP1" s="1" t="s">
        <v>1091</v>
      </c>
      <c r="ABQ1" s="1" t="s">
        <v>1092</v>
      </c>
      <c r="ABR1" s="1" t="s">
        <v>1093</v>
      </c>
      <c r="ABS1" s="1" t="s">
        <v>1094</v>
      </c>
      <c r="ABT1" s="1" t="s">
        <v>1095</v>
      </c>
      <c r="ABU1" s="1" t="s">
        <v>1096</v>
      </c>
      <c r="ABV1" s="1" t="s">
        <v>1097</v>
      </c>
      <c r="ABW1" s="1" t="s">
        <v>1098</v>
      </c>
      <c r="ABX1" s="1" t="s">
        <v>1099</v>
      </c>
      <c r="ABY1" s="1" t="s">
        <v>1100</v>
      </c>
      <c r="ABZ1" s="1" t="s">
        <v>1101</v>
      </c>
      <c r="ACA1" s="1" t="s">
        <v>1102</v>
      </c>
      <c r="ACB1" s="1" t="s">
        <v>1103</v>
      </c>
      <c r="ACC1" s="1" t="s">
        <v>1104</v>
      </c>
      <c r="ACD1" s="1" t="s">
        <v>1105</v>
      </c>
      <c r="ACE1" s="1" t="s">
        <v>1106</v>
      </c>
      <c r="ACF1" s="1" t="s">
        <v>1107</v>
      </c>
      <c r="ACG1" s="1" t="s">
        <v>1108</v>
      </c>
      <c r="ACH1" s="1" t="s">
        <v>1109</v>
      </c>
      <c r="ACI1" s="1" t="s">
        <v>1110</v>
      </c>
      <c r="ACJ1" s="1" t="s">
        <v>1111</v>
      </c>
      <c r="ACK1" s="1" t="s">
        <v>1112</v>
      </c>
      <c r="ACL1" s="1" t="s">
        <v>1113</v>
      </c>
      <c r="ACM1" s="1" t="s">
        <v>1114</v>
      </c>
      <c r="ACN1" s="1" t="s">
        <v>1115</v>
      </c>
      <c r="ACO1" s="1" t="s">
        <v>1116</v>
      </c>
      <c r="ACP1" s="1" t="s">
        <v>1117</v>
      </c>
      <c r="ACQ1" s="1" t="s">
        <v>1118</v>
      </c>
      <c r="ACR1" s="1" t="s">
        <v>1119</v>
      </c>
      <c r="ACS1" s="1" t="s">
        <v>1120</v>
      </c>
      <c r="ACT1" s="1" t="s">
        <v>1121</v>
      </c>
      <c r="ACU1" s="1" t="s">
        <v>1122</v>
      </c>
      <c r="ACV1" s="1" t="s">
        <v>1123</v>
      </c>
      <c r="ACW1" s="1" t="s">
        <v>1124</v>
      </c>
      <c r="ACX1" s="1" t="s">
        <v>1125</v>
      </c>
      <c r="ACY1" s="1" t="s">
        <v>1126</v>
      </c>
      <c r="ACZ1" s="1" t="s">
        <v>1127</v>
      </c>
      <c r="ADA1" s="1" t="s">
        <v>1128</v>
      </c>
      <c r="ADB1" s="1" t="s">
        <v>1130</v>
      </c>
      <c r="ADC1" s="1" t="s">
        <v>1131</v>
      </c>
      <c r="ADD1" s="1" t="s">
        <v>1132</v>
      </c>
      <c r="ADE1" s="1" t="s">
        <v>1133</v>
      </c>
      <c r="ADF1" s="1" t="s">
        <v>1134</v>
      </c>
      <c r="ADG1" s="1" t="s">
        <v>1135</v>
      </c>
      <c r="ADH1" s="1" t="s">
        <v>1136</v>
      </c>
      <c r="ADI1" s="1" t="s">
        <v>1137</v>
      </c>
      <c r="ADJ1" s="1" t="s">
        <v>1138</v>
      </c>
      <c r="ADK1" s="1" t="s">
        <v>1139</v>
      </c>
      <c r="ADL1" s="1" t="s">
        <v>1140</v>
      </c>
      <c r="ADM1" s="1" t="s">
        <v>1141</v>
      </c>
      <c r="ADN1" s="1" t="s">
        <v>1142</v>
      </c>
      <c r="ADO1" s="1" t="s">
        <v>1143</v>
      </c>
      <c r="ADP1" s="1" t="s">
        <v>1144</v>
      </c>
      <c r="ADQ1" s="1" t="s">
        <v>1145</v>
      </c>
      <c r="ADR1" s="1" t="s">
        <v>1146</v>
      </c>
      <c r="ADS1" s="1" t="s">
        <v>1147</v>
      </c>
      <c r="ADT1" s="1" t="s">
        <v>1148</v>
      </c>
      <c r="ADU1" s="1" t="s">
        <v>1149</v>
      </c>
      <c r="ADV1" s="1" t="s">
        <v>1150</v>
      </c>
    </row>
    <row r="2" spans="1:802" ht="95.5" customHeight="1" x14ac:dyDescent="0.35">
      <c r="E2" s="1" t="s">
        <v>2291</v>
      </c>
      <c r="F2" s="1" t="str">
        <f>IF(COUNTIFS(AllVarName!$B:$B,AllVar!E1)&gt;1,INDEX(MultipleLkup!$D:$D,MATCH(AllVar!E1,MultipleLkup!$B:$B,0)),IFERROR(INDEX(AllVarName!$C:$C,MATCH(AllVar!E1,AllVarName!$B:$B,0)),"No match"))</f>
        <v>time period</v>
      </c>
      <c r="G2" s="1" t="str">
        <f>IF(COUNTIFS(AllVarName!$B:$B,AllVar!F1)&gt;1,INDEX(MultipleLkup!$D:$D,MATCH(AllVar!F1,MultipleLkup!$B:$B,0)),IFERROR(INDEX(AllVarName!$C:$C,MATCH(AllVar!F1,AllVarName!$B:$B,0)),"No match"))</f>
        <v>time identifier</v>
      </c>
      <c r="H2" s="1" t="str">
        <f>IF(COUNTIFS(AllVarName!$B:$B,AllVar!G1)&gt;1,INDEX(MultipleLkup!$D:$D,MATCH(AllVar!G1,MultipleLkup!$B:$B,0)),IFERROR(INDEX(AllVarName!$C:$C,MATCH(AllVar!G1,AllVarName!$B:$B,0)),"No match"))</f>
        <v>geographic level</v>
      </c>
      <c r="I2" s="1" t="str">
        <f>IF(COUNTIFS(AllVarName!$B:$B,AllVar!H1)&gt;1,INDEX(MultipleLkup!$D:$D,MATCH(AllVar!H1,MultipleLkup!$B:$B,0)),IFERROR(INDEX(AllVarName!$C:$C,MATCH(AllVar!H1,AllVarName!$B:$B,0)),"No match"))</f>
        <v>Country code</v>
      </c>
      <c r="J2" s="1" t="str">
        <f>IF(COUNTIFS(AllVarName!$B:$B,AllVar!I1)&gt;1,INDEX(MultipleLkup!$D:$D,MATCH(AllVar!I1,MultipleLkup!$B:$B,0)),IFERROR(INDEX(AllVarName!$C:$C,MATCH(AllVar!I1,AllVarName!$B:$B,0)),"No match"))</f>
        <v>Country Name</v>
      </c>
      <c r="K2" s="1" t="str">
        <f>IF(COUNTIFS(AllVarName!$B:$B,AllVar!J1)&gt;1,INDEX(MultipleLkup!$D:$D,MATCH(AllVar!J1,MultipleLkup!$B:$B,0)),IFERROR(INDEX(AllVarName!$C:$C,MATCH(AllVar!J1,AllVarName!$B:$B,0)),"No match"))</f>
        <v>region code</v>
      </c>
      <c r="L2" s="1" t="str">
        <f>IF(COUNTIFS(AllVarName!$B:$B,AllVar!K1)&gt;1,INDEX(MultipleLkup!$D:$D,MATCH(AllVar!K1,MultipleLkup!$B:$B,0)),IFERROR(INDEX(AllVarName!$C:$C,MATCH(AllVar!K1,AllVarName!$B:$B,0)),"No match"))</f>
        <v>region name</v>
      </c>
      <c r="M2" s="1" t="str">
        <f>IF(COUNTIFS(AllVarName!$B:$B,AllVar!L1)&gt;1,INDEX(MultipleLkup!$D:$D,MATCH(AllVar!L1,MultipleLkup!$B:$B,0)),IFERROR(INDEX(AllVarName!$C:$C,MATCH(AllVar!L1,AllVarName!$B:$B,0)),"No match"))</f>
        <v>new la code</v>
      </c>
      <c r="N2" s="1" t="str">
        <f>IF(COUNTIFS(AllVarName!$B:$B,AllVar!M1)&gt;1,INDEX(MultipleLkup!$D:$D,MATCH(AllVar!M1,MultipleLkup!$B:$B,0)),IFERROR(INDEX(AllVarName!$C:$C,MATCH(AllVar!M1,AllVarName!$B:$B,0)),"No match"))</f>
        <v>old la code</v>
      </c>
      <c r="O2" s="1" t="str">
        <f>IF(COUNTIFS(AllVarName!$B:$B,AllVar!N1)&gt;1,INDEX(MultipleLkup!$D:$D,MATCH(AllVar!N1,MultipleLkup!$B:$B,0)),IFERROR(INDEX(AllVarName!$C:$C,MATCH(AllVar!N1,AllVarName!$B:$B,0)),"No match"))</f>
        <v>la name</v>
      </c>
      <c r="P2" s="1" t="str">
        <f>IF(COUNTIFS(AllVarName!$B:$B,AllVar!O1)&gt;1,INDEX(MultipleLkup!$D:$D,MATCH(AllVar!O1,MultipleLkup!$B:$B,0)),IFERROR(INDEX(AllVarName!$C:$C,MATCH(AllVar!O1,AllVarName!$B:$B,0)),"No match"))</f>
        <v>lad code</v>
      </c>
      <c r="Q2" s="1" t="str">
        <f>IF(COUNTIFS(AllVarName!$B:$B,AllVar!P1)&gt;1,INDEX(MultipleLkup!$D:$D,MATCH(AllVar!P1,MultipleLkup!$B:$B,0)),IFERROR(INDEX(AllVarName!$C:$C,MATCH(AllVar!P1,AllVarName!$B:$B,0)),"No match"))</f>
        <v>lad name</v>
      </c>
      <c r="R2" s="1" t="str">
        <f>IF(COUNTIFS(AllVarName!$B:$B,AllVar!Q1)&gt;1,INDEX(MultipleLkup!$D:$D,MATCH(AllVar!Q1,MultipleLkup!$B:$B,0)),IFERROR(INDEX(AllVarName!$C:$C,MATCH(AllVar!Q1,AllVarName!$B:$B,0)),"No match"))</f>
        <v>parliamentary constituency code</v>
      </c>
      <c r="S2" s="1" t="str">
        <f>IF(COUNTIFS(AllVarName!$B:$B,AllVar!R1)&gt;1,INDEX(MultipleLkup!$D:$D,MATCH(AllVar!R1,MultipleLkup!$B:$B,0)),IFERROR(INDEX(AllVarName!$C:$C,MATCH(AllVar!R1,AllVarName!$B:$B,0)),"No match"))</f>
        <v>parliamentary constituency name</v>
      </c>
      <c r="T2" s="1" t="str">
        <f>IF(COUNTIFS(AllVarName!$B:$B,AllVar!S1)&gt;1,INDEX(MultipleLkup!$D:$D,MATCH(AllVar!S1,MultipleLkup!$B:$B,0)),IFERROR(INDEX(AllVarName!$C:$C,MATCH(AllVar!S1,AllVarName!$B:$B,0)),"No match"))</f>
        <v>Graduates' higher education institution region</v>
      </c>
      <c r="U2" s="1" t="str">
        <f>IF(COUNTIFS(AllVarName!$B:$B,AllVar!T1)&gt;1,INDEX(MultipleLkup!$D:$D,MATCH(AllVar!T1,MultipleLkup!$B:$B,0)),IFERROR(INDEX(AllVarName!$C:$C,MATCH(AllVar!T1,AllVarName!$B:$B,0)),"No match"))</f>
        <v>Region</v>
      </c>
      <c r="V2" s="1" t="str">
        <f>IF(COUNTIFS(AllVarName!$B:$B,AllVar!U1)&gt;1,INDEX(MultipleLkup!$D:$D,MATCH(AllVar!U1,MultipleLkup!$B:$B,0)),IFERROR(INDEX(AllVarName!$C:$C,MATCH(AllVar!U1,AllVarName!$B:$B,0)),"No match"))</f>
        <v>Region prior to Higher Education study</v>
      </c>
      <c r="W2" s="1" t="str">
        <f>IF(COUNTIFS(AllVarName!$B:$B,AllVar!V1)&gt;1,INDEX(MultipleLkup!$D:$D,MATCH(AllVar!V1,MultipleLkup!$B:$B,0)),IFERROR(INDEX(AllVarName!$C:$C,MATCH(AllVar!V1,AllVarName!$B:$B,0)),"No match"))</f>
        <v>Term time residence</v>
      </c>
      <c r="X2" s="1" t="str">
        <f>IF(COUNTIFS(AllVarName!$B:$B,AllVar!W1)&gt;1,INDEX(MultipleLkup!$D:$D,MATCH(AllVar!W1,MultipleLkup!$B:$B,0)),IFERROR(INDEX(AllVarName!$C:$C,MATCH(AllVar!W1,AllVarName!$B:$B,0)),"No match"))</f>
        <v>opportunity area code</v>
      </c>
      <c r="Y2" s="1" t="str">
        <f>IF(COUNTIFS(AllVarName!$B:$B,AllVar!X1)&gt;1,INDEX(MultipleLkup!$D:$D,MATCH(AllVar!X1,MultipleLkup!$B:$B,0)),IFERROR(INDEX(AllVarName!$C:$C,MATCH(AllVar!X1,AllVarName!$B:$B,0)),"No match"))</f>
        <v>opportunity area name</v>
      </c>
      <c r="Z2" s="1" t="str">
        <f>IF(COUNTIFS(AllVarName!$B:$B,AllVar!Y1)&gt;1,INDEX(MultipleLkup!$D:$D,MATCH(AllVar!Y1,MultipleLkup!$B:$B,0)),IFERROR(INDEX(AllVarName!$C:$C,MATCH(AllVar!Y1,AllVarName!$B:$B,0)),"No match"))</f>
        <v>Local Enterprise Partnership code</v>
      </c>
      <c r="AA2" s="1" t="str">
        <f>IF(COUNTIFS(AllVarName!$B:$B,AllVar!Z1)&gt;1,INDEX(MultipleLkup!$D:$D,MATCH(AllVar!Z1,MultipleLkup!$B:$B,0)),IFERROR(INDEX(AllVarName!$C:$C,MATCH(AllVar!Z1,AllVarName!$B:$B,0)),"No match"))</f>
        <v>Local Enterprise Partnership name</v>
      </c>
      <c r="AB2" s="1" t="str">
        <f>IF(COUNTIFS(AllVarName!$B:$B,AllVar!AA1)&gt;1,INDEX(MultipleLkup!$D:$D,MATCH(AllVar!AA1,MultipleLkup!$B:$B,0)),IFERROR(INDEX(AllVarName!$C:$C,MATCH(AllVar!AA1,AllVarName!$B:$B,0)),"No match"))</f>
        <v>English devolved area code</v>
      </c>
      <c r="AC2" s="1" t="str">
        <f>IF(COUNTIFS(AllVarName!$B:$B,AllVar!AB1)&gt;1,INDEX(MultipleLkup!$D:$D,MATCH(AllVar!AB1,MultipleLkup!$B:$B,0)),IFERROR(INDEX(AllVarName!$C:$C,MATCH(AllVar!AB1,AllVarName!$B:$B,0)),"No match"))</f>
        <v>English devolved area name</v>
      </c>
      <c r="AD2" s="1" t="str">
        <f>IF(COUNTIFS(AllVarName!$B:$B,AllVar!AC1)&gt;1,INDEX(MultipleLkup!$D:$D,MATCH(AllVar!AC1,MultipleLkup!$B:$B,0)),IFERROR(INDEX(AllVarName!$C:$C,MATCH(AllVar!AC1,AllVarName!$B:$B,0)),"No match"))</f>
        <v>Framework standard</v>
      </c>
      <c r="AE2" s="1" t="str">
        <f>IF(COUNTIFS(AllVarName!$B:$B,AllVar!AD1)&gt;1,INDEX(MultipleLkup!$D:$D,MATCH(AllVar!AD1,MultipleLkup!$B:$B,0)),IFERROR(INDEX(AllVarName!$C:$C,MATCH(AllVar!AD1,AllVarName!$B:$B,0)),"No match"))</f>
        <v>Standard Framework name code</v>
      </c>
      <c r="AF2" s="1" t="str">
        <f>IF(COUNTIFS(AllVarName!$B:$B,AllVar!AE1)&gt;1,INDEX(MultipleLkup!$D:$D,MATCH(AllVar!AE1,MultipleLkup!$B:$B,0)),IFERROR(INDEX(AllVarName!$C:$C,MATCH(AllVar!AE1,AllVarName!$B:$B,0)),"No match"))</f>
        <v>Characteristic</v>
      </c>
      <c r="AG2" s="1" t="str">
        <f>IF(COUNTIFS(AllVarName!$B:$B,AllVar!AF1)&gt;1,INDEX(MultipleLkup!$D:$D,MATCH(AllVar!AF1,MultipleLkup!$B:$B,0)),IFERROR(INDEX(AllVarName!$C:$C,MATCH(AllVar!AF1,AllVarName!$B:$B,0)),"No match"))</f>
        <v>Characteristics Type</v>
      </c>
      <c r="AH2" s="1" t="str">
        <f>IF(COUNTIFS(AllVarName!$B:$B,AllVar!AG1)&gt;1,INDEX(MultipleLkup!$D:$D,MATCH(AllVar!AG1,MultipleLkup!$B:$B,0)),IFERROR(INDEX(AllVarName!$C:$C,MATCH(AllVar!AG1,AllVarName!$B:$B,0)),"No match"))</f>
        <v>Characteristic group</v>
      </c>
      <c r="AI2" s="1" t="str">
        <f>IF(COUNTIFS(AllVarName!$B:$B,AllVar!AH1)&gt;1,INDEX(MultipleLkup!$D:$D,MATCH(AllVar!AH1,MultipleLkup!$B:$B,0)),IFERROR(INDEX(AllVarName!$C:$C,MATCH(AllVar!AH1,AllVarName!$B:$B,0)),"No match"))</f>
        <v>Characteristic detail</v>
      </c>
      <c r="AJ2" s="1" t="str">
        <f>IF(COUNTIFS(AllVarName!$B:$B,AllVar!AI1)&gt;1,INDEX(MultipleLkup!$D:$D,MATCH(AllVar!AI1,MultipleLkup!$B:$B,0)),IFERROR(INDEX(AllVarName!$C:$C,MATCH(AllVar!AI1,AllVarName!$B:$B,0)),"No match"))</f>
        <v>Learner characteristic</v>
      </c>
      <c r="AK2" s="1" t="str">
        <f>IF(COUNTIFS(AllVarName!$B:$B,AllVar!AJ1)&gt;1,INDEX(MultipleLkup!$D:$D,MATCH(AllVar!AJ1,MultipleLkup!$B:$B,0)),IFERROR(INDEX(AllVarName!$C:$C,MATCH(AllVar!AJ1,AllVarName!$B:$B,0)),"No match"))</f>
        <v>Academic year</v>
      </c>
      <c r="AL2" s="1" t="str">
        <f>IF(COUNTIFS(AllVarName!$B:$B,AllVar!AK1)&gt;1,INDEX(MultipleLkup!$D:$D,MATCH(AllVar!AK1,MultipleLkup!$B:$B,0)),IFERROR(INDEX(AllVarName!$C:$C,MATCH(AllVar!AK1,AllVarName!$B:$B,0)),"No match"))</f>
        <v>Level</v>
      </c>
      <c r="AM2" s="1" t="str">
        <f>IF(COUNTIFS(AllVarName!$B:$B,AllVar!AL1)&gt;1,INDEX(MultipleLkup!$D:$D,MATCH(AllVar!AL1,MultipleLkup!$B:$B,0)),IFERROR(INDEX(AllVarName!$C:$C,MATCH(AllVar!AL1,AllVarName!$B:$B,0)),"No match"))</f>
        <v>Level 3</v>
      </c>
      <c r="AN2" s="1" t="str">
        <f>IF(COUNTIFS(AllVarName!$B:$B,AllVar!AM1)&gt;1,INDEX(MultipleLkup!$D:$D,MATCH(AllVar!AM1,MultipleLkup!$B:$B,0)),IFERROR(INDEX(AllVarName!$C:$C,MATCH(AllVar!AM1,AllVarName!$B:$B,0)),"No match"))</f>
        <v>Level 4+</v>
      </c>
      <c r="AO2" s="1" t="str">
        <f>IF(COUNTIFS(AllVarName!$B:$B,AllVar!AN1)&gt;1,INDEX(MultipleLkup!$D:$D,MATCH(AllVar!AN1,MultipleLkup!$B:$B,0)),IFERROR(INDEX(AllVarName!$C:$C,MATCH(AllVar!AN1,AllVarName!$B:$B,0)),"No match"))</f>
        <v>Group</v>
      </c>
      <c r="AP2" s="1" t="str">
        <f>IF(COUNTIFS(AllVarName!$B:$B,AllVar!AO1)&gt;1,INDEX(MultipleLkup!$D:$D,MATCH(AllVar!AO1,MultipleLkup!$B:$B,0)),IFERROR(INDEX(AllVarName!$C:$C,MATCH(AllVar!AO1,AllVarName!$B:$B,0)),"No match"))</f>
        <v>Demographic</v>
      </c>
      <c r="AQ2" s="1" t="str">
        <f>IF(COUNTIFS(AllVarName!$B:$B,AllVar!AP1)&gt;1,INDEX(MultipleLkup!$D:$D,MATCH(AllVar!AP1,MultipleLkup!$B:$B,0)),IFERROR(INDEX(AllVarName!$C:$C,MATCH(AllVar!AP1,AllVarName!$B:$B,0)),"No match"))</f>
        <v>Detailed level</v>
      </c>
      <c r="AR2" s="1" t="str">
        <f>IF(COUNTIFS(AllVarName!$B:$B,AllVar!AQ1)&gt;1,INDEX(MultipleLkup!$D:$D,MATCH(AllVar!AQ1,MultipleLkup!$B:$B,0)),IFERROR(INDEX(AllVarName!$C:$C,MATCH(AllVar!AQ1,AllVarName!$B:$B,0)),"No match"))</f>
        <v>Quarter (Q4 used in analysis)</v>
      </c>
      <c r="AS2" s="1" t="str">
        <f>IF(COUNTIFS(AllVarName!$B:$B,AllVar!AR1)&gt;1,INDEX(MultipleLkup!$D:$D,MATCH(AllVar!AR1,MultipleLkup!$B:$B,0)),IFERROR(INDEX(AllVarName!$C:$C,MATCH(AllVar!AR1,AllVarName!$B:$B,0)),"No match"))</f>
        <v>Age (under 19/19+)</v>
      </c>
      <c r="AT2" s="1" t="str">
        <f>IF(COUNTIFS(AllVarName!$B:$B,AllVar!AS1)&gt;1,INDEX(MultipleLkup!$D:$D,MATCH(AllVar!AS1,MultipleLkup!$B:$B,0)),IFERROR(INDEX(AllVarName!$C:$C,MATCH(AllVar!AS1,AllVarName!$B:$B,0)),"No match"))</f>
        <v>age</v>
      </c>
      <c r="AU2" s="1" t="str">
        <f>IF(COUNTIFS(AllVarName!$B:$B,AllVar!AT1)&gt;1,INDEX(MultipleLkup!$D:$D,MATCH(AllVar!AT1,MultipleLkup!$B:$B,0)),IFERROR(INDEX(AllVarName!$C:$C,MATCH(AllVar!AT1,AllVarName!$B:$B,0)),"No match"))</f>
        <v>Age group</v>
      </c>
      <c r="AV2" s="1" t="str">
        <f>IF(COUNTIFS(AllVarName!$B:$B,AllVar!AU1)&gt;1,INDEX(MultipleLkup!$D:$D,MATCH(AllVar!AU1,MultipleLkup!$B:$B,0)),IFERROR(INDEX(AllVarName!$C:$C,MATCH(AllVar!AU1,AllVarName!$B:$B,0)),"No match"))</f>
        <v>Age Summary</v>
      </c>
      <c r="AW2" s="1" t="str">
        <f>IF(COUNTIFS(AllVarName!$B:$B,AllVar!AV1)&gt;1,INDEX(MultipleLkup!$D:$D,MATCH(AllVar!AV1,MultipleLkup!$B:$B,0)),IFERROR(INDEX(AllVarName!$C:$C,MATCH(AllVar!AV1,AllVarName!$B:$B,0)),"No match"))</f>
        <v>Age summary with unknown</v>
      </c>
      <c r="AX2" s="1" t="str">
        <f>IF(COUNTIFS(AllVarName!$B:$B,AllVar!AW1)&gt;1,INDEX(MultipleLkup!$D:$D,MATCH(AllVar!AW1,MultipleLkup!$B:$B,0)),IFERROR(INDEX(AllVarName!$C:$C,MATCH(AllVar!AW1,AllVarName!$B:$B,0)),"No match"))</f>
        <v>Age group (with unknowns)</v>
      </c>
      <c r="AY2" s="1" t="str">
        <f>IF(COUNTIFS(AllVarName!$B:$B,AllVar!AX1)&gt;1,INDEX(MultipleLkup!$D:$D,MATCH(AllVar!AX1,MultipleLkup!$B:$B,0)),IFERROR(INDEX(AllVarName!$C:$C,MATCH(AllVar!AX1,AllVarName!$B:$B,0)),"No match"))</f>
        <v>Age band at start of stud</v>
      </c>
      <c r="AZ2" s="1" t="str">
        <f>IF(COUNTIFS(AllVarName!$B:$B,AllVar!AY1)&gt;1,INDEX(MultipleLkup!$D:$D,MATCH(AllVar!AY1,MultipleLkup!$B:$B,0)),IFERROR(INDEX(AllVarName!$C:$C,MATCH(AllVar!AY1,AllVarName!$B:$B,0)),"No match"))</f>
        <v>Sex</v>
      </c>
      <c r="BA2" s="1" t="str">
        <f>IF(COUNTIFS(AllVarName!$B:$B,AllVar!AZ1)&gt;1,INDEX(MultipleLkup!$D:$D,MATCH(AllVar!AZ1,MultipleLkup!$B:$B,0)),IFERROR(INDEX(AllVarName!$C:$C,MATCH(AllVar!AZ1,AllVarName!$B:$B,0)),"No match"))</f>
        <v>Science, Technology, Engineering and Mathematics</v>
      </c>
      <c r="BB2" s="1" t="str">
        <f>IF(COUNTIFS(AllVarName!$B:$B,AllVar!BA1)&gt;1,INDEX(MultipleLkup!$D:$D,MATCH(AllVar!BA1,MultipleLkup!$B:$B,0)),IFERROR(INDEX(AllVarName!$C:$C,MATCH(AllVar!BA1,AllVarName!$B:$B,0)),"No match"))</f>
        <v>Industry section</v>
      </c>
      <c r="BC2" s="1" t="str">
        <f>IF(COUNTIFS(AllVarName!$B:$B,AllVar!BB1)&gt;1,INDEX(MultipleLkup!$D:$D,MATCH(AllVar!BB1,MultipleLkup!$B:$B,0)),IFERROR(INDEX(AllVarName!$C:$C,MATCH(AllVar!BB1,AllVarName!$B:$B,0)),"No match"))</f>
        <v>Industry</v>
      </c>
      <c r="BD2" s="1" t="str">
        <f>IF(COUNTIFS(AllVarName!$B:$B,AllVar!BC1)&gt;1,INDEX(MultipleLkup!$D:$D,MATCH(AllVar!BC1,MultipleLkup!$B:$B,0)),IFERROR(INDEX(AllVarName!$C:$C,MATCH(AllVar!BC1,AllVarName!$B:$B,0)),"No match"))</f>
        <v>Sector Subject Area</v>
      </c>
      <c r="BE2" s="1" t="str">
        <f>IF(COUNTIFS(AllVarName!$B:$B,AllVar!BD1)&gt;1,INDEX(MultipleLkup!$D:$D,MATCH(AllVar!BD1,MultipleLkup!$B:$B,0)),IFERROR(INDEX(AllVarName!$C:$C,MATCH(AllVar!BD1,AllVarName!$B:$B,0)),"No match"))</f>
        <v>Sector subject area (tier 1)</v>
      </c>
      <c r="BF2" s="1" t="str">
        <f>IF(COUNTIFS(AllVarName!$B:$B,AllVar!BE1)&gt;1,INDEX(MultipleLkup!$D:$D,MATCH(AllVar!BE1,MultipleLkup!$B:$B,0)),IFERROR(INDEX(AllVarName!$C:$C,MATCH(AllVar!BE1,AllVarName!$B:$B,0)),"No match"))</f>
        <v>Sector subject area (tier 2)</v>
      </c>
      <c r="BG2" s="1" t="str">
        <f>IF(COUNTIFS(AllVarName!$B:$B,AllVar!BF1)&gt;1,INDEX(MultipleLkup!$D:$D,MATCH(AllVar!BF1,MultipleLkup!$B:$B,0)),IFERROR(INDEX(AllVarName!$C:$C,MATCH(AllVar!BF1,AllVarName!$B:$B,0)),"No match"))</f>
        <v>Sector subject area (tier 1) description</v>
      </c>
      <c r="BH2" s="1" t="str">
        <f>IF(COUNTIFS(AllVarName!$B:$B,AllVar!BG1)&gt;1,INDEX(MultipleLkup!$D:$D,MATCH(AllVar!BG1,MultipleLkup!$B:$B,0)),IFERROR(INDEX(AllVarName!$C:$C,MATCH(AllVar!BG1,AllVarName!$B:$B,0)),"No match"))</f>
        <v>Sector subject area (tier 2) description</v>
      </c>
      <c r="BI2" s="1" t="str">
        <f>IF(COUNTIFS(AllVarName!$B:$B,AllVar!BH1)&gt;1,INDEX(MultipleLkup!$D:$D,MATCH(AllVar!BH1,MultipleLkup!$B:$B,0)),IFERROR(INDEX(AllVarName!$C:$C,MATCH(AllVar!BH1,AllVarName!$B:$B,0)),"No match"))</f>
        <v>Subject</v>
      </c>
      <c r="BJ2" s="1" t="str">
        <f>IF(COUNTIFS(AllVarName!$B:$B,AllVar!BI1)&gt;1,INDEX(MultipleLkup!$D:$D,MATCH(AllVar!BI1,MultipleLkup!$B:$B,0)),IFERROR(INDEX(AllVarName!$C:$C,MATCH(AllVar!BI1,AllVarName!$B:$B,0)),"No match"))</f>
        <v>Subject and level</v>
      </c>
      <c r="BK2" s="1" t="str">
        <f>IF(COUNTIFS(AllVarName!$B:$B,AllVar!BJ1)&gt;1,INDEX(MultipleLkup!$D:$D,MATCH(AllVar!BJ1,MultipleLkup!$B:$B,0)),IFERROR(INDEX(AllVarName!$C:$C,MATCH(AllVar!BJ1,AllVarName!$B:$B,0)),"No match"))</f>
        <v>Subject name</v>
      </c>
      <c r="BL2" s="1" t="str">
        <f>IF(COUNTIFS(AllVarName!$B:$B,AllVar!BK1)&gt;1,INDEX(MultipleLkup!$D:$D,MATCH(AllVar!BK1,MultipleLkup!$B:$B,0)),IFERROR(INDEX(AllVarName!$C:$C,MATCH(AllVar!BK1,AllVarName!$B:$B,0)),"No match"))</f>
        <v>Learner with Learning Difficulties or Disabilities</v>
      </c>
      <c r="BM2" s="1" t="str">
        <f>IF(COUNTIFS(AllVarName!$B:$B,AllVar!BL1)&gt;1,INDEX(MultipleLkup!$D:$D,MATCH(AllVar!BL1,MultipleLkup!$B:$B,0)),IFERROR(INDEX(AllVarName!$C:$C,MATCH(AllVar!BL1,AllVarName!$B:$B,0)),"No match"))</f>
        <v>Primary learning difficulty/disability</v>
      </c>
      <c r="BN2" s="1" t="str">
        <f>IF(COUNTIFS(AllVarName!$B:$B,AllVar!BM1)&gt;1,INDEX(MultipleLkup!$D:$D,MATCH(AllVar!BM1,MultipleLkup!$B:$B,0)),IFERROR(INDEX(AllVarName!$C:$C,MATCH(AllVar!BM1,AllVarName!$B:$B,0)),"No match"))</f>
        <v>Learning Difficulty Disability</v>
      </c>
      <c r="BO2" s="1" t="str">
        <f>IF(COUNTIFS(AllVarName!$B:$B,AllVar!BN1)&gt;1,INDEX(MultipleLkup!$D:$D,MATCH(AllVar!BN1,MultipleLkup!$B:$B,0)),IFERROR(INDEX(AllVarName!$C:$C,MATCH(AllVar!BN1,AllVarName!$B:$B,0)),"No match"))</f>
        <v>Disability status</v>
      </c>
      <c r="BP2" s="1" t="str">
        <f>IF(COUNTIFS(AllVarName!$B:$B,AllVar!BO1)&gt;1,INDEX(MultipleLkup!$D:$D,MATCH(AllVar!BO1,MultipleLkup!$B:$B,0)),IFERROR(INDEX(AllVarName!$C:$C,MATCH(AllVar!BO1,AllVarName!$B:$B,0)),"No match"))</f>
        <v>learner home deprivation</v>
      </c>
      <c r="BQ2" s="1" t="str">
        <f>IF(COUNTIFS(AllVarName!$B:$B,AllVar!BP1)&gt;1,INDEX(MultipleLkup!$D:$D,MATCH(AllVar!BP1,MultipleLkup!$B:$B,0)),IFERROR(INDEX(AllVarName!$C:$C,MATCH(AllVar!BP1,AllVarName!$B:$B,0)),"No match"))</f>
        <v>Benefit learner</v>
      </c>
      <c r="BR2" s="1" t="str">
        <f>IF(COUNTIFS(AllVarName!$B:$B,AllVar!BQ1)&gt;1,INDEX(MultipleLkup!$D:$D,MATCH(AllVar!BQ1,MultipleLkup!$B:$B,0)),IFERROR(INDEX(AllVarName!$C:$C,MATCH(AllVar!BQ1,AllVarName!$B:$B,0)),"No match"))</f>
        <v>Ethnicity</v>
      </c>
      <c r="BS2" s="1" t="str">
        <f>IF(COUNTIFS(AllVarName!$B:$B,AllVar!BR1)&gt;1,INDEX(MultipleLkup!$D:$D,MATCH(AllVar!BR1,MultipleLkup!$B:$B,0)),IFERROR(INDEX(AllVarName!$C:$C,MATCH(AllVar!BR1,AllVarName!$B:$B,0)),"No match"))</f>
        <v>Ethnicity detailed</v>
      </c>
      <c r="BT2" s="1" t="str">
        <f>IF(COUNTIFS(AllVarName!$B:$B,AllVar!BS1)&gt;1,INDEX(MultipleLkup!$D:$D,MATCH(AllVar!BS1,MultipleLkup!$B:$B,0)),IFERROR(INDEX(AllVarName!$C:$C,MATCH(AllVar!BS1,AllVarName!$B:$B,0)),"No match"))</f>
        <v>Minority Ethnic</v>
      </c>
      <c r="BU2" s="1" t="str">
        <f>IF(COUNTIFS(AllVarName!$B:$B,AllVar!BT1)&gt;1,INDEX(MultipleLkup!$D:$D,MATCH(AllVar!BT1,MultipleLkup!$B:$B,0)),IFERROR(INDEX(AllVarName!$C:$C,MATCH(AllVar!BT1,AllVarName!$B:$B,0)),"No match"))</f>
        <v>Ethnicity Major</v>
      </c>
      <c r="BV2" s="1" t="str">
        <f>IF(COUNTIFS(AllVarName!$B:$B,AllVar!BU1)&gt;1,INDEX(MultipleLkup!$D:$D,MATCH(AllVar!BU1,MultipleLkup!$B:$B,0)),IFERROR(INDEX(AllVarName!$C:$C,MATCH(AllVar!BU1,AllVarName!$B:$B,0)),"No match"))</f>
        <v>Ethnicity Minor</v>
      </c>
      <c r="BW2" s="1" t="str">
        <f>IF(COUNTIFS(AllVarName!$B:$B,AllVar!BV1)&gt;1,INDEX(MultipleLkup!$D:$D,MATCH(AllVar!BV1,MultipleLkup!$B:$B,0)),IFERROR(INDEX(AllVarName!$C:$C,MATCH(AllVar!BV1,AllVarName!$B:$B,0)),"No match"))</f>
        <v>Ethnicity broad (with Chinese)</v>
      </c>
      <c r="BX2" s="1" t="str">
        <f>IF(COUNTIFS(AllVarName!$B:$B,AllVar!BW1)&gt;1,INDEX(MultipleLkup!$D:$D,MATCH(AllVar!BW1,MultipleLkup!$B:$B,0)),IFERROR(INDEX(AllVarName!$C:$C,MATCH(AllVar!BW1,AllVarName!$B:$B,0)),"No match"))</f>
        <v>Ethnic Minority</v>
      </c>
      <c r="BY2" s="1" t="str">
        <f>IF(COUNTIFS(AllVarName!$B:$B,AllVar!BX1)&gt;1,INDEX(MultipleLkup!$D:$D,MATCH(AllVar!BX1,MultipleLkup!$B:$B,0)),IFERROR(INDEX(AllVarName!$C:$C,MATCH(AllVar!BX1,AllVarName!$B:$B,0)),"No match"))</f>
        <v>Free school meals status</v>
      </c>
      <c r="BZ2" s="1" t="str">
        <f>IF(COUNTIFS(AllVarName!$B:$B,AllVar!BY1)&gt;1,INDEX(MultipleLkup!$D:$D,MATCH(AllVar!BY1,MultipleLkup!$B:$B,0)),IFERROR(INDEX(AllVarName!$C:$C,MATCH(AllVar!BY1,AllVarName!$B:$B,0)),"No match"))</f>
        <v>Higher education Progression Rate (free school meals)</v>
      </c>
      <c r="CA2" s="1" t="str">
        <f>IF(COUNTIFS(AllVarName!$B:$B,AllVar!BZ1)&gt;1,INDEX(MultipleLkup!$D:$D,MATCH(AllVar!BZ1,MultipleLkup!$B:$B,0)),IFERROR(INDEX(AllVarName!$C:$C,MATCH(AllVar!BZ1,AllVarName!$B:$B,0)),"No match"))</f>
        <v>Higher education Progression Rate (Non-Free School Meals)</v>
      </c>
      <c r="CB2" s="1" t="str">
        <f>IF(COUNTIFS(AllVarName!$B:$B,AllVar!CA1)&gt;1,INDEX(MultipleLkup!$D:$D,MATCH(AllVar!CA1,MultipleLkup!$B:$B,0)),IFERROR(INDEX(AllVarName!$C:$C,MATCH(AllVar!CA1,AllVarName!$B:$B,0)),"No match"))</f>
        <v>Leavers</v>
      </c>
      <c r="CC2" s="1" t="str">
        <f>IF(COUNTIFS(AllVarName!$B:$B,AllVar!CB1)&gt;1,INDEX(MultipleLkup!$D:$D,MATCH(AllVar!CB1,MultipleLkup!$B:$B,0)),IFERROR(INDEX(AllVarName!$C:$C,MATCH(AllVar!CB1,AllVarName!$B:$B,0)),"No match"))</f>
        <v>Completers</v>
      </c>
      <c r="CD2" s="1" t="str">
        <f>IF(COUNTIFS(AllVarName!$B:$B,AllVar!CC1)&gt;1,INDEX(MultipleLkup!$D:$D,MATCH(AllVar!CC1,MultipleLkup!$B:$B,0)),IFERROR(INDEX(AllVarName!$C:$C,MATCH(AllVar!CC1,AllVarName!$B:$B,0)),"No match"))</f>
        <v>Achievers</v>
      </c>
      <c r="CE2" s="1" t="str">
        <f>IF(COUNTIFS(AllVarName!$B:$B,AllVar!CD1)&gt;1,INDEX(MultipleLkup!$D:$D,MATCH(AllVar!CD1,MultipleLkup!$B:$B,0)),IFERROR(INDEX(AllVarName!$C:$C,MATCH(AllVar!CD1,AllVarName!$B:$B,0)),"No match"))</f>
        <v>Retention Rate</v>
      </c>
      <c r="CF2" s="1" t="str">
        <f>IF(COUNTIFS(AllVarName!$B:$B,AllVar!CE1)&gt;1,INDEX(MultipleLkup!$D:$D,MATCH(AllVar!CE1,MultipleLkup!$B:$B,0)),IFERROR(INDEX(AllVarName!$C:$C,MATCH(AllVar!CE1,AllVarName!$B:$B,0)),"No match"))</f>
        <v>Pass Rate</v>
      </c>
      <c r="CG2" s="1" t="str">
        <f>IF(COUNTIFS(AllVarName!$B:$B,AllVar!CF1)&gt;1,INDEX(MultipleLkup!$D:$D,MATCH(AllVar!CF1,MultipleLkup!$B:$B,0)),IFERROR(INDEX(AllVarName!$C:$C,MATCH(AllVar!CF1,AllVarName!$B:$B,0)),"No match"))</f>
        <v>Achievement Rate</v>
      </c>
      <c r="CH2" s="1" t="str">
        <f>IF(COUNTIFS(AllVarName!$B:$B,AllVar!CG1)&gt;1,INDEX(MultipleLkup!$D:$D,MATCH(AllVar!CG1,MultipleLkup!$B:$B,0)),IFERROR(INDEX(AllVarName!$C:$C,MATCH(AllVar!CG1,AllVarName!$B:$B,0)),"No match"))</f>
        <v>Month</v>
      </c>
      <c r="CI2" s="1" t="str">
        <f>IF(COUNTIFS(AllVarName!$B:$B,AllVar!CH1)&gt;1,INDEX(MultipleLkup!$D:$D,MATCH(AllVar!CH1,MultipleLkup!$B:$B,0)),IFERROR(INDEX(AllVarName!$C:$C,MATCH(AllVar!CH1,AllVarName!$B:$B,0)),"No match"))</f>
        <v>Adverts</v>
      </c>
      <c r="CJ2" s="1" t="str">
        <f>IF(COUNTIFS(AllVarName!$B:$B,AllVar!CI1)&gt;1,INDEX(MultipleLkup!$D:$D,MATCH(AllVar!CI1,MultipleLkup!$B:$B,0)),IFERROR(INDEX(AllVarName!$C:$C,MATCH(AllVar!CI1,AllVarName!$B:$B,0)),"No match"))</f>
        <v>Vacancies</v>
      </c>
      <c r="CK2" s="1" t="str">
        <f>IF(COUNTIFS(AllVarName!$B:$B,AllVar!CJ1)&gt;1,INDEX(MultipleLkup!$D:$D,MATCH(AllVar!CJ1,MultipleLkup!$B:$B,0)),IFERROR(INDEX(AllVarName!$C:$C,MATCH(AllVar!CJ1,AllVarName!$B:$B,0)),"No match"))</f>
        <v>Start Academic Year</v>
      </c>
      <c r="CL2" s="1" t="str">
        <f>IF(COUNTIFS(AllVarName!$B:$B,AllVar!CK1)&gt;1,INDEX(MultipleLkup!$D:$D,MATCH(AllVar!CK1,MultipleLkup!$B:$B,0)),IFERROR(INDEX(AllVarName!$C:$C,MATCH(AllVar!CK1,AllVarName!$B:$B,0)),"No match"))</f>
        <v>Start month</v>
      </c>
      <c r="CM2" s="1" t="str">
        <f>IF(COUNTIFS(AllVarName!$B:$B,AllVar!CL1)&gt;1,INDEX(MultipleLkup!$D:$D,MATCH(AllVar!CL1,MultipleLkup!$B:$B,0)),IFERROR(INDEX(AllVarName!$C:$C,MATCH(AllVar!CL1,AllVarName!$B:$B,0)),"No match"))</f>
        <v>Start Age</v>
      </c>
      <c r="CN2" s="1" t="str">
        <f>IF(COUNTIFS(AllVarName!$B:$B,AllVar!CM1)&gt;1,INDEX(MultipleLkup!$D:$D,MATCH(AllVar!CM1,MultipleLkup!$B:$B,0)),IFERROR(INDEX(AllVarName!$C:$C,MATCH(AllVar!CM1,AllVarName!$B:$B,0)),"No match"))</f>
        <v>Tship starts</v>
      </c>
      <c r="CO2" s="1" t="str">
        <f>IF(COUNTIFS(AllVarName!$B:$B,AllVar!CN1)&gt;1,INDEX(MultipleLkup!$D:$D,MATCH(AllVar!CN1,MultipleLkup!$B:$B,0)),IFERROR(INDEX(AllVarName!$C:$C,MATCH(AllVar!CN1,AllVarName!$B:$B,0)),"No match"))</f>
        <v>Traineeship completions</v>
      </c>
      <c r="CP2" s="1" t="str">
        <f>IF(COUNTIFS(AllVarName!$B:$B,AllVar!CO1)&gt;1,INDEX(MultipleLkup!$D:$D,MATCH(AllVar!CO1,MultipleLkup!$B:$B,0)),IFERROR(INDEX(AllVarName!$C:$C,MATCH(AllVar!CO1,AllVarName!$B:$B,0)),"No match"))</f>
        <v>Traineeship completion rate</v>
      </c>
      <c r="CQ2" s="1" t="str">
        <f>IF(COUNTIFS(AllVarName!$B:$B,AllVar!CP1)&gt;1,INDEX(MultipleLkup!$D:$D,MATCH(AllVar!CP1,MultipleLkup!$B:$B,0)),IFERROR(INDEX(AllVarName!$C:$C,MATCH(AllVar!CP1,AllVarName!$B:$B,0)),"No match"))</f>
        <v>Apprenticeship starts following t'ship</v>
      </c>
      <c r="CR2" s="1" t="str">
        <f>IF(COUNTIFS(AllVarName!$B:$B,AllVar!CQ1)&gt;1,INDEX(MultipleLkup!$D:$D,MATCH(AllVar!CQ1,MultipleLkup!$B:$B,0)),IFERROR(INDEX(AllVarName!$C:$C,MATCH(AllVar!CQ1,AllVarName!$B:$B,0)),"No match"))</f>
        <v>Conversion rate into apprenticeship</v>
      </c>
      <c r="CS2" s="1" t="str">
        <f>IF(COUNTIFS(AllVarName!$B:$B,AllVar!CR1)&gt;1,INDEX(MultipleLkup!$D:$D,MATCH(AllVar!CR1,MultipleLkup!$B:$B,0)),IFERROR(INDEX(AllVarName!$C:$C,MATCH(AllVar!CR1,AllVarName!$B:$B,0)),"No match"))</f>
        <v>Payment status</v>
      </c>
      <c r="CT2" s="1" t="str">
        <f>IF(COUNTIFS(AllVarName!$B:$B,AllVar!CS1)&gt;1,INDEX(MultipleLkup!$D:$D,MATCH(AllVar!CS1,MultipleLkup!$B:$B,0)),IFERROR(INDEX(AllVarName!$C:$C,MATCH(AllVar!CS1,AllVarName!$B:$B,0)),"No match"))</f>
        <v>Latest levy status</v>
      </c>
      <c r="CU2" s="1" t="str">
        <f>IF(COUNTIFS(AllVarName!$B:$B,AllVar!CT1)&gt;1,INDEX(MultipleLkup!$D:$D,MATCH(AllVar!CT1,MultipleLkup!$B:$B,0)),IFERROR(INDEX(AllVarName!$C:$C,MATCH(AllVar!CT1,AllVarName!$B:$B,0)),"No match"))</f>
        <v>Transfer flag</v>
      </c>
      <c r="CV2" s="1" t="str">
        <f>IF(COUNTIFS(AllVarName!$B:$B,AllVar!CU1)&gt;1,INDEX(MultipleLkup!$D:$D,MATCH(AllVar!CU1,MultipleLkup!$B:$B,0)),IFERROR(INDEX(AllVarName!$C:$C,MATCH(AllVar!CU1,AllVarName!$B:$B,0)),"No match"))</f>
        <v>Commitments</v>
      </c>
      <c r="CW2" s="1" t="str">
        <f>IF(COUNTIFS(AllVarName!$B:$B,AllVar!CV1)&gt;1,INDEX(MultipleLkup!$D:$D,MATCH(AllVar!CV1,MultipleLkup!$B:$B,0)),IFERROR(INDEX(AllVarName!$C:$C,MATCH(AllVar!CV1,AllVarName!$B:$B,0)),"No match"))</f>
        <v>Starts (used in duration calculations)</v>
      </c>
      <c r="CX2" s="1" t="str">
        <f>IF(COUNTIFS(AllVarName!$B:$B,AllVar!CW1)&gt;1,INDEX(MultipleLkup!$D:$D,MATCH(AllVar!CW1,MultipleLkup!$B:$B,0)),IFERROR(INDEX(AllVarName!$C:$C,MATCH(AllVar!CW1,AllVarName!$B:$B,0)),"No match"))</f>
        <v>Average expected duration (days)</v>
      </c>
      <c r="CY2" s="1" t="str">
        <f>IF(COUNTIFS(AllVarName!$B:$B,AllVar!CX1)&gt;1,INDEX(MultipleLkup!$D:$D,MATCH(AllVar!CX1,MultipleLkup!$B:$B,0)),IFERROR(INDEX(AllVarName!$C:$C,MATCH(AllVar!CX1,AllVarName!$B:$B,0)),"No match"))</f>
        <v>Length of Employment</v>
      </c>
      <c r="CZ2" s="1" t="str">
        <f>IF(COUNTIFS(AllVarName!$B:$B,AllVar!CY1)&gt;1,INDEX(MultipleLkup!$D:$D,MATCH(AllVar!CY1,MultipleLkup!$B:$B,0)),IFERROR(INDEX(AllVarName!$C:$C,MATCH(AllVar!CY1,AllVarName!$B:$B,0)),"No match"))</f>
        <v>Planned Length of Stay</v>
      </c>
      <c r="DA2" s="1" t="str">
        <f>IF(COUNTIFS(AllVarName!$B:$B,AllVar!CZ1)&gt;1,INDEX(MultipleLkup!$D:$D,MATCH(AllVar!CZ1,MultipleLkup!$B:$B,0)),IFERROR(INDEX(AllVarName!$C:$C,MATCH(AllVar!CZ1,AllVarName!$B:$B,0)),"No match"))</f>
        <v>Starts</v>
      </c>
      <c r="DB2" s="1" t="str">
        <f>IF(COUNTIFS(AllVarName!$B:$B,AllVar!DA1)&gt;1,INDEX(MultipleLkup!$D:$D,MATCH(AllVar!DA1,MultipleLkup!$B:$B,0)),IFERROR(INDEX(AllVarName!$C:$C,MATCH(AllVar!DA1,AllVarName!$B:$B,0)),"No match"))</f>
        <v>Percentage starts</v>
      </c>
      <c r="DC2" s="1" t="str">
        <f>IF(COUNTIFS(AllVarName!$B:$B,AllVar!DB1)&gt;1,INDEX(MultipleLkup!$D:$D,MATCH(AllVar!DB1,MultipleLkup!$B:$B,0)),IFERROR(INDEX(AllVarName!$C:$C,MATCH(AllVar!DB1,AllVarName!$B:$B,0)),"No match"))</f>
        <v>Start rate per 10000 population</v>
      </c>
      <c r="DD2" s="1" t="str">
        <f>IF(COUNTIFS(AllVarName!$B:$B,AllVar!DC1)&gt;1,INDEX(MultipleLkup!$D:$D,MATCH(AllVar!DC1,MultipleLkup!$B:$B,0)),IFERROR(INDEX(AllVarName!$C:$C,MATCH(AllVar!DC1,AllVarName!$B:$B,0)),"No match"))</f>
        <v>Starts  Percentage by Age Level and Funding Type</v>
      </c>
      <c r="DE2" s="1" t="str">
        <f>IF(COUNTIFS(AllVarName!$B:$B,AllVar!DD1)&gt;1,INDEX(MultipleLkup!$D:$D,MATCH(AllVar!DD1,MultipleLkup!$B:$B,0)),IFERROR(INDEX(AllVarName!$C:$C,MATCH(AllVar!DD1,AllVarName!$B:$B,0)),"No match"))</f>
        <v>Start Percentage with provider type</v>
      </c>
      <c r="DF2" s="1" t="str">
        <f>IF(COUNTIFS(AllVarName!$B:$B,AllVar!DE1)&gt;1,INDEX(MultipleLkup!$D:$D,MATCH(AllVar!DE1,MultipleLkup!$B:$B,0)),IFERROR(INDEX(AllVarName!$C:$C,MATCH(AllVar!DE1,AllVarName!$B:$B,0)),"No match"))</f>
        <v>Traineeship starts</v>
      </c>
      <c r="DG2" s="1" t="str">
        <f>IF(COUNTIFS(AllVarName!$B:$B,AllVar!DF1)&gt;1,INDEX(MultipleLkup!$D:$D,MATCH(AllVar!DF1,MultipleLkup!$B:$B,0)),IFERROR(INDEX(AllVarName!$C:$C,MATCH(AllVar!DF1,AllVarName!$B:$B,0)),"No match"))</f>
        <v>Achievement</v>
      </c>
      <c r="DH2" s="1" t="str">
        <f>IF(COUNTIFS(AllVarName!$B:$B,AllVar!DG1)&gt;1,INDEX(MultipleLkup!$D:$D,MATCH(AllVar!DG1,MultipleLkup!$B:$B,0)),IFERROR(INDEX(AllVarName!$C:$C,MATCH(AllVar!DG1,AllVarName!$B:$B,0)),"No match"))</f>
        <v>Aim Achievements (Aug to Jul) Percentage</v>
      </c>
      <c r="DI2" s="1" t="str">
        <f>IF(COUNTIFS(AllVarName!$B:$B,AllVar!DH1)&gt;1,INDEX(MultipleLkup!$D:$D,MATCH(AllVar!DH1,MultipleLkup!$B:$B,0)),IFERROR(INDEX(AllVarName!$C:$C,MATCH(AllVar!DH1,AllVarName!$B:$B,0)),"No match"))</f>
        <v>Indicative achievements rate per 100,000 population</v>
      </c>
      <c r="DJ2" s="1" t="str">
        <f>IF(COUNTIFS(AllVarName!$B:$B,AllVar!DI1)&gt;1,INDEX(MultipleLkup!$D:$D,MATCH(AllVar!DI1,MultipleLkup!$B:$B,0)),IFERROR(INDEX(AllVarName!$C:$C,MATCH(AllVar!DI1,AllVarName!$B:$B,0)),"No match"))</f>
        <v>Percentage achievements</v>
      </c>
      <c r="DK2" s="1" t="str">
        <f>IF(COUNTIFS(AllVarName!$B:$B,AllVar!DJ1)&gt;1,INDEX(MultipleLkup!$D:$D,MATCH(AllVar!DJ1,MultipleLkup!$B:$B,0)),IFERROR(INDEX(AllVarName!$C:$C,MATCH(AllVar!DJ1,AllVarName!$B:$B,0)),"No match"))</f>
        <v>Achievement Percentage</v>
      </c>
      <c r="DL2" s="1" t="str">
        <f>IF(COUNTIFS(AllVarName!$B:$B,AllVar!DK1)&gt;1,INDEX(MultipleLkup!$D:$D,MATCH(AllVar!DK1,MultipleLkup!$B:$B,0)),IFERROR(INDEX(AllVarName!$C:$C,MATCH(AllVar!DK1,AllVarName!$B:$B,0)),"No match"))</f>
        <v>Achievements Percentage by Provider type and Level</v>
      </c>
      <c r="DM2" s="1" t="str">
        <f>IF(COUNTIFS(AllVarName!$B:$B,AllVar!DL1)&gt;1,INDEX(MultipleLkup!$D:$D,MATCH(AllVar!DL1,MultipleLkup!$B:$B,0)),IFERROR(INDEX(AllVarName!$C:$C,MATCH(AllVar!DL1,AllVarName!$B:$B,0)),"No match"))</f>
        <v>Achievements Percentage Change</v>
      </c>
      <c r="DN2" s="1" t="str">
        <f>IF(COUNTIFS(AllVarName!$B:$B,AllVar!DM1)&gt;1,INDEX(MultipleLkup!$D:$D,MATCH(AllVar!DM1,MultipleLkup!$B:$B,0)),IFERROR(INDEX(AllVarName!$C:$C,MATCH(AllVar!DM1,AllVarName!$B:$B,0)),"No match"))</f>
        <v>Total aim achievements</v>
      </c>
      <c r="DO2" s="1" t="str">
        <f>IF(COUNTIFS(AllVarName!$B:$B,AllVar!DN1)&gt;1,INDEX(MultipleLkup!$D:$D,MATCH(AllVar!DN1,MultipleLkup!$B:$B,0)),IFERROR(INDEX(AllVarName!$C:$C,MATCH(AllVar!DN1,AllVarName!$B:$B,0)),"No match"))</f>
        <v>Apprenticeships Achievements</v>
      </c>
      <c r="DP2" s="1" t="str">
        <f>IF(COUNTIFS(AllVarName!$B:$B,AllVar!DO1)&gt;1,INDEX(MultipleLkup!$D:$D,MATCH(AllVar!DO1,MultipleLkup!$B:$B,0)),IFERROR(INDEX(AllVarName!$C:$C,MATCH(AllVar!DO1,AllVarName!$B:$B,0)),"No match"))</f>
        <v>Education and Training Achievements</v>
      </c>
      <c r="DQ2" s="1" t="str">
        <f>IF(COUNTIFS(AllVarName!$B:$B,AllVar!DP1)&gt;1,INDEX(MultipleLkup!$D:$D,MATCH(AllVar!DP1,MultipleLkup!$B:$B,0)),IFERROR(INDEX(AllVarName!$C:$C,MATCH(AllVar!DP1,AllVarName!$B:$B,0)),"No match"))</f>
        <v>Participation</v>
      </c>
      <c r="DR2" s="1" t="str">
        <f>IF(COUNTIFS(AllVarName!$B:$B,AllVar!DQ1)&gt;1,INDEX(MultipleLkup!$D:$D,MATCH(AllVar!DQ1,MultipleLkup!$B:$B,0)),IFERROR(INDEX(AllVarName!$C:$C,MATCH(AllVar!DQ1,AllVarName!$B:$B,0)),"No match"))</f>
        <v>Participation type</v>
      </c>
      <c r="DS2" s="1" t="str">
        <f>IF(COUNTIFS(AllVarName!$B:$B,AllVar!DR1)&gt;1,INDEX(MultipleLkup!$D:$D,MATCH(AllVar!DR1,MultipleLkup!$B:$B,0)),IFERROR(INDEX(AllVarName!$C:$C,MATCH(AllVar!DR1,AllVarName!$B:$B,0)),"No match"))</f>
        <v>Number in education and training</v>
      </c>
      <c r="DT2" s="1" t="str">
        <f>IF(COUNTIFS(AllVarName!$B:$B,AllVar!DS1)&gt;1,INDEX(MultipleLkup!$D:$D,MATCH(AllVar!DS1,MultipleLkup!$B:$B,0)),IFERROR(INDEX(AllVarName!$C:$C,MATCH(AllVar!DS1,AllVarName!$B:$B,0)),"No match"))</f>
        <v>Percentage in education and training</v>
      </c>
      <c r="DU2" s="1" t="str">
        <f>IF(COUNTIFS(AllVarName!$B:$B,AllVar!DT1)&gt;1,INDEX(MultipleLkup!$D:$D,MATCH(AllVar!DT1,MultipleLkup!$B:$B,0)),IFERROR(INDEX(AllVarName!$C:$C,MATCH(AllVar!DT1,AllVarName!$B:$B,0)),"No match"))</f>
        <v>Number in education, training and employment</v>
      </c>
      <c r="DV2" s="1" t="str">
        <f>IF(COUNTIFS(AllVarName!$B:$B,AllVar!DU1)&gt;1,INDEX(MultipleLkup!$D:$D,MATCH(AllVar!DU1,MultipleLkup!$B:$B,0)),IFERROR(INDEX(AllVarName!$C:$C,MATCH(AllVar!DU1,AllVarName!$B:$B,0)),"No match"))</f>
        <v>Percentage in education, training and employment</v>
      </c>
      <c r="DW2" s="1" t="str">
        <f>IF(COUNTIFS(AllVarName!$B:$B,AllVar!DV1)&gt;1,INDEX(MultipleLkup!$D:$D,MATCH(AllVar!DV1,MultipleLkup!$B:$B,0)),IFERROR(INDEX(AllVarName!$C:$C,MATCH(AllVar!DV1,AllVarName!$B:$B,0)),"No match"))</f>
        <v>Participation rate per 10000 population</v>
      </c>
      <c r="DX2" s="1" t="str">
        <f>IF(COUNTIFS(AllVarName!$B:$B,AllVar!DW1)&gt;1,INDEX(MultipleLkup!$D:$D,MATCH(AllVar!DW1,MultipleLkup!$B:$B,0)),IFERROR(INDEX(AllVarName!$C:$C,MATCH(AllVar!DW1,AllVarName!$B:$B,0)),"No match"))</f>
        <v>All Participation</v>
      </c>
      <c r="DY2" s="1" t="str">
        <f>IF(COUNTIFS(AllVarName!$B:$B,AllVar!DX1)&gt;1,INDEX(MultipleLkup!$D:$D,MATCH(AllVar!DX1,MultipleLkup!$B:$B,0)),IFERROR(INDEX(AllVarName!$C:$C,MATCH(AllVar!DX1,AllVarName!$B:$B,0)),"No match"))</f>
        <v>Apprenticeships Participation</v>
      </c>
      <c r="DZ2" s="1" t="str">
        <f>IF(COUNTIFS(AllVarName!$B:$B,AllVar!DY1)&gt;1,INDEX(MultipleLkup!$D:$D,MATCH(AllVar!DY1,MultipleLkup!$B:$B,0)),IFERROR(INDEX(AllVarName!$C:$C,MATCH(AllVar!DY1,AllVarName!$B:$B,0)),"No match"))</f>
        <v>Education and Training Participation</v>
      </c>
      <c r="EA2" s="1" t="str">
        <f>IF(COUNTIFS(AllVarName!$B:$B,AllVar!DZ1)&gt;1,INDEX(MultipleLkup!$D:$D,MATCH(AllVar!DZ1,MultipleLkup!$B:$B,0)),IFERROR(INDEX(AllVarName!$C:$C,MATCH(AllVar!DZ1,AllVarName!$B:$B,0)),"No match"))</f>
        <v>All Participation Percentage Change</v>
      </c>
      <c r="EB2" s="1" t="str">
        <f>IF(COUNTIFS(AllVarName!$B:$B,AllVar!EA1)&gt;1,INDEX(MultipleLkup!$D:$D,MATCH(AllVar!EA1,MultipleLkup!$B:$B,0)),IFERROR(INDEX(AllVarName!$C:$C,MATCH(AllVar!EA1,AllVarName!$B:$B,0)),"No match"))</f>
        <v>annual participation percentage change</v>
      </c>
      <c r="EC2" s="1" t="str">
        <f>IF(COUNTIFS(AllVarName!$B:$B,AllVar!EB1)&gt;1,INDEX(MultipleLkup!$D:$D,MATCH(AllVar!EB1,MultipleLkup!$B:$B,0)),IFERROR(INDEX(AllVarName!$C:$C,MATCH(AllVar!EB1,AllVarName!$B:$B,0)),"No match"))</f>
        <v>participation percentage change</v>
      </c>
      <c r="ED2" s="1" t="str">
        <f>IF(COUNTIFS(AllVarName!$B:$B,AllVar!EC1)&gt;1,INDEX(MultipleLkup!$D:$D,MATCH(AllVar!EC1,MultipleLkup!$B:$B,0)),IFERROR(INDEX(AllVarName!$C:$C,MATCH(AllVar!EC1,AllVarName!$B:$B,0)),"No match"))</f>
        <v>Annual change in percent participating</v>
      </c>
      <c r="EE2" s="1" t="str">
        <f>IF(COUNTIFS(AllVarName!$B:$B,AllVar!ED1)&gt;1,INDEX(MultipleLkup!$D:$D,MATCH(AllVar!ED1,MultipleLkup!$B:$B,0)),IFERROR(INDEX(AllVarName!$C:$C,MATCH(AllVar!ED1,AllVarName!$B:$B,0)),"No match"))</f>
        <v>Total aim Enrolments</v>
      </c>
      <c r="EF2" s="1" t="str">
        <f>IF(COUNTIFS(AllVarName!$B:$B,AllVar!EE1)&gt;1,INDEX(MultipleLkup!$D:$D,MATCH(AllVar!EE1,MultipleLkup!$B:$B,0)),IFERROR(INDEX(AllVarName!$C:$C,MATCH(AllVar!EE1,AllVarName!$B:$B,0)),"No match"))</f>
        <v>Aim Enrolments (Aug to Jul) Percentage</v>
      </c>
      <c r="EG2" s="1" t="str">
        <f>IF(COUNTIFS(AllVarName!$B:$B,AllVar!EF1)&gt;1,INDEX(MultipleLkup!$D:$D,MATCH(AllVar!EF1,MultipleLkup!$B:$B,0)),IFERROR(INDEX(AllVarName!$C:$C,MATCH(AllVar!EF1,AllVarName!$B:$B,0)),"No match"))</f>
        <v>Aim enrolment</v>
      </c>
      <c r="EH2" s="1" t="str">
        <f>IF(COUNTIFS(AllVarName!$B:$B,AllVar!EG1)&gt;1,INDEX(MultipleLkup!$D:$D,MATCH(AllVar!EG1,MultipleLkup!$B:$B,0)),IFERROR(INDEX(AllVarName!$C:$C,MATCH(AllVar!EG1,AllVarName!$B:$B,0)),"No match"))</f>
        <v>Apprenticeship level</v>
      </c>
      <c r="EI2" s="1" t="str">
        <f>IF(COUNTIFS(AllVarName!$B:$B,AllVar!EH1)&gt;1,INDEX(MultipleLkup!$D:$D,MATCH(AllVar!EH1,MultipleLkup!$B:$B,0)),IFERROR(INDEX(AllVarName!$C:$C,MATCH(AllVar!EH1,AllVarName!$B:$B,0)),"No match"))</f>
        <v>Detailed apprenticeship level</v>
      </c>
      <c r="EJ2" s="1" t="str">
        <f>IF(COUNTIFS(AllVarName!$B:$B,AllVar!EI1)&gt;1,INDEX(MultipleLkup!$D:$D,MATCH(AllVar!EI1,MultipleLkup!$B:$B,0)),IFERROR(INDEX(AllVarName!$C:$C,MATCH(AllVar!EI1,AllVarName!$B:$B,0)),"No match"))</f>
        <v>All age Apprenticeships</v>
      </c>
      <c r="EK2" s="1" t="str">
        <f>IF(COUNTIFS(AllVarName!$B:$B,AllVar!EJ1)&gt;1,INDEX(MultipleLkup!$D:$D,MATCH(AllVar!EJ1,MultipleLkup!$B:$B,0)),IFERROR(INDEX(AllVarName!$C:$C,MATCH(AllVar!EJ1,AllVarName!$B:$B,0)),"No match"))</f>
        <v>Apprenticeships - Intermediate</v>
      </c>
      <c r="EL2" s="1" t="str">
        <f>IF(COUNTIFS(AllVarName!$B:$B,AllVar!EK1)&gt;1,INDEX(MultipleLkup!$D:$D,MATCH(AllVar!EK1,MultipleLkup!$B:$B,0)),IFERROR(INDEX(AllVarName!$C:$C,MATCH(AllVar!EK1,AllVarName!$B:$B,0)),"No match"))</f>
        <v>Apprenticeships - Advanced</v>
      </c>
      <c r="EM2" s="1" t="str">
        <f>IF(COUNTIFS(AllVarName!$B:$B,AllVar!EL1)&gt;1,INDEX(MultipleLkup!$D:$D,MATCH(AllVar!EL1,MultipleLkup!$B:$B,0)),IFERROR(INDEX(AllVarName!$C:$C,MATCH(AllVar!EL1,AllVarName!$B:$B,0)),"No match"))</f>
        <v>Apprenticeships - Higher</v>
      </c>
      <c r="EN2" s="1" t="str">
        <f>IF(COUNTIFS(AllVarName!$B:$B,AllVar!EM1)&gt;1,INDEX(MultipleLkup!$D:$D,MATCH(AllVar!EM1,MultipleLkup!$B:$B,0)),IFERROR(INDEX(AllVarName!$C:$C,MATCH(AllVar!EM1,AllVarName!$B:$B,0)),"No match"))</f>
        <v>Level 6 plus</v>
      </c>
      <c r="EO2" s="1" t="str">
        <f>IF(COUNTIFS(AllVarName!$B:$B,AllVar!EN1)&gt;1,INDEX(MultipleLkup!$D:$D,MATCH(AllVar!EN1,MultipleLkup!$B:$B,0)),IFERROR(INDEX(AllVarName!$C:$C,MATCH(AllVar!EN1,AllVarName!$B:$B,0)),"No match"))</f>
        <v>Mandatory degree</v>
      </c>
      <c r="EP2" s="1" t="str">
        <f>IF(COUNTIFS(AllVarName!$B:$B,AllVar!EO1)&gt;1,INDEX(MultipleLkup!$D:$D,MATCH(AllVar!EO1,MultipleLkup!$B:$B,0)),IFERROR(INDEX(AllVarName!$C:$C,MATCH(AllVar!EO1,AllVarName!$B:$B,0)),"No match"))</f>
        <v>Intermediate Learners</v>
      </c>
      <c r="EQ2" s="1" t="str">
        <f>IF(COUNTIFS(AllVarName!$B:$B,AllVar!EP1)&gt;1,INDEX(MultipleLkup!$D:$D,MATCH(AllVar!EP1,MultipleLkup!$B:$B,0)),IFERROR(INDEX(AllVarName!$C:$C,MATCH(AllVar!EP1,AllVarName!$B:$B,0)),"No match"))</f>
        <v>Advanced Learners</v>
      </c>
      <c r="ER2" s="1" t="str">
        <f>IF(COUNTIFS(AllVarName!$B:$B,AllVar!EQ1)&gt;1,INDEX(MultipleLkup!$D:$D,MATCH(AllVar!EQ1,MultipleLkup!$B:$B,0)),IFERROR(INDEX(AllVarName!$C:$C,MATCH(AllVar!EQ1,AllVarName!$B:$B,0)),"No match"))</f>
        <v>Total learners</v>
      </c>
      <c r="ES2" s="1" t="str">
        <f>IF(COUNTIFS(AllVarName!$B:$B,AllVar!ER1)&gt;1,INDEX(MultipleLkup!$D:$D,MATCH(AllVar!ER1,MultipleLkup!$B:$B,0)),IFERROR(INDEX(AllVarName!$C:$C,MATCH(AllVar!ER1,AllVarName!$B:$B,0)),"No match"))</f>
        <v>Total participation in further education and skills</v>
      </c>
      <c r="ET2" s="1" t="str">
        <f>IF(COUNTIFS(AllVarName!$B:$B,AllVar!ES1)&gt;1,INDEX(MultipleLkup!$D:$D,MATCH(AllVar!ES1,MultipleLkup!$B:$B,0)),IFERROR(INDEX(AllVarName!$C:$C,MATCH(AllVar!ES1,AllVarName!$B:$B,0)),"No match"))</f>
        <v xml:space="preserve">Total participation in education and training </v>
      </c>
      <c r="EU2" s="1" t="str">
        <f>IF(COUNTIFS(AllVarName!$B:$B,AllVar!ET1)&gt;1,INDEX(MultipleLkup!$D:$D,MATCH(AllVar!ET1,MultipleLkup!$B:$B,0)),IFERROR(INDEX(AllVarName!$C:$C,MATCH(AllVar!ET1,AllVarName!$B:$B,0)),"No match"))</f>
        <v>Learn Percent</v>
      </c>
      <c r="EV2" s="1" t="str">
        <f>IF(COUNTIFS(AllVarName!$B:$B,AllVar!EU1)&gt;1,INDEX(MultipleLkup!$D:$D,MATCH(AllVar!EU1,MultipleLkup!$B:$B,0)),IFERROR(INDEX(AllVarName!$C:$C,MATCH(AllVar!EU1,AllVarName!$B:$B,0)),"No match"))</f>
        <v>Sustained learning only rate</v>
      </c>
      <c r="EW2" s="1" t="str">
        <f>IF(COUNTIFS(AllVarName!$B:$B,AllVar!EV1)&gt;1,INDEX(MultipleLkup!$D:$D,MATCH(AllVar!EV1,MultipleLkup!$B:$B,0)),IFERROR(INDEX(AllVarName!$C:$C,MATCH(AllVar!EV1,AllVarName!$B:$B,0)),"No match"))</f>
        <v>Number of years after achievement of learning aim</v>
      </c>
      <c r="EX2" s="1" t="str">
        <f>IF(COUNTIFS(AllVarName!$B:$B,AllVar!EW1)&gt;1,INDEX(MultipleLkup!$D:$D,MATCH(AllVar!EW1,MultipleLkup!$B:$B,0)),IFERROR(INDEX(AllVarName!$C:$C,MATCH(AllVar!EW1,AllVarName!$B:$B,0)),"No match"))</f>
        <v>Number of learners matched to longitudinal education outcomes data</v>
      </c>
      <c r="EY2" s="1" t="str">
        <f>IF(COUNTIFS(AllVarName!$B:$B,AllVar!EX1)&gt;1,INDEX(MultipleLkup!$D:$D,MATCH(AllVar!EX1,MultipleLkup!$B:$B,0)),IFERROR(INDEX(AllVarName!$C:$C,MATCH(AllVar!EX1,AllVarName!$B:$B,0)),"No match"))</f>
        <v>First Time At Level</v>
      </c>
      <c r="EZ2" s="1" t="str">
        <f>IF(COUNTIFS(AllVarName!$B:$B,AllVar!EY1)&gt;1,INDEX(MultipleLkup!$D:$D,MATCH(AllVar!EY1,MultipleLkup!$B:$B,0)),IFERROR(INDEX(AllVarName!$C:$C,MATCH(AllVar!EY1,AllVarName!$B:$B,0)),"No match"))</f>
        <v>Percent of matched learners achieving at this level for the first time</v>
      </c>
      <c r="FA2" s="1" t="str">
        <f>IF(COUNTIFS(AllVarName!$B:$B,AllVar!EZ1)&gt;1,INDEX(MultipleLkup!$D:$D,MATCH(AllVar!EZ1,MultipleLkup!$B:$B,0)),IFERROR(INDEX(AllVarName!$C:$C,MATCH(AllVar!EZ1,AllVarName!$B:$B,0)),"No match"))</f>
        <v>Further education &amp; skills Percentage</v>
      </c>
      <c r="FB2" s="1" t="str">
        <f>IF(COUNTIFS(AllVarName!$B:$B,AllVar!FA1)&gt;1,INDEX(MultipleLkup!$D:$D,MATCH(AllVar!FA1,MultipleLkup!$B:$B,0)),IFERROR(INDEX(AllVarName!$C:$C,MATCH(AllVar!FA1,AllVarName!$B:$B,0)),"No match"))</f>
        <v>Adult (19+) further education and skills participation</v>
      </c>
      <c r="FC2" s="1" t="str">
        <f>IF(COUNTIFS(AllVarName!$B:$B,AllVar!FB1)&gt;1,INDEX(MultipleLkup!$D:$D,MATCH(AllVar!FB1,MultipleLkup!$B:$B,0)),IFERROR(INDEX(AllVarName!$C:$C,MATCH(AllVar!FB1,AllVarName!$B:$B,0)),"No match"))</f>
        <v>Adult (19+) education and training participation</v>
      </c>
      <c r="FD2" s="1" t="str">
        <f>IF(COUNTIFS(AllVarName!$B:$B,AllVar!FC1)&gt;1,INDEX(MultipleLkup!$D:$D,MATCH(AllVar!FC1,MultipleLkup!$B:$B,0)),IFERROR(INDEX(AllVarName!$C:$C,MATCH(AllVar!FC1,AllVarName!$B:$B,0)),"No match"))</f>
        <v>Community learning participation</v>
      </c>
      <c r="FE2" s="1" t="str">
        <f>IF(COUNTIFS(AllVarName!$B:$B,AllVar!FD1)&gt;1,INDEX(MultipleLkup!$D:$D,MATCH(AllVar!FD1,MultipleLkup!$B:$B,0)),IFERROR(INDEX(AllVarName!$C:$C,MATCH(AllVar!FD1,AllVarName!$B:$B,0)),"No match"))</f>
        <v>Education &amp; training Percentage</v>
      </c>
      <c r="FF2" s="1" t="str">
        <f>IF(COUNTIFS(AllVarName!$B:$B,AllVar!FE1)&gt;1,INDEX(MultipleLkup!$D:$D,MATCH(AllVar!FE1,MultipleLkup!$B:$B,0)),IFERROR(INDEX(AllVarName!$C:$C,MATCH(AllVar!FE1,AllVarName!$B:$B,0)),"No match"))</f>
        <v>High learners</v>
      </c>
      <c r="FG2" s="1" t="str">
        <f>IF(COUNTIFS(AllVarName!$B:$B,AllVar!FF1)&gt;1,INDEX(MultipleLkup!$D:$D,MATCH(AllVar!FF1,MultipleLkup!$B:$B,0)),IFERROR(INDEX(AllVarName!$C:$C,MATCH(AllVar!FF1,AllVarName!$B:$B,0)),"No match"))</f>
        <v>Provider type</v>
      </c>
      <c r="FH2" s="1" t="str">
        <f>IF(COUNTIFS(AllVarName!$B:$B,AllVar!FG1)&gt;1,INDEX(MultipleLkup!$D:$D,MATCH(AllVar!FG1,MultipleLkup!$B:$B,0)),IFERROR(INDEX(AllVarName!$C:$C,MATCH(AllVar!FG1,AllVarName!$B:$B,0)),"No match"))</f>
        <v>Provider name</v>
      </c>
      <c r="FI2" s="1" t="str">
        <f>IF(COUNTIFS(AllVarName!$B:$B,AllVar!FH1)&gt;1,INDEX(MultipleLkup!$D:$D,MATCH(AllVar!FH1,MultipleLkup!$B:$B,0)),IFERROR(INDEX(AllVarName!$C:$C,MATCH(AllVar!FH1,AllVarName!$B:$B,0)),"No match"))</f>
        <v>Provider UK Provider Reference Number</v>
      </c>
      <c r="FJ2" s="1" t="str">
        <f>IF(COUNTIFS(AllVarName!$B:$B,AllVar!FI1)&gt;1,INDEX(MultipleLkup!$D:$D,MATCH(AllVar!FI1,MultipleLkup!$B:$B,0)),IFERROR(INDEX(AllVarName!$C:$C,MATCH(AllVar!FI1,AllVarName!$B:$B,0)),"No match"))</f>
        <v>Provision type</v>
      </c>
      <c r="FK2" s="1" t="str">
        <f>IF(COUNTIFS(AllVarName!$B:$B,AllVar!FJ1)&gt;1,INDEX(MultipleLkup!$D:$D,MATCH(AllVar!FJ1,MultipleLkup!$B:$B,0)),IFERROR(INDEX(AllVarName!$C:$C,MATCH(AllVar!FJ1,AllVarName!$B:$B,0)),"No match"))</f>
        <v>Funding Type</v>
      </c>
      <c r="FL2" s="1" t="str">
        <f>IF(COUNTIFS(AllVarName!$B:$B,AllVar!FK1)&gt;1,INDEX(MultipleLkup!$D:$D,MATCH(AllVar!FK1,MultipleLkup!$B:$B,0)),IFERROR(INDEX(AllVarName!$C:$C,MATCH(AllVar!FK1,AllVarName!$B:$B,0)),"No match"))</f>
        <v>Sub-sector</v>
      </c>
      <c r="FM2" s="1" t="str">
        <f>IF(COUNTIFS(AllVarName!$B:$B,AllVar!FL1)&gt;1,INDEX(MultipleLkup!$D:$D,MATCH(AllVar!FL1,MultipleLkup!$B:$B,0)),IFERROR(INDEX(AllVarName!$C:$C,MATCH(AllVar!FL1,AllVarName!$B:$B,0)),"No match"))</f>
        <v>Number of employers included in period</v>
      </c>
      <c r="FN2" s="1" t="str">
        <f>IF(COUNTIFS(AllVarName!$B:$B,AllVar!FM1)&gt;1,INDEX(MultipleLkup!$D:$D,MATCH(AllVar!FM1,MultipleLkup!$B:$B,0)),IFERROR(INDEX(AllVarName!$C:$C,MATCH(AllVar!FM1,AllVarName!$B:$B,0)),"No match"))</f>
        <v>Percentage of employees starting apprenticeships in period</v>
      </c>
      <c r="FO2" s="1" t="str">
        <f>IF(COUNTIFS(AllVarName!$B:$B,AllVar!FN1)&gt;1,INDEX(MultipleLkup!$D:$D,MATCH(AllVar!FN1,MultipleLkup!$B:$B,0)),IFERROR(INDEX(AllVarName!$C:$C,MATCH(AllVar!FN1,AllVarName!$B:$B,0)),"No match"))</f>
        <v>Employment Percentage</v>
      </c>
      <c r="FP2" s="1" t="str">
        <f>IF(COUNTIFS(AllVarName!$B:$B,AllVar!FO1)&gt;1,INDEX(MultipleLkup!$D:$D,MATCH(AllVar!FO1,MultipleLkup!$B:$B,0)),IFERROR(INDEX(AllVarName!$C:$C,MATCH(AllVar!FO1,AllVarName!$B:$B,0)),"No match"))</f>
        <v>Self-employed rate</v>
      </c>
      <c r="FQ2" s="1" t="str">
        <f>IF(COUNTIFS(AllVarName!$B:$B,AllVar!FP1)&gt;1,INDEX(MultipleLkup!$D:$D,MATCH(AllVar!FP1,MultipleLkup!$B:$B,0)),IFERROR(INDEX(AllVarName!$C:$C,MATCH(AllVar!FP1,AllVarName!$B:$B,0)),"No match"))</f>
        <v>Sustained employment only rate</v>
      </c>
      <c r="FR2" s="1" t="str">
        <f>IF(COUNTIFS(AllVarName!$B:$B,AllVar!FQ1)&gt;1,INDEX(MultipleLkup!$D:$D,MATCH(AllVar!FQ1,MultipleLkup!$B:$B,0)),IFERROR(INDEX(AllVarName!$C:$C,MATCH(AllVar!FQ1,AllVarName!$B:$B,0)),"No match"))</f>
        <v>Sustained employment and learning</v>
      </c>
      <c r="FS2" s="1" t="str">
        <f>IF(COUNTIFS(AllVarName!$B:$B,AllVar!FR1)&gt;1,INDEX(MultipleLkup!$D:$D,MATCH(AllVar!FR1,MultipleLkup!$B:$B,0)),IFERROR(INDEX(AllVarName!$C:$C,MATCH(AllVar!FR1,AllVarName!$B:$B,0)),"No match"))</f>
        <v>Headcount prior to period (thousands)</v>
      </c>
      <c r="FT2" s="1" t="str">
        <f>IF(COUNTIFS(AllVarName!$B:$B,AllVar!FS1)&gt;1,INDEX(MultipleLkup!$D:$D,MATCH(AllVar!FS1,MultipleLkup!$B:$B,0)),IFERROR(INDEX(AllVarName!$C:$C,MATCH(AllVar!FS1,AllVarName!$B:$B,0)),"No match"))</f>
        <v>Apprentices prior to period (thousands)</v>
      </c>
      <c r="FU2" s="1" t="str">
        <f>IF(COUNTIFS(AllVarName!$B:$B,AllVar!FT1)&gt;1,INDEX(MultipleLkup!$D:$D,MATCH(AllVar!FT1,MultipleLkup!$B:$B,0)),IFERROR(INDEX(AllVarName!$C:$C,MATCH(AllVar!FT1,AllVarName!$B:$B,0)),"No match"))</f>
        <v>Apprentices % prior to period</v>
      </c>
      <c r="FV2" s="1" t="str">
        <f>IF(COUNTIFS(AllVarName!$B:$B,AllVar!FU1)&gt;1,INDEX(MultipleLkup!$D:$D,MATCH(AllVar!FU1,MultipleLkup!$B:$B,0)),IFERROR(INDEX(AllVarName!$C:$C,MATCH(AllVar!FU1,AllVarName!$B:$B,0)),"No match"))</f>
        <v>New employees in period (thousands)</v>
      </c>
      <c r="FW2" s="1" t="str">
        <f>IF(COUNTIFS(AllVarName!$B:$B,AllVar!FV1)&gt;1,INDEX(MultipleLkup!$D:$D,MATCH(AllVar!FV1,MultipleLkup!$B:$B,0)),IFERROR(INDEX(AllVarName!$C:$C,MATCH(AllVar!FV1,AllVarName!$B:$B,0)),"No match"))</f>
        <v>New apprentices in period (thousands)</v>
      </c>
      <c r="FX2" s="1" t="str">
        <f>IF(COUNTIFS(AllVarName!$B:$B,AllVar!FW1)&gt;1,INDEX(MultipleLkup!$D:$D,MATCH(AllVar!FW1,MultipleLkup!$B:$B,0)),IFERROR(INDEX(AllVarName!$C:$C,MATCH(AllVar!FW1,AllVarName!$B:$B,0)),"No match"))</f>
        <v>Apprenticeship training starts as % of new employees in period</v>
      </c>
      <c r="FY2" s="1" t="str">
        <f>IF(COUNTIFS(AllVarName!$B:$B,AllVar!FX1)&gt;1,INDEX(MultipleLkup!$D:$D,MATCH(AllVar!FX1,MultipleLkup!$B:$B,0)),IFERROR(INDEX(AllVarName!$C:$C,MATCH(AllVar!FX1,AllVarName!$B:$B,0)),"No match"))</f>
        <v>Headcount at end of period (thousands)</v>
      </c>
      <c r="FZ2" s="1" t="str">
        <f>IF(COUNTIFS(AllVarName!$B:$B,AllVar!FY1)&gt;1,INDEX(MultipleLkup!$D:$D,MATCH(AllVar!FY1,MultipleLkup!$B:$B,0)),IFERROR(INDEX(AllVarName!$C:$C,MATCH(AllVar!FY1,AllVarName!$B:$B,0)),"No match"))</f>
        <v>Apprentices at end of period (thousands)</v>
      </c>
      <c r="GA2" s="1" t="str">
        <f>IF(COUNTIFS(AllVarName!$B:$B,AllVar!FZ1)&gt;1,INDEX(MultipleLkup!$D:$D,MATCH(AllVar!FZ1,MultipleLkup!$B:$B,0)),IFERROR(INDEX(AllVarName!$C:$C,MATCH(AllVar!FZ1,AllVarName!$B:$B,0)),"No match"))</f>
        <v>Apprentices % at end of period</v>
      </c>
      <c r="GB2" s="1" t="str">
        <f>IF(COUNTIFS(AllVarName!$B:$B,AllVar!GA1)&gt;1,INDEX(MultipleLkup!$D:$D,MATCH(AllVar!GA1,MultipleLkup!$B:$B,0)),IFERROR(INDEX(AllVarName!$C:$C,MATCH(AllVar!GA1,AllVarName!$B:$B,0)),"No match"))</f>
        <v>Cumulative headcount over 4-year period 2017/18 to 2020/21 (thousands)</v>
      </c>
      <c r="GC2" s="1" t="str">
        <f>IF(COUNTIFS(AllVarName!$B:$B,AllVar!GB1)&gt;1,INDEX(MultipleLkup!$D:$D,MATCH(AllVar!GB1,MultipleLkup!$B:$B,0)),IFERROR(INDEX(AllVarName!$C:$C,MATCH(AllVar!GB1,AllVarName!$B:$B,0)),"No match"))</f>
        <v>Cumulative new apprentices over 4-year period 2017/18 to 2020/21 (thousands)</v>
      </c>
      <c r="GD2" s="1" t="str">
        <f>IF(COUNTIFS(AllVarName!$B:$B,AllVar!GC1)&gt;1,INDEX(MultipleLkup!$D:$D,MATCH(AllVar!GC1,MultipleLkup!$B:$B,0)),IFERROR(INDEX(AllVarName!$C:$C,MATCH(AllVar!GC1,AllVarName!$B:$B,0)),"No match"))</f>
        <v>Average % of employees starting apprenticeship (over 4-year period 2017/18 to 2020/21)</v>
      </c>
      <c r="GE2" s="1" t="str">
        <f>IF(COUNTIFS(AllVarName!$B:$B,AllVar!GD1)&gt;1,INDEX(MultipleLkup!$D:$D,MATCH(AllVar!GD1,MultipleLkup!$B:$B,0)),IFERROR(INDEX(AllVarName!$C:$C,MATCH(AllVar!GD1,AllVarName!$B:$B,0)),"No match"))</f>
        <v>Redundancies</v>
      </c>
      <c r="GF2" s="1" t="str">
        <f>IF(COUNTIFS(AllVarName!$B:$B,AllVar!GE1)&gt;1,INDEX(MultipleLkup!$D:$D,MATCH(AllVar!GE1,MultipleLkup!$B:$B,0)),IFERROR(INDEX(AllVarName!$C:$C,MATCH(AllVar!GE1,AllVarName!$B:$B,0)),"No match"))</f>
        <v>Positive Destinations</v>
      </c>
      <c r="GG2" s="1" t="str">
        <f>IF(COUNTIFS(AllVarName!$B:$B,AllVar!GF1)&gt;1,INDEX(MultipleLkup!$D:$D,MATCH(AllVar!GF1,MultipleLkup!$B:$B,0)),IFERROR(INDEX(AllVarName!$C:$C,MATCH(AllVar!GF1,AllVarName!$B:$B,0)),"No match"))</f>
        <v>Positive Destination Rate</v>
      </c>
      <c r="GH2" s="1" t="str">
        <f>IF(COUNTIFS(AllVarName!$B:$B,AllVar!GG1)&gt;1,INDEX(MultipleLkup!$D:$D,MATCH(AllVar!GG1,MultipleLkup!$B:$B,0)),IFERROR(INDEX(AllVarName!$C:$C,MATCH(AllVar!GG1,AllVarName!$B:$B,0)),"No match"))</f>
        <v>Destination year</v>
      </c>
      <c r="GI2" s="1" t="str">
        <f>IF(COUNTIFS(AllVarName!$B:$B,AllVar!GH1)&gt;1,INDEX(MultipleLkup!$D:$D,MATCH(AllVar!GH1,MultipleLkup!$B:$B,0)),IFERROR(INDEX(AllVarName!$C:$C,MATCH(AllVar!GH1,AllVarName!$B:$B,0)),"No match"))</f>
        <v>Number of matched learners with any learning destination</v>
      </c>
      <c r="GJ2" s="1" t="str">
        <f>IF(COUNTIFS(AllVarName!$B:$B,AllVar!GI1)&gt;1,INDEX(MultipleLkup!$D:$D,MATCH(AllVar!GI1,MultipleLkup!$B:$B,0)),IFERROR(INDEX(AllVarName!$C:$C,MATCH(AllVar!GI1,AllVarName!$B:$B,0)),"No match"))</f>
        <v>Adult FE &amp; skills</v>
      </c>
      <c r="GK2" s="1" t="str">
        <f>IF(COUNTIFS(AllVarName!$B:$B,AllVar!GJ1)&gt;1,INDEX(MultipleLkup!$D:$D,MATCH(AllVar!GJ1,MultipleLkup!$B:$B,0)),IFERROR(INDEX(AllVarName!$C:$C,MATCH(AllVar!GJ1,AllVarName!$B:$B,0)),"No match"))</f>
        <v>Adult Education &amp; training</v>
      </c>
      <c r="GL2" s="1" t="str">
        <f>IF(COUNTIFS(AllVarName!$B:$B,AllVar!GK1)&gt;1,INDEX(MultipleLkup!$D:$D,MATCH(AllVar!GK1,MultipleLkup!$B:$B,0)),IFERROR(INDEX(AllVarName!$C:$C,MATCH(AllVar!GK1,AllVarName!$B:$B,0)),"No match"))</f>
        <v>Adult Apprenticeships</v>
      </c>
      <c r="GM2" s="1" t="str">
        <f>IF(COUNTIFS(AllVarName!$B:$B,AllVar!GL1)&gt;1,INDEX(MultipleLkup!$D:$D,MATCH(AllVar!GL1,MultipleLkup!$B:$B,0)),IFERROR(INDEX(AllVarName!$C:$C,MATCH(AllVar!GL1,AllVarName!$B:$B,0)),"No match"))</f>
        <v>Adult further education and skills - Full Level 2</v>
      </c>
      <c r="GN2" s="1" t="str">
        <f>IF(COUNTIFS(AllVarName!$B:$B,AllVar!GM1)&gt;1,INDEX(MultipleLkup!$D:$D,MATCH(AllVar!GM1,MultipleLkup!$B:$B,0)),IFERROR(INDEX(AllVarName!$C:$C,MATCH(AllVar!GM1,AllVarName!$B:$B,0)),"No match"))</f>
        <v>Adult further education and skills - Full Level3</v>
      </c>
      <c r="GO2" s="1" t="str">
        <f>IF(COUNTIFS(AllVarName!$B:$B,AllVar!GN1)&gt;1,INDEX(MultipleLkup!$D:$D,MATCH(AllVar!GN1,MultipleLkup!$B:$B,0)),IFERROR(INDEX(AllVarName!$C:$C,MATCH(AllVar!GN1,AllVarName!$B:$B,0)),"No match"))</f>
        <v>Adult further education and skills - Level 4+</v>
      </c>
      <c r="GP2" s="1" t="str">
        <f>IF(COUNTIFS(AllVarName!$B:$B,AllVar!GO1)&gt;1,INDEX(MultipleLkup!$D:$D,MATCH(AllVar!GO1,MultipleLkup!$B:$B,0)),IFERROR(INDEX(AllVarName!$C:$C,MATCH(AllVar!GO1,AllVarName!$B:$B,0)),"No match"))</f>
        <v>Community learning</v>
      </c>
      <c r="GQ2" s="1" t="str">
        <f>IF(COUNTIFS(AllVarName!$B:$B,AllVar!GP1)&gt;1,INDEX(MultipleLkup!$D:$D,MATCH(AllVar!GP1,MultipleLkup!$B:$B,0)),IFERROR(INDEX(AllVarName!$C:$C,MATCH(AllVar!GP1,AllVarName!$B:$B,0)),"No match"))</f>
        <v>Qualification</v>
      </c>
      <c r="GR2" s="1" t="str">
        <f>IF(COUNTIFS(AllVarName!$B:$B,AllVar!GQ1)&gt;1,INDEX(MultipleLkup!$D:$D,MATCH(AllVar!GQ1,MultipleLkup!$B:$B,0)),IFERROR(INDEX(AllVarName!$C:$C,MATCH(AllVar!GQ1,AllVarName!$B:$B,0)),"No match"))</f>
        <v>Qualification sublevel</v>
      </c>
      <c r="GS2" s="1" t="str">
        <f>IF(COUNTIFS(AllVarName!$B:$B,AllVar!GR1)&gt;1,INDEX(MultipleLkup!$D:$D,MATCH(AllVar!GR1,MultipleLkup!$B:$B,0)),IFERROR(INDEX(AllVarName!$C:$C,MATCH(AllVar!GR1,AllVarName!$B:$B,0)),"No match"))</f>
        <v>Qualification level</v>
      </c>
      <c r="GT2" s="1" t="str">
        <f>IF(COUNTIFS(AllVarName!$B:$B,AllVar!GS1)&gt;1,INDEX(MultipleLkup!$D:$D,MATCH(AllVar!GS1,MultipleLkup!$B:$B,0)),IFERROR(INDEX(AllVarName!$C:$C,MATCH(AllVar!GS1,AllVarName!$B:$B,0)),"No match"))</f>
        <v>Qualification Type</v>
      </c>
      <c r="GU2" s="1" t="str">
        <f>IF(COUNTIFS(AllVarName!$B:$B,AllVar!GT1)&gt;1,INDEX(MultipleLkup!$D:$D,MATCH(AllVar!GT1,MultipleLkup!$B:$B,0)),IFERROR(INDEX(AllVarName!$C:$C,MATCH(AllVar!GT1,AllVarName!$B:$B,0)),"No match"))</f>
        <v>Qualification title</v>
      </c>
      <c r="GV2" s="1" t="str">
        <f>IF(COUNTIFS(AllVarName!$B:$B,AllVar!GU1)&gt;1,INDEX(MultipleLkup!$D:$D,MATCH(AllVar!GU1,MultipleLkup!$B:$B,0)),IFERROR(INDEX(AllVarName!$C:$C,MATCH(AllVar!GU1,AllVarName!$B:$B,0)),"No match"))</f>
        <v>Equivalent or lower qualification</v>
      </c>
      <c r="GW2" s="1" t="str">
        <f>IF(COUNTIFS(AllVarName!$B:$B,AllVar!GV1)&gt;1,INDEX(MultipleLkup!$D:$D,MATCH(AllVar!GV1,MultipleLkup!$B:$B,0)),IFERROR(INDEX(AllVarName!$C:$C,MATCH(AllVar!GV1,AllVarName!$B:$B,0)),"No match"))</f>
        <v>Learning Aim Title</v>
      </c>
      <c r="GX2" s="1" t="str">
        <f>IF(COUNTIFS(AllVarName!$B:$B,AllVar!GW1)&gt;1,INDEX(MultipleLkup!$D:$D,MATCH(AllVar!GW1,MultipleLkup!$B:$B,0)),IFERROR(INDEX(AllVarName!$C:$C,MATCH(AllVar!GW1,AllVarName!$B:$B,0)),"No match"))</f>
        <v>Qualification aim</v>
      </c>
      <c r="GY2" s="1" t="str">
        <f>IF(COUNTIFS(AllVarName!$B:$B,AllVar!GX1)&gt;1,INDEX(MultipleLkup!$D:$D,MATCH(AllVar!GX1,MultipleLkup!$B:$B,0)),IFERROR(INDEX(AllVarName!$C:$C,MATCH(AllVar!GX1,AllVarName!$B:$B,0)),"No match"))</f>
        <v xml:space="preserve">Grouped level of learning </v>
      </c>
      <c r="GZ2" s="1" t="str">
        <f>IF(COUNTIFS(AllVarName!$B:$B,AllVar!GY1)&gt;1,INDEX(MultipleLkup!$D:$D,MATCH(AllVar!GY1,MultipleLkup!$B:$B,0)),IFERROR(INDEX(AllVarName!$C:$C,MATCH(AllVar!GY1,AllVarName!$B:$B,0)),"No match"))</f>
        <v>Level of learning</v>
      </c>
      <c r="HA2" s="1" t="str">
        <f>IF(COUNTIFS(AllVarName!$B:$B,AllVar!GZ1)&gt;1,INDEX(MultipleLkup!$D:$D,MATCH(AllVar!GZ1,MultipleLkup!$B:$B,0)),IFERROR(INDEX(AllVarName!$C:$C,MATCH(AllVar!GZ1,AllVarName!$B:$B,0)),"No match"))</f>
        <v>Received applications</v>
      </c>
      <c r="HB2" s="1" t="str">
        <f>IF(COUNTIFS(AllVarName!$B:$B,AllVar!HA1)&gt;1,INDEX(MultipleLkup!$D:$D,MATCH(AllVar!HA1,MultipleLkup!$B:$B,0)),IFERROR(INDEX(AllVarName!$C:$C,MATCH(AllVar!HA1,AllVarName!$B:$B,0)),"No match"))</f>
        <v>Approved applications</v>
      </c>
      <c r="HC2" s="1" t="str">
        <f>IF(COUNTIFS(AllVarName!$B:$B,AllVar!HB1)&gt;1,INDEX(MultipleLkup!$D:$D,MATCH(AllVar!HB1,MultipleLkup!$B:$B,0)),IFERROR(INDEX(AllVarName!$C:$C,MATCH(AllVar!HB1,AllVarName!$B:$B,0)),"No match"))</f>
        <v>Total loan amount awarded (£000s)</v>
      </c>
      <c r="HD2" s="1" t="str">
        <f>IF(COUNTIFS(AllVarName!$B:$B,AllVar!HC1)&gt;1,INDEX(MultipleLkup!$D:$D,MATCH(AllVar!HC1,MultipleLkup!$B:$B,0)),IFERROR(INDEX(AllVarName!$C:$C,MATCH(AllVar!HC1,AllVarName!$B:$B,0)),"No match"))</f>
        <v>Total Participation</v>
      </c>
      <c r="HE2" s="1" t="str">
        <f>IF(COUNTIFS(AllVarName!$B:$B,AllVar!HD1)&gt;1,INDEX(MultipleLkup!$D:$D,MATCH(AllVar!HD1,MultipleLkup!$B:$B,0)),IFERROR(INDEX(AllVarName!$C:$C,MATCH(AllVar!HD1,AllVarName!$B:$B,0)),"No match"))</f>
        <v>Participation Below level 2 (excluding basic skills)</v>
      </c>
      <c r="HF2" s="1" t="str">
        <f>IF(COUNTIFS(AllVarName!$B:$B,AllVar!HE1)&gt;1,INDEX(MultipleLkup!$D:$D,MATCH(AllVar!HE1,MultipleLkup!$B:$B,0)),IFERROR(INDEX(AllVarName!$C:$C,MATCH(AllVar!HE1,AllVarName!$B:$B,0)),"No match"))</f>
        <v>Participation Basic skills (Aug to Jul)</v>
      </c>
      <c r="HG2" s="1" t="str">
        <f>IF(COUNTIFS(AllVarName!$B:$B,AllVar!HF1)&gt;1,INDEX(MultipleLkup!$D:$D,MATCH(AllVar!HF1,MultipleLkup!$B:$B,0)),IFERROR(INDEX(AllVarName!$C:$C,MATCH(AllVar!HF1,AllVarName!$B:$B,0)),"No match"))</f>
        <v>Participation Full level 2</v>
      </c>
      <c r="HH2" s="1" t="str">
        <f>IF(COUNTIFS(AllVarName!$B:$B,AllVar!HG1)&gt;1,INDEX(MultipleLkup!$D:$D,MATCH(AllVar!HG1,MultipleLkup!$B:$B,0)),IFERROR(INDEX(AllVarName!$C:$C,MATCH(AllVar!HG1,AllVarName!$B:$B,0)),"No match"))</f>
        <v>Participation Full level 3</v>
      </c>
      <c r="HI2" s="1" t="str">
        <f>IF(COUNTIFS(AllVarName!$B:$B,AllVar!HH1)&gt;1,INDEX(MultipleLkup!$D:$D,MATCH(AllVar!HH1,MultipleLkup!$B:$B,0)),IFERROR(INDEX(AllVarName!$C:$C,MATCH(AllVar!HH1,AllVarName!$B:$B,0)),"No match"))</f>
        <v>Participation Level 2</v>
      </c>
      <c r="HJ2" s="1" t="str">
        <f>IF(COUNTIFS(AllVarName!$B:$B,AllVar!HI1)&gt;1,INDEX(MultipleLkup!$D:$D,MATCH(AllVar!HI1,MultipleLkup!$B:$B,0)),IFERROR(INDEX(AllVarName!$C:$C,MATCH(AllVar!HI1,AllVarName!$B:$B,0)),"No match"))</f>
        <v>Participation Level 3</v>
      </c>
      <c r="HK2" s="1" t="str">
        <f>IF(COUNTIFS(AllVarName!$B:$B,AllVar!HJ1)&gt;1,INDEX(MultipleLkup!$D:$D,MATCH(AllVar!HJ1,MultipleLkup!$B:$B,0)),IFERROR(INDEX(AllVarName!$C:$C,MATCH(AllVar!HJ1,AllVarName!$B:$B,0)),"No match"))</f>
        <v>Participation Level 4+</v>
      </c>
      <c r="HL2" s="1" t="str">
        <f>IF(COUNTIFS(AllVarName!$B:$B,AllVar!HK1)&gt;1,INDEX(MultipleLkup!$D:$D,MATCH(AllVar!HK1,MultipleLkup!$B:$B,0)),IFERROR(INDEX(AllVarName!$C:$C,MATCH(AllVar!HK1,AllVarName!$B:$B,0)),"No match"))</f>
        <v>Participation No Level Assigned (Aug to Jul)</v>
      </c>
      <c r="HM2" s="1" t="str">
        <f>IF(COUNTIFS(AllVarName!$B:$B,AllVar!HL1)&gt;1,INDEX(MultipleLkup!$D:$D,MATCH(AllVar!HL1,MultipleLkup!$B:$B,0)),IFERROR(INDEX(AllVarName!$C:$C,MATCH(AllVar!HL1,AllVarName!$B:$B,0)),"No match"))</f>
        <v>Total Achievements</v>
      </c>
      <c r="HN2" s="1" t="str">
        <f>IF(COUNTIFS(AllVarName!$B:$B,AllVar!HM1)&gt;1,INDEX(MultipleLkup!$D:$D,MATCH(AllVar!HM1,MultipleLkup!$B:$B,0)),IFERROR(INDEX(AllVarName!$C:$C,MATCH(AllVar!HM1,AllVarName!$B:$B,0)),"No match"))</f>
        <v>Achievements Below level 2 (excluding basic skills)</v>
      </c>
      <c r="HO2" s="1" t="str">
        <f>IF(COUNTIFS(AllVarName!$B:$B,AllVar!HN1)&gt;1,INDEX(MultipleLkup!$D:$D,MATCH(AllVar!HN1,MultipleLkup!$B:$B,0)),IFERROR(INDEX(AllVarName!$C:$C,MATCH(AllVar!HN1,AllVarName!$B:$B,0)),"No match"))</f>
        <v>Achievements, basic skills</v>
      </c>
      <c r="HP2" s="1" t="str">
        <f>IF(COUNTIFS(AllVarName!$B:$B,AllVar!HO1)&gt;1,INDEX(MultipleLkup!$D:$D,MATCH(AllVar!HO1,MultipleLkup!$B:$B,0)),IFERROR(INDEX(AllVarName!$C:$C,MATCH(AllVar!HO1,AllVarName!$B:$B,0)),"No match"))</f>
        <v>Achievements Full level 2</v>
      </c>
      <c r="HQ2" s="1" t="str">
        <f>IF(COUNTIFS(AllVarName!$B:$B,AllVar!HP1)&gt;1,INDEX(MultipleLkup!$D:$D,MATCH(AllVar!HP1,MultipleLkup!$B:$B,0)),IFERROR(INDEX(AllVarName!$C:$C,MATCH(AllVar!HP1,AllVarName!$B:$B,0)),"No match"))</f>
        <v>Achievements Full level 3</v>
      </c>
      <c r="HR2" s="1" t="str">
        <f>IF(COUNTIFS(AllVarName!$B:$B,AllVar!HQ1)&gt;1,INDEX(MultipleLkup!$D:$D,MATCH(AllVar!HQ1,MultipleLkup!$B:$B,0)),IFERROR(INDEX(AllVarName!$C:$C,MATCH(AllVar!HQ1,AllVarName!$B:$B,0)),"No match"))</f>
        <v>Achievements Level 2</v>
      </c>
      <c r="HS2" s="1" t="str">
        <f>IF(COUNTIFS(AllVarName!$B:$B,AllVar!HR1)&gt;1,INDEX(MultipleLkup!$D:$D,MATCH(AllVar!HR1,MultipleLkup!$B:$B,0)),IFERROR(INDEX(AllVarName!$C:$C,MATCH(AllVar!HR1,AllVarName!$B:$B,0)),"No match"))</f>
        <v>Achievements Level 3</v>
      </c>
      <c r="HT2" s="1" t="str">
        <f>IF(COUNTIFS(AllVarName!$B:$B,AllVar!HS1)&gt;1,INDEX(MultipleLkup!$D:$D,MATCH(AllVar!HS1,MultipleLkup!$B:$B,0)),IFERROR(INDEX(AllVarName!$C:$C,MATCH(AllVar!HS1,AllVarName!$B:$B,0)),"No match"))</f>
        <v>Achievements Level 4+</v>
      </c>
      <c r="HU2" s="1" t="str">
        <f>IF(COUNTIFS(AllVarName!$B:$B,AllVar!HT1)&gt;1,INDEX(MultipleLkup!$D:$D,MATCH(AllVar!HT1,MultipleLkup!$B:$B,0)),IFERROR(INDEX(AllVarName!$C:$C,MATCH(AllVar!HT1,AllVarName!$B:$B,0)),"No match"))</f>
        <v>Achievements No level assigned</v>
      </c>
      <c r="HV2" s="1" t="str">
        <f>IF(COUNTIFS(AllVarName!$B:$B,AllVar!HU1)&gt;1,INDEX(MultipleLkup!$D:$D,MATCH(AllVar!HU1,MultipleLkup!$B:$B,0)),IFERROR(INDEX(AllVarName!$C:$C,MATCH(AllVar!HU1,AllVarName!$B:$B,0)),"No match"))</f>
        <v>Reporting date</v>
      </c>
      <c r="HW2" s="1" t="str">
        <f>IF(COUNTIFS(AllVarName!$B:$B,AllVar!HV1)&gt;1,INDEX(MultipleLkup!$D:$D,MATCH(AllVar!HV1,MultipleLkup!$B:$B,0)),IFERROR(INDEX(AllVarName!$C:$C,MATCH(AllVar!HV1,AllVarName!$B:$B,0)),"No match"))</f>
        <v>Participation Personal and community development learning</v>
      </c>
      <c r="HX2" s="1" t="str">
        <f>IF(COUNTIFS(AllVarName!$B:$B,AllVar!HW1)&gt;1,INDEX(MultipleLkup!$D:$D,MATCH(AllVar!HW1,MultipleLkup!$B:$B,0)),IFERROR(INDEX(AllVarName!$C:$C,MATCH(AllVar!HW1,AllVarName!$B:$B,0)),"No match"))</f>
        <v>Participation Neighbourhood learning in deprived communities</v>
      </c>
      <c r="HY2" s="1" t="str">
        <f>IF(COUNTIFS(AllVarName!$B:$B,AllVar!HX1)&gt;1,INDEX(MultipleLkup!$D:$D,MATCH(AllVar!HX1,MultipleLkup!$B:$B,0)),IFERROR(INDEX(AllVarName!$C:$C,MATCH(AllVar!HX1,AllVarName!$B:$B,0)),"No match"))</f>
        <v>Participation Family English maths and language</v>
      </c>
      <c r="HZ2" s="1" t="str">
        <f>IF(COUNTIFS(AllVarName!$B:$B,AllVar!HY1)&gt;1,INDEX(MultipleLkup!$D:$D,MATCH(AllVar!HY1,MultipleLkup!$B:$B,0)),IFERROR(INDEX(AllVarName!$C:$C,MATCH(AllVar!HY1,AllVarName!$B:$B,0)),"No match"))</f>
        <v>Participation Wider family learning</v>
      </c>
      <c r="IA2" s="1" t="str">
        <f>IF(COUNTIFS(AllVarName!$B:$B,AllVar!HZ1)&gt;1,INDEX(MultipleLkup!$D:$D,MATCH(AllVar!HZ1,MultipleLkup!$B:$B,0)),IFERROR(INDEX(AllVarName!$C:$C,MATCH(AllVar!HZ1,AllVarName!$B:$B,0)),"No match"))</f>
        <v>Total</v>
      </c>
      <c r="IB2" s="1" t="str">
        <f>IF(COUNTIFS(AllVarName!$B:$B,AllVar!IA1)&gt;1,INDEX(MultipleLkup!$D:$D,MATCH(AllVar!IA1,MultipleLkup!$B:$B,0)),IFERROR(INDEX(AllVarName!$C:$C,MATCH(AllVar!IA1,AllVarName!$B:$B,0)),"No match"))</f>
        <v>Achievements Personal and community development learning</v>
      </c>
      <c r="IC2" s="1" t="str">
        <f>IF(COUNTIFS(AllVarName!$B:$B,AllVar!IB1)&gt;1,INDEX(MultipleLkup!$D:$D,MATCH(AllVar!IB1,MultipleLkup!$B:$B,0)),IFERROR(INDEX(AllVarName!$C:$C,MATCH(AllVar!IB1,AllVarName!$B:$B,0)),"No match"))</f>
        <v>Achievements Neighbourhood learning in deprived communities</v>
      </c>
      <c r="ID2" s="1" t="str">
        <f>IF(COUNTIFS(AllVarName!$B:$B,AllVar!IC1)&gt;1,INDEX(MultipleLkup!$D:$D,MATCH(AllVar!IC1,MultipleLkup!$B:$B,0)),IFERROR(INDEX(AllVarName!$C:$C,MATCH(AllVar!IC1,AllVarName!$B:$B,0)),"No match"))</f>
        <v>Achievements Family English maths and language</v>
      </c>
      <c r="IE2" s="1" t="str">
        <f>IF(COUNTIFS(AllVarName!$B:$B,AllVar!ID1)&gt;1,INDEX(MultipleLkup!$D:$D,MATCH(AllVar!ID1,MultipleLkup!$B:$B,0)),IFERROR(INDEX(AllVarName!$C:$C,MATCH(AllVar!ID1,AllVarName!$B:$B,0)),"No match"))</f>
        <v>Achievements Wider family learning</v>
      </c>
      <c r="IF2" s="1" t="str">
        <f>IF(COUNTIFS(AllVarName!$B:$B,AllVar!IE1)&gt;1,INDEX(MultipleLkup!$D:$D,MATCH(AllVar!IE1,MultipleLkup!$B:$B,0)),IFERROR(INDEX(AllVarName!$C:$C,MATCH(AllVar!IE1,AllVarName!$B:$B,0)),"No match"))</f>
        <v>Individualised learner record snapshot and L3 offer course list used</v>
      </c>
      <c r="IG2" s="1" t="str">
        <f>IF(COUNTIFS(AllVarName!$B:$B,AllVar!IF1)&gt;1,INDEX(MultipleLkup!$D:$D,MATCH(AllVar!IF1,MultipleLkup!$B:$B,0)),IFERROR(INDEX(AllVarName!$C:$C,MATCH(AllVar!IF1,AllVarName!$B:$B,0)),"No match"))</f>
        <v>Total enrolments by any adult on offer courses</v>
      </c>
      <c r="IH2" s="1" t="str">
        <f>IF(COUNTIFS(AllVarName!$B:$B,AllVar!IG1)&gt;1,INDEX(MultipleLkup!$D:$D,MATCH(AllVar!IG1,MultipleLkup!$B:$B,0)),IFERROR(INDEX(AllVarName!$C:$C,MATCH(AllVar!IG1,AllVarName!$B:$B,0)),"No match"))</f>
        <v>Enrolments by eligible adults on offer courses (under original offer)</v>
      </c>
      <c r="II2" s="1" t="str">
        <f>IF(COUNTIFS(AllVarName!$B:$B,AllVar!IH1)&gt;1,INDEX(MultipleLkup!$D:$D,MATCH(AllVar!IH1,MultipleLkup!$B:$B,0)),IFERROR(INDEX(AllVarName!$C:$C,MATCH(AllVar!IH1,AllVarName!$B:$B,0)),"No match"))</f>
        <v>Enrolments by adults taking up Free Courses for Jobs (under original offer)</v>
      </c>
      <c r="IJ2" s="1" t="str">
        <f>IF(COUNTIFS(AllVarName!$B:$B,AllVar!II1)&gt;1,INDEX(MultipleLkup!$D:$D,MATCH(AllVar!II1,MultipleLkup!$B:$B,0)),IFERROR(INDEX(AllVarName!$C:$C,MATCH(AllVar!II1,AllVarName!$B:$B,0)),"No match"))</f>
        <v>Enrolments by adults taking up Free Courses for Jobs (including under extended offer from Apr22)</v>
      </c>
      <c r="IK2" s="1" t="str">
        <f>IF(COUNTIFS(AllVarName!$B:$B,AllVar!IJ1)&gt;1,INDEX(MultipleLkup!$D:$D,MATCH(AllVar!IJ1,MultipleLkup!$B:$B,0)),IFERROR(INDEX(AllVarName!$C:$C,MATCH(AllVar!IJ1,AllVarName!$B:$B,0)),"No match"))</f>
        <v>Number of courses available during period under Free Courses for Jobs offer</v>
      </c>
      <c r="IL2" s="1" t="str">
        <f>IF(COUNTIFS(AllVarName!$B:$B,AllVar!IK1)&gt;1,INDEX(MultipleLkup!$D:$D,MATCH(AllVar!IK1,MultipleLkup!$B:$B,0)),IFERROR(INDEX(AllVarName!$C:$C,MATCH(AllVar!IK1,AllVarName!$B:$B,0)),"No match"))</f>
        <v>Prior attainment group</v>
      </c>
      <c r="IM2" s="1" t="str">
        <f>IF(COUNTIFS(AllVarName!$B:$B,AllVar!IL1)&gt;1,INDEX(MultipleLkup!$D:$D,MATCH(AllVar!IL1,MultipleLkup!$B:$B,0)),IFERROR(INDEX(AllVarName!$C:$C,MATCH(AllVar!IL1,AllVarName!$B:$B,0)),"No match"))</f>
        <v>Prior attainment level</v>
      </c>
      <c r="IN2" s="1" t="str">
        <f>IF(COUNTIFS(AllVarName!$B:$B,AllVar!IM1)&gt;1,INDEX(MultipleLkup!$D:$D,MATCH(AllVar!IM1,MultipleLkup!$B:$B,0)),IFERROR(INDEX(AllVarName!$C:$C,MATCH(AllVar!IM1,AllVarName!$B:$B,0)),"No match"))</f>
        <v>Employment status</v>
      </c>
      <c r="IO2" s="1" t="str">
        <f>IF(COUNTIFS(AllVarName!$B:$B,AllVar!IN1)&gt;1,INDEX(MultipleLkup!$D:$D,MATCH(AllVar!IN1,MultipleLkup!$B:$B,0)),IFERROR(INDEX(AllVarName!$C:$C,MATCH(AllVar!IN1,AllVarName!$B:$B,0)),"No match"))</f>
        <v>Total free courses for jobs total starts under original offer (April 21 to January 23)</v>
      </c>
      <c r="IP2" s="1" t="str">
        <f>IF(COUNTIFS(AllVarName!$B:$B,AllVar!IO1)&gt;1,INDEX(MultipleLkup!$D:$D,MATCH(AllVar!IO1,MultipleLkup!$B:$B,0)),IFERROR(INDEX(AllVarName!$C:$C,MATCH(AllVar!IO1,AllVarName!$B:$B,0)),"No match"))</f>
        <v>Total free courses for jobs total starts including extended offer (April 21 to January 23)</v>
      </c>
      <c r="IQ2" s="1" t="str">
        <f>IF(COUNTIFS(AllVarName!$B:$B,AllVar!IP1)&gt;1,INDEX(MultipleLkup!$D:$D,MATCH(AllVar!IP1,MultipleLkup!$B:$B,0)),IFERROR(INDEX(AllVarName!$C:$C,MATCH(AllVar!IP1,AllVarName!$B:$B,0)),"No match"))</f>
        <v>Total free courses for jobs total achievements under original offer (April 21 to January 23)</v>
      </c>
      <c r="IR2" s="1" t="str">
        <f>IF(COUNTIFS(AllVarName!$B:$B,AllVar!IQ1)&gt;1,INDEX(MultipleLkup!$D:$D,MATCH(AllVar!IQ1,MultipleLkup!$B:$B,0)),IFERROR(INDEX(AllVarName!$C:$C,MATCH(AllVar!IQ1,AllVarName!$B:$B,0)),"No match"))</f>
        <v>Total free courses for jobs total achievements including extended offer (April 21 to January 23)</v>
      </c>
      <c r="IS2" s="1" t="str">
        <f>IF(COUNTIFS(AllVarName!$B:$B,AllVar!IR1)&gt;1,INDEX(MultipleLkup!$D:$D,MATCH(AllVar!IR1,MultipleLkup!$B:$B,0)),IFERROR(INDEX(AllVarName!$C:$C,MATCH(AllVar!IR1,AllVarName!$B:$B,0)),"No match"))</f>
        <v>notional nvq level</v>
      </c>
      <c r="IT2" s="1" t="str">
        <f>IF(COUNTIFS(AllVarName!$B:$B,AllVar!IS1)&gt;1,INDEX(MultipleLkup!$D:$D,MATCH(AllVar!IS1,MultipleLkup!$B:$B,0)),IFERROR(INDEX(AllVarName!$C:$C,MATCH(AllVar!IS1,AllVarName!$B:$B,0)),"No match"))</f>
        <v>E and T Aims enrolment</v>
      </c>
      <c r="IU2" s="1" t="str">
        <f>IF(COUNTIFS(AllVarName!$B:$B,AllVar!IT1)&gt;1,INDEX(MultipleLkup!$D:$D,MATCH(AllVar!IT1,MultipleLkup!$B:$B,0)),IFERROR(INDEX(AllVarName!$C:$C,MATCH(AllVar!IT1,AllVarName!$B:$B,0)),"No match"))</f>
        <v>E and T aims achievement</v>
      </c>
      <c r="IV2" s="1" t="str">
        <f>IF(COUNTIFS(AllVarName!$B:$B,AllVar!IU1)&gt;1,INDEX(MultipleLkup!$D:$D,MATCH(AllVar!IU1,MultipleLkup!$B:$B,0)),IFERROR(INDEX(AllVarName!$C:$C,MATCH(AllVar!IU1,AllVarName!$B:$B,0)),"No match"))</f>
        <v>Apprenticeships or further education</v>
      </c>
      <c r="IW2" s="1" t="str">
        <f>IF(COUNTIFS(AllVarName!$B:$B,AllVar!IV1)&gt;1,INDEX(MultipleLkup!$D:$D,MATCH(AllVar!IV1,MultipleLkup!$B:$B,0)),IFERROR(INDEX(AllVarName!$C:$C,MATCH(AllVar!IV1,AllVarName!$B:$B,0)),"No match"))</f>
        <v>Level or type</v>
      </c>
      <c r="IX2" s="1" t="str">
        <f>IF(COUNTIFS(AllVarName!$B:$B,AllVar!IW1)&gt;1,INDEX(MultipleLkup!$D:$D,MATCH(AllVar!IW1,MultipleLkup!$B:$B,0)),IFERROR(INDEX(AllVarName!$C:$C,MATCH(AllVar!IW1,AllVarName!$B:$B,0)),"No match"))</f>
        <v>Percentage change</v>
      </c>
      <c r="IY2" s="1" t="str">
        <f>IF(COUNTIFS(AllVarName!$B:$B,AllVar!IX1)&gt;1,INDEX(MultipleLkup!$D:$D,MATCH(AllVar!IX1,MultipleLkup!$B:$B,0)),IFERROR(INDEX(AllVarName!$C:$C,MATCH(AllVar!IX1,AllVarName!$B:$B,0)),"No match"))</f>
        <v>Cohort number</v>
      </c>
      <c r="IZ2" s="1" t="str">
        <f>IF(COUNTIFS(AllVarName!$B:$B,AllVar!IY1)&gt;1,INDEX(MultipleLkup!$D:$D,MATCH(AllVar!IY1,MultipleLkup!$B:$B,0)),IFERROR(INDEX(AllVarName!$C:$C,MATCH(AllVar!IY1,AllVarName!$B:$B,0)),"No match"))</f>
        <v>Cohort Level Group</v>
      </c>
      <c r="JA2" s="1" t="str">
        <f>IF(COUNTIFS(AllVarName!$B:$B,AllVar!IZ1)&gt;1,INDEX(MultipleLkup!$D:$D,MATCH(AllVar!IZ1,MultipleLkup!$B:$B,0)),IFERROR(INDEX(AllVarName!$C:$C,MATCH(AllVar!IZ1,AllVarName!$B:$B,0)),"No match"))</f>
        <v>Qualification levels</v>
      </c>
      <c r="JB2" s="1" t="str">
        <f>IF(COUNTIFS(AllVarName!$B:$B,AllVar!JA1)&gt;1,INDEX(MultipleLkup!$D:$D,MATCH(AllVar!JA1,MultipleLkup!$B:$B,0)),IFERROR(INDEX(AllVarName!$C:$C,MATCH(AllVar!JA1,AllVarName!$B:$B,0)),"No match"))</f>
        <v>Average Cohort</v>
      </c>
      <c r="JC2" s="1" t="str">
        <f>IF(COUNTIFS(AllVarName!$B:$B,AllVar!JB1)&gt;1,INDEX(MultipleLkup!$D:$D,MATCH(AllVar!JB1,MultipleLkup!$B:$B,0)),IFERROR(INDEX(AllVarName!$C:$C,MATCH(AllVar!JB1,AllVarName!$B:$B,0)),"No match"))</f>
        <v>Number not in education, employment or training/activity not known</v>
      </c>
      <c r="JD2" s="1" t="str">
        <f>IF(COUNTIFS(AllVarName!$B:$B,AllVar!JC1)&gt;1,INDEX(MultipleLkup!$D:$D,MATCH(AllVar!JC1,MultipleLkup!$B:$B,0)),IFERROR(INDEX(AllVarName!$C:$C,MATCH(AllVar!JC1,AllVarName!$B:$B,0)),"No match"))</f>
        <v>Average not in education, employment or training</v>
      </c>
      <c r="JE2" s="1" t="str">
        <f>IF(COUNTIFS(AllVarName!$B:$B,AllVar!JD1)&gt;1,INDEX(MultipleLkup!$D:$D,MATCH(AllVar!JD1,MultipleLkup!$B:$B,0)),IFERROR(INDEX(AllVarName!$C:$C,MATCH(AllVar!JD1,AllVarName!$B:$B,0)),"No match"))</f>
        <v>Number activity not known</v>
      </c>
      <c r="JF2" s="1" t="str">
        <f>IF(COUNTIFS(AllVarName!$B:$B,AllVar!JE1)&gt;1,INDEX(MultipleLkup!$D:$D,MATCH(AllVar!JE1,MultipleLkup!$B:$B,0)),IFERROR(INDEX(AllVarName!$C:$C,MATCH(AllVar!JE1,AllVarName!$B:$B,0)),"No match"))</f>
        <v>Not in education, employment or training/not known proportion</v>
      </c>
      <c r="JG2" s="1" t="str">
        <f>IF(COUNTIFS(AllVarName!$B:$B,AllVar!JF1)&gt;1,INDEX(MultipleLkup!$D:$D,MATCH(AllVar!JF1,MultipleLkup!$B:$B,0)),IFERROR(INDEX(AllVarName!$C:$C,MATCH(AllVar!JF1,AllVarName!$B:$B,0)),"No match"))</f>
        <v>Not in education, employment or training proportion</v>
      </c>
      <c r="JH2" s="1" t="str">
        <f>IF(COUNTIFS(AllVarName!$B:$B,AllVar!JG1)&gt;1,INDEX(MultipleLkup!$D:$D,MATCH(AllVar!JG1,MultipleLkup!$B:$B,0)),IFERROR(INDEX(AllVarName!$C:$C,MATCH(AllVar!JG1,AllVarName!$B:$B,0)),"No match"))</f>
        <v>Activity not know proportion</v>
      </c>
      <c r="JI2" s="1" t="str">
        <f>IF(COUNTIFS(AllVarName!$B:$B,AllVar!JH1)&gt;1,INDEX(MultipleLkup!$D:$D,MATCH(AllVar!JH1,MultipleLkup!$B:$B,0)),IFERROR(INDEX(AllVarName!$C:$C,MATCH(AllVar!JH1,AllVarName!$B:$B,0)),"No match"))</f>
        <v>Percentage of the cohort with activity not known</v>
      </c>
      <c r="JJ2" s="1" t="str">
        <f>IF(COUNTIFS(AllVarName!$B:$B,AllVar!JI1)&gt;1,INDEX(MultipleLkup!$D:$D,MATCH(AllVar!JI1,MultipleLkup!$B:$B,0)),IFERROR(INDEX(AllVarName!$C:$C,MATCH(AllVar!JI1,AllVarName!$B:$B,0)),"No match"))</f>
        <v>Annual change in: not in education, employment or training/not known rate</v>
      </c>
      <c r="JK2" s="1" t="str">
        <f>IF(COUNTIFS(AllVarName!$B:$B,AllVar!JJ1)&gt;1,INDEX(MultipleLkup!$D:$D,MATCH(AllVar!JJ1,MultipleLkup!$B:$B,0)),IFERROR(INDEX(AllVarName!$C:$C,MATCH(AllVar!JJ1,AllVarName!$B:$B,0)),"No match"))</f>
        <v>Institution group</v>
      </c>
      <c r="JL2" s="1" t="str">
        <f>IF(COUNTIFS(AllVarName!$B:$B,AllVar!JK1)&gt;1,INDEX(MultipleLkup!$D:$D,MATCH(AllVar!JK1,MultipleLkup!$B:$B,0)),IFERROR(INDEX(AllVarName!$C:$C,MATCH(AllVar!JK1,AllVarName!$B:$B,0)),"No match"))</f>
        <v>Institution type</v>
      </c>
      <c r="JM2" s="1" t="str">
        <f>IF(COUNTIFS(AllVarName!$B:$B,AllVar!JL1)&gt;1,INDEX(MultipleLkup!$D:$D,MATCH(AllVar!JL1,MultipleLkup!$B:$B,0)),IFERROR(INDEX(AllVarName!$C:$C,MATCH(AllVar!JL1,AllVarName!$B:$B,0)),"No match"))</f>
        <v>Institution or apprenticeship grouping</v>
      </c>
      <c r="JN2" s="1" t="str">
        <f>IF(COUNTIFS(AllVarName!$B:$B,AllVar!JM1)&gt;1,INDEX(MultipleLkup!$D:$D,MATCH(AllVar!JM1,MultipleLkup!$B:$B,0)),IFERROR(INDEX(AllVarName!$C:$C,MATCH(AllVar!JM1,AllVarName!$B:$B,0)),"No match"))</f>
        <v>Institution or apprenticeship</v>
      </c>
      <c r="JO2" s="1" t="str">
        <f>IF(COUNTIFS(AllVarName!$B:$B,AllVar!JN1)&gt;1,INDEX(MultipleLkup!$D:$D,MATCH(AllVar!JN1,MultipleLkup!$B:$B,0)),IFERROR(INDEX(AllVarName!$C:$C,MATCH(AllVar!JN1,AllVarName!$B:$B,0)),"No match"))</f>
        <v>Labour market status</v>
      </c>
      <c r="JP2" s="1" t="str">
        <f>IF(COUNTIFS(AllVarName!$B:$B,AllVar!JO1)&gt;1,INDEX(MultipleLkup!$D:$D,MATCH(AllVar!JO1,MultipleLkup!$B:$B,0)),IFERROR(INDEX(AllVarName!$C:$C,MATCH(AllVar!JO1,AllVarName!$B:$B,0)),"No match"))</f>
        <v>category grouping</v>
      </c>
      <c r="JQ2" s="1" t="str">
        <f>IF(COUNTIFS(AllVarName!$B:$B,AllVar!JP1)&gt;1,INDEX(MultipleLkup!$D:$D,MATCH(AllVar!JP1,MultipleLkup!$B:$B,0)),IFERROR(INDEX(AllVarName!$C:$C,MATCH(AllVar!JP1,AllVarName!$B:$B,0)),"No match"))</f>
        <v>Activity</v>
      </c>
      <c r="JR2" s="1" t="str">
        <f>IF(COUNTIFS(AllVarName!$B:$B,AllVar!JQ1)&gt;1,INDEX(MultipleLkup!$D:$D,MATCH(AllVar!JQ1,MultipleLkup!$B:$B,0)),IFERROR(INDEX(AllVarName!$C:$C,MATCH(AllVar!JQ1,AllVarName!$B:$B,0)),"No match"))</f>
        <v>Mode of study</v>
      </c>
      <c r="JS2" s="1" t="str">
        <f>IF(COUNTIFS(AllVarName!$B:$B,AllVar!JR1)&gt;1,INDEX(MultipleLkup!$D:$D,MATCH(AllVar!JR1,MultipleLkup!$B:$B,0)),IFERROR(INDEX(AllVarName!$C:$C,MATCH(AllVar!JR1,AllVarName!$B:$B,0)),"No match"))</f>
        <v>Population (ONS estimate)</v>
      </c>
      <c r="JT2" s="1" t="str">
        <f>IF(COUNTIFS(AllVarName!$B:$B,AllVar!JS1)&gt;1,INDEX(MultipleLkup!$D:$D,MATCH(AllVar!JS1,MultipleLkup!$B:$B,0)),IFERROR(INDEX(AllVarName!$C:$C,MATCH(AllVar!JS1,AllVarName!$B:$B,0)),"No match"))</f>
        <v>Number not in education, employment or training</v>
      </c>
      <c r="JU2" s="1" t="str">
        <f>IF(COUNTIFS(AllVarName!$B:$B,AllVar!JT1)&gt;1,INDEX(MultipleLkup!$D:$D,MATCH(AllVar!JT1,MultipleLkup!$B:$B,0)),IFERROR(INDEX(AllVarName!$C:$C,MATCH(AllVar!JT1,AllVarName!$B:$B,0)),"No match"))</f>
        <v>Confidence interval (95%) for the number of not in education, employment or training</v>
      </c>
      <c r="JV2" s="1" t="str">
        <f>IF(COUNTIFS(AllVarName!$B:$B,AllVar!JU1)&gt;1,INDEX(MultipleLkup!$D:$D,MATCH(AllVar!JU1,MultipleLkup!$B:$B,0)),IFERROR(INDEX(AllVarName!$C:$C,MATCH(AllVar!JU1,AllVarName!$B:$B,0)),"No match"))</f>
        <v>Lower bound number not in education, employment or training</v>
      </c>
      <c r="JW2" s="1" t="str">
        <f>IF(COUNTIFS(AllVarName!$B:$B,AllVar!JV1)&gt;1,INDEX(MultipleLkup!$D:$D,MATCH(AllVar!JV1,MultipleLkup!$B:$B,0)),IFERROR(INDEX(AllVarName!$C:$C,MATCH(AllVar!JV1,AllVarName!$B:$B,0)),"No match"))</f>
        <v>Upper bound number not in education, employment or training</v>
      </c>
      <c r="JX2" s="1" t="str">
        <f>IF(COUNTIFS(AllVarName!$B:$B,AllVar!JW1)&gt;1,INDEX(MultipleLkup!$D:$D,MATCH(AllVar!JW1,MultipleLkup!$B:$B,0)),IFERROR(INDEX(AllVarName!$C:$C,MATCH(AllVar!JW1,AllVarName!$B:$B,0)),"No match"))</f>
        <v>Confidence interval (95%) for the percentage not in education, employment or training</v>
      </c>
      <c r="JY2" s="1" t="str">
        <f>IF(COUNTIFS(AllVarName!$B:$B,AllVar!JX1)&gt;1,INDEX(MultipleLkup!$D:$D,MATCH(AllVar!JX1,MultipleLkup!$B:$B,0)),IFERROR(INDEX(AllVarName!$C:$C,MATCH(AllVar!JX1,AllVarName!$B:$B,0)),"No match"))</f>
        <v>Lower bound percent not in education, employment or training</v>
      </c>
      <c r="JZ2" s="1" t="str">
        <f>IF(COUNTIFS(AllVarName!$B:$B,AllVar!JY1)&gt;1,INDEX(MultipleLkup!$D:$D,MATCH(AllVar!JY1,MultipleLkup!$B:$B,0)),IFERROR(INDEX(AllVarName!$C:$C,MATCH(AllVar!JY1,AllVarName!$B:$B,0)),"No match"))</f>
        <v>Upper bound percent not in education, employment or training</v>
      </c>
      <c r="KA2" s="1" t="str">
        <f>IF(COUNTIFS(AllVarName!$B:$B,AllVar!JZ1)&gt;1,INDEX(MultipleLkup!$D:$D,MATCH(AllVar!JZ1,MultipleLkup!$B:$B,0)),IFERROR(INDEX(AllVarName!$C:$C,MATCH(AllVar!JZ1,AllVarName!$B:$B,0)),"No match"))</f>
        <v>Annual change in not in education, employment or training rate</v>
      </c>
      <c r="KB2" s="1" t="str">
        <f>IF(COUNTIFS(AllVarName!$B:$B,AllVar!KA1)&gt;1,INDEX(MultipleLkup!$D:$D,MATCH(AllVar!KA1,MultipleLkup!$B:$B,0)),IFERROR(INDEX(AllVarName!$C:$C,MATCH(AllVar!KA1,AllVarName!$B:$B,0)),"No match"))</f>
        <v>Confidence interval (95%) for the annual change in not in education, employment or training rate</v>
      </c>
      <c r="KC2" s="1" t="str">
        <f>IF(COUNTIFS(AllVarName!$B:$B,AllVar!KB1)&gt;1,INDEX(MultipleLkup!$D:$D,MATCH(AllVar!KB1,MultipleLkup!$B:$B,0)),IFERROR(INDEX(AllVarName!$C:$C,MATCH(AllVar!KB1,AllVarName!$B:$B,0)),"No match"))</f>
        <v>Lower bound annual change in not in education, employment or training rate</v>
      </c>
      <c r="KD2" s="1" t="str">
        <f>IF(COUNTIFS(AllVarName!$B:$B,AllVar!KC1)&gt;1,INDEX(MultipleLkup!$D:$D,MATCH(AllVar!KC1,MultipleLkup!$B:$B,0)),IFERROR(INDEX(AllVarName!$C:$C,MATCH(AllVar!KC1,AllVarName!$B:$B,0)),"No match"))</f>
        <v>Upper bound annual change in not in education, employment or training rate</v>
      </c>
      <c r="KE2" s="1" t="str">
        <f>IF(COUNTIFS(AllVarName!$B:$B,AllVar!KD1)&gt;1,INDEX(MultipleLkup!$D:$D,MATCH(AllVar!KD1,MultipleLkup!$B:$B,0)),IFERROR(INDEX(AllVarName!$C:$C,MATCH(AllVar!KD1,AllVarName!$B:$B,0)),"No match"))</f>
        <v>Number not in education or training</v>
      </c>
      <c r="KF2" s="1" t="str">
        <f>IF(COUNTIFS(AllVarName!$B:$B,AllVar!KE1)&gt;1,INDEX(MultipleLkup!$D:$D,MATCH(AllVar!KE1,MultipleLkup!$B:$B,0)),IFERROR(INDEX(AllVarName!$C:$C,MATCH(AllVar!KE1,AllVarName!$B:$B,0)),"No match"))</f>
        <v>Confidence interval (95%) for the number not in education or training</v>
      </c>
      <c r="KG2" s="1" t="str">
        <f>IF(COUNTIFS(AllVarName!$B:$B,AllVar!KF1)&gt;1,INDEX(MultipleLkup!$D:$D,MATCH(AllVar!KF1,MultipleLkup!$B:$B,0)),IFERROR(INDEX(AllVarName!$C:$C,MATCH(AllVar!KF1,AllVarName!$B:$B,0)),"No match"))</f>
        <v>Lower bound number not in education or training</v>
      </c>
      <c r="KH2" s="1" t="str">
        <f>IF(COUNTIFS(AllVarName!$B:$B,AllVar!KG1)&gt;1,INDEX(MultipleLkup!$D:$D,MATCH(AllVar!KG1,MultipleLkup!$B:$B,0)),IFERROR(INDEX(AllVarName!$C:$C,MATCH(AllVar!KG1,AllVarName!$B:$B,0)),"No match"))</f>
        <v>Upper bound number not in education or training</v>
      </c>
      <c r="KI2" s="1" t="str">
        <f>IF(COUNTIFS(AllVarName!$B:$B,AllVar!KH1)&gt;1,INDEX(MultipleLkup!$D:$D,MATCH(AllVar!KH1,MultipleLkup!$B:$B,0)),IFERROR(INDEX(AllVarName!$C:$C,MATCH(AllVar!KH1,AllVarName!$B:$B,0)),"No match"))</f>
        <v>Percentage of population not in education or training</v>
      </c>
      <c r="KJ2" s="1" t="str">
        <f>IF(COUNTIFS(AllVarName!$B:$B,AllVar!KI1)&gt;1,INDEX(MultipleLkup!$D:$D,MATCH(AllVar!KI1,MultipleLkup!$B:$B,0)),IFERROR(INDEX(AllVarName!$C:$C,MATCH(AllVar!KI1,AllVarName!$B:$B,0)),"No match"))</f>
        <v>Confidence interval (95%) for the percentage not in education or training</v>
      </c>
      <c r="KK2" s="1" t="str">
        <f>IF(COUNTIFS(AllVarName!$B:$B,AllVar!KJ1)&gt;1,INDEX(MultipleLkup!$D:$D,MATCH(AllVar!KJ1,MultipleLkup!$B:$B,0)),IFERROR(INDEX(AllVarName!$C:$C,MATCH(AllVar!KJ1,AllVarName!$B:$B,0)),"No match"))</f>
        <v>Lower bound percent not in education or training</v>
      </c>
      <c r="KL2" s="1" t="str">
        <f>IF(COUNTIFS(AllVarName!$B:$B,AllVar!KK1)&gt;1,INDEX(MultipleLkup!$D:$D,MATCH(AllVar!KK1,MultipleLkup!$B:$B,0)),IFERROR(INDEX(AllVarName!$C:$C,MATCH(AllVar!KK1,AllVarName!$B:$B,0)),"No match"))</f>
        <v>Upper bound percent not in education or training</v>
      </c>
      <c r="KM2" s="1" t="str">
        <f>IF(COUNTIFS(AllVarName!$B:$B,AllVar!KL1)&gt;1,INDEX(MultipleLkup!$D:$D,MATCH(AllVar!KL1,MultipleLkup!$B:$B,0)),IFERROR(INDEX(AllVarName!$C:$C,MATCH(AllVar!KL1,AllVarName!$B:$B,0)),"No match"))</f>
        <v>Annual change in not in education or training rate</v>
      </c>
      <c r="KN2" s="1" t="str">
        <f>IF(COUNTIFS(AllVarName!$B:$B,AllVar!KM1)&gt;1,INDEX(MultipleLkup!$D:$D,MATCH(AllVar!KM1,MultipleLkup!$B:$B,0)),IFERROR(INDEX(AllVarName!$C:$C,MATCH(AllVar!KM1,AllVarName!$B:$B,0)),"No match"))</f>
        <v>Confidence interval (95%) for the annual change in not in education or training rate</v>
      </c>
      <c r="KO2" s="1" t="str">
        <f>IF(COUNTIFS(AllVarName!$B:$B,AllVar!KN1)&gt;1,INDEX(MultipleLkup!$D:$D,MATCH(AllVar!KN1,MultipleLkup!$B:$B,0)),IFERROR(INDEX(AllVarName!$C:$C,MATCH(AllVar!KN1,AllVarName!$B:$B,0)),"No match"))</f>
        <v>Lower bound annual change in not in education or training rate</v>
      </c>
      <c r="KP2" s="1" t="str">
        <f>IF(COUNTIFS(AllVarName!$B:$B,AllVar!KO1)&gt;1,INDEX(MultipleLkup!$D:$D,MATCH(AllVar!KO1,MultipleLkup!$B:$B,0)),IFERROR(INDEX(AllVarName!$C:$C,MATCH(AllVar!KO1,AllVarName!$B:$B,0)),"No match"))</f>
        <v>Upper bound annual change in not in education or training rate</v>
      </c>
      <c r="KQ2" s="1" t="str">
        <f>IF(COUNTIFS(AllVarName!$B:$B,AllVar!KP1)&gt;1,INDEX(MultipleLkup!$D:$D,MATCH(AllVar!KP1,MultipleLkup!$B:$B,0)),IFERROR(INDEX(AllVarName!$C:$C,MATCH(AllVar!KP1,AllVarName!$B:$B,0)),"No match"))</f>
        <v>Employment rate of the not in education or training group</v>
      </c>
      <c r="KR2" s="1" t="str">
        <f>IF(COUNTIFS(AllVarName!$B:$B,AllVar!KQ1)&gt;1,INDEX(MultipleLkup!$D:$D,MATCH(AllVar!KQ1,MultipleLkup!$B:$B,0)),IFERROR(INDEX(AllVarName!$C:$C,MATCH(AllVar!KQ1,AllVarName!$B:$B,0)),"No match"))</f>
        <v>Number not in education, employment or training who are International Labour Organisation unemployed for less than 6 months</v>
      </c>
      <c r="KS2" s="1" t="str">
        <f>IF(COUNTIFS(AllVarName!$B:$B,AllVar!KR1)&gt;1,INDEX(MultipleLkup!$D:$D,MATCH(AllVar!KR1,MultipleLkup!$B:$B,0)),IFERROR(INDEX(AllVarName!$C:$C,MATCH(AllVar!KR1,AllVarName!$B:$B,0)),"No match"))</f>
        <v>confidence interval plus minus International Labour Organisation unemployed less 6 months</v>
      </c>
      <c r="KT2" s="1" t="str">
        <f>IF(COUNTIFS(AllVarName!$B:$B,AllVar!KS1)&gt;1,INDEX(MultipleLkup!$D:$D,MATCH(AllVar!KS1,MultipleLkup!$B:$B,0)),IFERROR(INDEX(AllVarName!$C:$C,MATCH(AllVar!KS1,AllVarName!$B:$B,0)),"No match"))</f>
        <v>lower bound number International Labour Organisation unemployed less 6months</v>
      </c>
      <c r="KU2" s="1" t="str">
        <f>IF(COUNTIFS(AllVarName!$B:$B,AllVar!KT1)&gt;1,INDEX(MultipleLkup!$D:$D,MATCH(AllVar!KT1,MultipleLkup!$B:$B,0)),IFERROR(INDEX(AllVarName!$C:$C,MATCH(AllVar!KT1,AllVarName!$B:$B,0)),"No match"))</f>
        <v>Upper bound number International Labour Organisation unemployed less 6 months</v>
      </c>
      <c r="KV2" s="1" t="str">
        <f>IF(COUNTIFS(AllVarName!$B:$B,AllVar!KU1)&gt;1,INDEX(MultipleLkup!$D:$D,MATCH(AllVar!KU1,MultipleLkup!$B:$B,0)),IFERROR(INDEX(AllVarName!$C:$C,MATCH(AllVar!KU1,AllVarName!$B:$B,0)),"No match"))</f>
        <v>Number not in education, employment or training who are International Labour Organisation unemployed for more than 6 months</v>
      </c>
      <c r="KW2" s="1" t="str">
        <f>IF(COUNTIFS(AllVarName!$B:$B,AllVar!KV1)&gt;1,INDEX(MultipleLkup!$D:$D,MATCH(AllVar!KV1,MultipleLkup!$B:$B,0)),IFERROR(INDEX(AllVarName!$C:$C,MATCH(AllVar!KV1,AllVarName!$B:$B,0)),"No match"))</f>
        <v>Confidence interval (95%) for the number not in education, employment or training unemployed for more than 6 months</v>
      </c>
      <c r="KX2" s="1" t="str">
        <f>IF(COUNTIFS(AllVarName!$B:$B,AllVar!KW1)&gt;1,INDEX(MultipleLkup!$D:$D,MATCH(AllVar!KW1,MultipleLkup!$B:$B,0)),IFERROR(INDEX(AllVarName!$C:$C,MATCH(AllVar!KW1,AllVarName!$B:$B,0)),"No match"))</f>
        <v>Lower bound number International Labour Organisation unemployed more 6 months</v>
      </c>
      <c r="KY2" s="1" t="str">
        <f>IF(COUNTIFS(AllVarName!$B:$B,AllVar!KX1)&gt;1,INDEX(MultipleLkup!$D:$D,MATCH(AllVar!KX1,MultipleLkup!$B:$B,0)),IFERROR(INDEX(AllVarName!$C:$C,MATCH(AllVar!KX1,AllVarName!$B:$B,0)),"No match"))</f>
        <v>Upper bound number International Labour Organisation unemployed more 6 months</v>
      </c>
      <c r="KZ2" s="1" t="str">
        <f>IF(COUNTIFS(AllVarName!$B:$B,AllVar!KY1)&gt;1,INDEX(MultipleLkup!$D:$D,MATCH(AllVar!KY1,MultipleLkup!$B:$B,0)),IFERROR(INDEX(AllVarName!$C:$C,MATCH(AllVar!KY1,AllVarName!$B:$B,0)),"No match"))</f>
        <v>Number not in education, employment or training who were inactive and want a job</v>
      </c>
      <c r="LA2" s="1" t="str">
        <f>IF(COUNTIFS(AllVarName!$B:$B,AllVar!KZ1)&gt;1,INDEX(MultipleLkup!$D:$D,MATCH(AllVar!KZ1,MultipleLkup!$B:$B,0)),IFERROR(INDEX(AllVarName!$C:$C,MATCH(AllVar!KZ1,AllVarName!$B:$B,0)),"No match"))</f>
        <v>Confidence interval (95%) for the number not in education, employment or training inactive and want a job</v>
      </c>
      <c r="LB2" s="1" t="str">
        <f>IF(COUNTIFS(AllVarName!$B:$B,AllVar!LA1)&gt;1,INDEX(MultipleLkup!$D:$D,MATCH(AllVar!LA1,MultipleLkup!$B:$B,0)),IFERROR(INDEX(AllVarName!$C:$C,MATCH(AllVar!LA1,AllVarName!$B:$B,0)),"No match"))</f>
        <v>Lower bound number inactive wants a job</v>
      </c>
      <c r="LC2" s="1" t="str">
        <f>IF(COUNTIFS(AllVarName!$B:$B,AllVar!LB1)&gt;1,INDEX(MultipleLkup!$D:$D,MATCH(AllVar!LB1,MultipleLkup!$B:$B,0)),IFERROR(INDEX(AllVarName!$C:$C,MATCH(AllVar!LB1,AllVarName!$B:$B,0)),"No match"))</f>
        <v>Upper bound number inactive wants a job</v>
      </c>
      <c r="LD2" s="1" t="str">
        <f>IF(COUNTIFS(AllVarName!$B:$B,AllVar!LC1)&gt;1,INDEX(MultipleLkup!$D:$D,MATCH(AllVar!LC1,MultipleLkup!$B:$B,0)),IFERROR(INDEX(AllVarName!$C:$C,MATCH(AllVar!LC1,AllVarName!$B:$B,0)),"No match"))</f>
        <v>Number not in education, employment or training who were inactive and does not want a job</v>
      </c>
      <c r="LE2" s="1" t="str">
        <f>IF(COUNTIFS(AllVarName!$B:$B,AllVar!LD1)&gt;1,INDEX(MultipleLkup!$D:$D,MATCH(AllVar!LD1,MultipleLkup!$B:$B,0)),IFERROR(INDEX(AllVarName!$C:$C,MATCH(AllVar!LD1,AllVarName!$B:$B,0)),"No match"))</f>
        <v>Confidence interval (95%) for the number not in education, employment or training inactive and does not want a job</v>
      </c>
      <c r="LF2" s="1" t="str">
        <f>IF(COUNTIFS(AllVarName!$B:$B,AllVar!LE1)&gt;1,INDEX(MultipleLkup!$D:$D,MATCH(AllVar!LE1,MultipleLkup!$B:$B,0)),IFERROR(INDEX(AllVarName!$C:$C,MATCH(AllVar!LE1,AllVarName!$B:$B,0)),"No match"))</f>
        <v>Lower bound number inactive does not want a job</v>
      </c>
      <c r="LG2" s="1" t="str">
        <f>IF(COUNTIFS(AllVarName!$B:$B,AllVar!LF1)&gt;1,INDEX(MultipleLkup!$D:$D,MATCH(AllVar!LF1,MultipleLkup!$B:$B,0)),IFERROR(INDEX(AllVarName!$C:$C,MATCH(AllVar!LF1,AllVarName!$B:$B,0)),"No match"))</f>
        <v>Upper bound number inactive does not want a job</v>
      </c>
      <c r="LH2" s="1" t="str">
        <f>IF(COUNTIFS(AllVarName!$B:$B,AllVar!LG1)&gt;1,INDEX(MultipleLkup!$D:$D,MATCH(AllVar!LG1,MultipleLkup!$B:$B,0)),IFERROR(INDEX(AllVarName!$C:$C,MATCH(AllVar!LG1,AllVarName!$B:$B,0)),"No match"))</f>
        <v>Number not in education, employment or training where reason for inactivity was looking after family/home</v>
      </c>
      <c r="LI2" s="1" t="str">
        <f>IF(COUNTIFS(AllVarName!$B:$B,AllVar!LH1)&gt;1,INDEX(MultipleLkup!$D:$D,MATCH(AllVar!LH1,MultipleLkup!$B:$B,0)),IFERROR(INDEX(AllVarName!$C:$C,MATCH(AllVar!LH1,AllVarName!$B:$B,0)),"No match"))</f>
        <v>Confidence interval (95%) for the number not in education, employment or training with reason inactive as looking after family/home</v>
      </c>
      <c r="LJ2" s="1" t="str">
        <f>IF(COUNTIFS(AllVarName!$B:$B,AllVar!LI1)&gt;1,INDEX(MultipleLkup!$D:$D,MATCH(AllVar!LI1,MultipleLkup!$B:$B,0)),IFERROR(INDEX(AllVarName!$C:$C,MATCH(AllVar!LI1,AllVarName!$B:$B,0)),"No match"))</f>
        <v>Lower bound number reason inactive looking after family or home</v>
      </c>
      <c r="LK2" s="1" t="str">
        <f>IF(COUNTIFS(AllVarName!$B:$B,AllVar!LJ1)&gt;1,INDEX(MultipleLkup!$D:$D,MATCH(AllVar!LJ1,MultipleLkup!$B:$B,0)),IFERROR(INDEX(AllVarName!$C:$C,MATCH(AllVar!LJ1,AllVarName!$B:$B,0)),"No match"))</f>
        <v>Upper bound number reason inactive looking after family or home</v>
      </c>
      <c r="LL2" s="1" t="str">
        <f>IF(COUNTIFS(AllVarName!$B:$B,AllVar!LK1)&gt;1,INDEX(MultipleLkup!$D:$D,MATCH(AllVar!LK1,MultipleLkup!$B:$B,0)),IFERROR(INDEX(AllVarName!$C:$C,MATCH(AllVar!LK1,AllVarName!$B:$B,0)),"No match"))</f>
        <v>Number not in education, employment or training where reason for inactivity was long-term or temporarily sick</v>
      </c>
      <c r="LM2" s="1" t="str">
        <f>IF(COUNTIFS(AllVarName!$B:$B,AllVar!LL1)&gt;1,INDEX(MultipleLkup!$D:$D,MATCH(AllVar!LL1,MultipleLkup!$B:$B,0)),IFERROR(INDEX(AllVarName!$C:$C,MATCH(AllVar!LL1,AllVarName!$B:$B,0)),"No match"))</f>
        <v>Confidence interval (95%) for the number not in education, employment or training with reason inactive as long-term or temporary sick</v>
      </c>
      <c r="LN2" s="1" t="str">
        <f>IF(COUNTIFS(AllVarName!$B:$B,AllVar!LM1)&gt;1,INDEX(MultipleLkup!$D:$D,MATCH(AllVar!LM1,MultipleLkup!$B:$B,0)),IFERROR(INDEX(AllVarName!$C:$C,MATCH(AllVar!LM1,AllVarName!$B:$B,0)),"No match"))</f>
        <v>Lower bound number reason inactive long-term or temporary sick</v>
      </c>
      <c r="LO2" s="1" t="str">
        <f>IF(COUNTIFS(AllVarName!$B:$B,AllVar!LN1)&gt;1,INDEX(MultipleLkup!$D:$D,MATCH(AllVar!LN1,MultipleLkup!$B:$B,0)),IFERROR(INDEX(AllVarName!$C:$C,MATCH(AllVar!LN1,AllVarName!$B:$B,0)),"No match"))</f>
        <v>Upper bound number reason inactive long-term or temporary sick</v>
      </c>
      <c r="LP2" s="1" t="str">
        <f>IF(COUNTIFS(AllVarName!$B:$B,AllVar!LO1)&gt;1,INDEX(MultipleLkup!$D:$D,MATCH(AllVar!LO1,MultipleLkup!$B:$B,0)),IFERROR(INDEX(AllVarName!$C:$C,MATCH(AllVar!LO1,AllVarName!$B:$B,0)),"No match"))</f>
        <v>Number not in education, employment or training where reason for inactivity was other</v>
      </c>
      <c r="LQ2" s="1" t="str">
        <f>IF(COUNTIFS(AllVarName!$B:$B,AllVar!LP1)&gt;1,INDEX(MultipleLkup!$D:$D,MATCH(AllVar!LP1,MultipleLkup!$B:$B,0)),IFERROR(INDEX(AllVarName!$C:$C,MATCH(AllVar!LP1,AllVarName!$B:$B,0)),"No match"))</f>
        <v>Confidence interval (95%) for the number not in education, employment or training with reason inactive as other</v>
      </c>
      <c r="LR2" s="1" t="str">
        <f>IF(COUNTIFS(AllVarName!$B:$B,AllVar!LQ1)&gt;1,INDEX(MultipleLkup!$D:$D,MATCH(AllVar!LQ1,MultipleLkup!$B:$B,0)),IFERROR(INDEX(AllVarName!$C:$C,MATCH(AllVar!LQ1,AllVarName!$B:$B,0)),"No match"))</f>
        <v>Lower bound number reason inactive other</v>
      </c>
      <c r="LS2" s="1" t="str">
        <f>IF(COUNTIFS(AllVarName!$B:$B,AllVar!LR1)&gt;1,INDEX(MultipleLkup!$D:$D,MATCH(AllVar!LR1,MultipleLkup!$B:$B,0)),IFERROR(INDEX(AllVarName!$C:$C,MATCH(AllVar!LR1,AllVarName!$B:$B,0)),"No match"))</f>
        <v>Upper bound number reason inactive other</v>
      </c>
      <c r="LT2" s="1" t="str">
        <f>IF(COUNTIFS(AllVarName!$B:$B,AllVar!LS1)&gt;1,INDEX(MultipleLkup!$D:$D,MATCH(AllVar!LS1,MultipleLkup!$B:$B,0)),IFERROR(INDEX(AllVarName!$C:$C,MATCH(AllVar!LS1,AllVarName!$B:$B,0)),"No match"))</f>
        <v>Percentage of not in education, employment or training International Labour Organisation unemployed for less than 6 months</v>
      </c>
      <c r="LU2" s="1" t="str">
        <f>IF(COUNTIFS(AllVarName!$B:$B,AllVar!LT1)&gt;1,INDEX(MultipleLkup!$D:$D,MATCH(AllVar!LT1,MultipleLkup!$B:$B,0)),IFERROR(INDEX(AllVarName!$C:$C,MATCH(AllVar!LT1,AllVarName!$B:$B,0)),"No match"))</f>
        <v>Confidence interval (95%) for the percentage not in education, employment or training unemployed for less than 6 months</v>
      </c>
      <c r="LV2" s="1" t="str">
        <f>IF(COUNTIFS(AllVarName!$B:$B,AllVar!LU1)&gt;1,INDEX(MultipleLkup!$D:$D,MATCH(AllVar!LU1,MultipleLkup!$B:$B,0)),IFERROR(INDEX(AllVarName!$C:$C,MATCH(AllVar!LU1,AllVarName!$B:$B,0)),"No match"))</f>
        <v>Lower bound percent International Labour Organisation unemployed less 6 months</v>
      </c>
      <c r="LW2" s="1" t="str">
        <f>IF(COUNTIFS(AllVarName!$B:$B,AllVar!LV1)&gt;1,INDEX(MultipleLkup!$D:$D,MATCH(AllVar!LV1,MultipleLkup!$B:$B,0)),IFERROR(INDEX(AllVarName!$C:$C,MATCH(AllVar!LV1,AllVarName!$B:$B,0)),"No match"))</f>
        <v>Upper bound percent International Labour Organisation unemployed less 6 months</v>
      </c>
      <c r="LX2" s="1" t="str">
        <f>IF(COUNTIFS(AllVarName!$B:$B,AllVar!LW1)&gt;1,INDEX(MultipleLkup!$D:$D,MATCH(AllVar!LW1,MultipleLkup!$B:$B,0)),IFERROR(INDEX(AllVarName!$C:$C,MATCH(AllVar!LW1,AllVarName!$B:$B,0)),"No match"))</f>
        <v>Percentage of not in education, employment or training International Labour Organisation unemployed for more than 6 months</v>
      </c>
      <c r="LY2" s="1" t="str">
        <f>IF(COUNTIFS(AllVarName!$B:$B,AllVar!LX1)&gt;1,INDEX(MultipleLkup!$D:$D,MATCH(AllVar!LX1,MultipleLkup!$B:$B,0)),IFERROR(INDEX(AllVarName!$C:$C,MATCH(AllVar!LX1,AllVarName!$B:$B,0)),"No match"))</f>
        <v>Confidence interval (95%) for the percentage not in education, employment or training unemployed for more than 6 months</v>
      </c>
      <c r="LZ2" s="1" t="str">
        <f>IF(COUNTIFS(AllVarName!$B:$B,AllVar!LY1)&gt;1,INDEX(MultipleLkup!$D:$D,MATCH(AllVar!LY1,MultipleLkup!$B:$B,0)),IFERROR(INDEX(AllVarName!$C:$C,MATCH(AllVar!LY1,AllVarName!$B:$B,0)),"No match"))</f>
        <v>Lower bound percent International Labour Organisation unemployed more 6 months</v>
      </c>
      <c r="MA2" s="1" t="str">
        <f>IF(COUNTIFS(AllVarName!$B:$B,AllVar!LZ1)&gt;1,INDEX(MultipleLkup!$D:$D,MATCH(AllVar!LZ1,MultipleLkup!$B:$B,0)),IFERROR(INDEX(AllVarName!$C:$C,MATCH(AllVar!LZ1,AllVarName!$B:$B,0)),"No match"))</f>
        <v>Upper bound percent International Labour Organisation unemployed more 6 months</v>
      </c>
      <c r="MB2" s="1" t="str">
        <f>IF(COUNTIFS(AllVarName!$B:$B,AllVar!MA1)&gt;1,INDEX(MultipleLkup!$D:$D,MATCH(AllVar!MA1,MultipleLkup!$B:$B,0)),IFERROR(INDEX(AllVarName!$C:$C,MATCH(AllVar!MA1,AllVarName!$B:$B,0)),"No match"))</f>
        <v>Percentage of not in education, employment or training who were inactive and want a job</v>
      </c>
      <c r="MC2" s="1" t="str">
        <f>IF(COUNTIFS(AllVarName!$B:$B,AllVar!MB1)&gt;1,INDEX(MultipleLkup!$D:$D,MATCH(AllVar!MB1,MultipleLkup!$B:$B,0)),IFERROR(INDEX(AllVarName!$C:$C,MATCH(AllVar!MB1,AllVarName!$B:$B,0)),"No match"))</f>
        <v>Confidence interval (95%) for the percentage not in education, employment or training inactive and want a job</v>
      </c>
      <c r="MD2" s="1" t="str">
        <f>IF(COUNTIFS(AllVarName!$B:$B,AllVar!MC1)&gt;1,INDEX(MultipleLkup!$D:$D,MATCH(AllVar!MC1,MultipleLkup!$B:$B,0)),IFERROR(INDEX(AllVarName!$C:$C,MATCH(AllVar!MC1,AllVarName!$B:$B,0)),"No match"))</f>
        <v>Lower bound percent inactive wants a job</v>
      </c>
      <c r="ME2" s="1" t="str">
        <f>IF(COUNTIFS(AllVarName!$B:$B,AllVar!MD1)&gt;1,INDEX(MultipleLkup!$D:$D,MATCH(AllVar!MD1,MultipleLkup!$B:$B,0)),IFERROR(INDEX(AllVarName!$C:$C,MATCH(AllVar!MD1,AllVarName!$B:$B,0)),"No match"))</f>
        <v>Upper bound percent inactive wants a job</v>
      </c>
      <c r="MF2" s="1" t="str">
        <f>IF(COUNTIFS(AllVarName!$B:$B,AllVar!ME1)&gt;1,INDEX(MultipleLkup!$D:$D,MATCH(AllVar!ME1,MultipleLkup!$B:$B,0)),IFERROR(INDEX(AllVarName!$C:$C,MATCH(AllVar!ME1,AllVarName!$B:$B,0)),"No match"))</f>
        <v>Percentage of not in education, employment or training who were inactive and does not want a job</v>
      </c>
      <c r="MG2" s="1" t="str">
        <f>IF(COUNTIFS(AllVarName!$B:$B,AllVar!MF1)&gt;1,INDEX(MultipleLkup!$D:$D,MATCH(AllVar!MF1,MultipleLkup!$B:$B,0)),IFERROR(INDEX(AllVarName!$C:$C,MATCH(AllVar!MF1,AllVarName!$B:$B,0)),"No match"))</f>
        <v>Confidence interval (95%) for the percentage not in education, employment or training inactive and does not want a job</v>
      </c>
      <c r="MH2" s="1" t="str">
        <f>IF(COUNTIFS(AllVarName!$B:$B,AllVar!MG1)&gt;1,INDEX(MultipleLkup!$D:$D,MATCH(AllVar!MG1,MultipleLkup!$B:$B,0)),IFERROR(INDEX(AllVarName!$C:$C,MATCH(AllVar!MG1,AllVarName!$B:$B,0)),"No match"))</f>
        <v>Lower bound percent inactive does not want a job</v>
      </c>
      <c r="MI2" s="1" t="str">
        <f>IF(COUNTIFS(AllVarName!$B:$B,AllVar!MH1)&gt;1,INDEX(MultipleLkup!$D:$D,MATCH(AllVar!MH1,MultipleLkup!$B:$B,0)),IFERROR(INDEX(AllVarName!$C:$C,MATCH(AllVar!MH1,AllVarName!$B:$B,0)),"No match"))</f>
        <v>Upper bound percent inactive does not want a job</v>
      </c>
      <c r="MJ2" s="1" t="str">
        <f>IF(COUNTIFS(AllVarName!$B:$B,AllVar!MI1)&gt;1,INDEX(MultipleLkup!$D:$D,MATCH(AllVar!MI1,MultipleLkup!$B:$B,0)),IFERROR(INDEX(AllVarName!$C:$C,MATCH(AllVar!MI1,AllVarName!$B:$B,0)),"No match"))</f>
        <v>Percentage of not in education, employment or training where reason for inactivity was looking after family/home</v>
      </c>
      <c r="MK2" s="1" t="str">
        <f>IF(COUNTIFS(AllVarName!$B:$B,AllVar!MJ1)&gt;1,INDEX(MultipleLkup!$D:$D,MATCH(AllVar!MJ1,MultipleLkup!$B:$B,0)),IFERROR(INDEX(AllVarName!$C:$C,MATCH(AllVar!MJ1,AllVarName!$B:$B,0)),"No match"))</f>
        <v>Confidence interval (95%) for the percentage not in education, employment or training with reason inactive as looking after family/home</v>
      </c>
      <c r="ML2" s="1" t="str">
        <f>IF(COUNTIFS(AllVarName!$B:$B,AllVar!MK1)&gt;1,INDEX(MultipleLkup!$D:$D,MATCH(AllVar!MK1,MultipleLkup!$B:$B,0)),IFERROR(INDEX(AllVarName!$C:$C,MATCH(AllVar!MK1,AllVarName!$B:$B,0)),"No match"))</f>
        <v>Lower bound percent reason inactive looking after family or home</v>
      </c>
      <c r="MM2" s="1" t="str">
        <f>IF(COUNTIFS(AllVarName!$B:$B,AllVar!ML1)&gt;1,INDEX(MultipleLkup!$D:$D,MATCH(AllVar!ML1,MultipleLkup!$B:$B,0)),IFERROR(INDEX(AllVarName!$C:$C,MATCH(AllVar!ML1,AllVarName!$B:$B,0)),"No match"))</f>
        <v>Upper bound percent reason inactive looking after family or home</v>
      </c>
      <c r="MN2" s="1" t="str">
        <f>IF(COUNTIFS(AllVarName!$B:$B,AllVar!MM1)&gt;1,INDEX(MultipleLkup!$D:$D,MATCH(AllVar!MM1,MultipleLkup!$B:$B,0)),IFERROR(INDEX(AllVarName!$C:$C,MATCH(AllVar!MM1,AllVarName!$B:$B,0)),"No match"))</f>
        <v>Percentage of not in education, employment or training where reason for inactivity was long-term or temporarily sick</v>
      </c>
      <c r="MO2" s="1" t="str">
        <f>IF(COUNTIFS(AllVarName!$B:$B,AllVar!MN1)&gt;1,INDEX(MultipleLkup!$D:$D,MATCH(AllVar!MN1,MultipleLkup!$B:$B,0)),IFERROR(INDEX(AllVarName!$C:$C,MATCH(AllVar!MN1,AllVarName!$B:$B,0)),"No match"))</f>
        <v>Confidence interval (95%) for the percentage not in education, employment or training with reason inactive as long-term or temporary sick</v>
      </c>
      <c r="MP2" s="1" t="str">
        <f>IF(COUNTIFS(AllVarName!$B:$B,AllVar!MO1)&gt;1,INDEX(MultipleLkup!$D:$D,MATCH(AllVar!MO1,MultipleLkup!$B:$B,0)),IFERROR(INDEX(AllVarName!$C:$C,MATCH(AllVar!MO1,AllVarName!$B:$B,0)),"No match"))</f>
        <v>Lower bound percent reason inactive long-term or temporary sick</v>
      </c>
      <c r="MQ2" s="1" t="str">
        <f>IF(COUNTIFS(AllVarName!$B:$B,AllVar!MP1)&gt;1,INDEX(MultipleLkup!$D:$D,MATCH(AllVar!MP1,MultipleLkup!$B:$B,0)),IFERROR(INDEX(AllVarName!$C:$C,MATCH(AllVar!MP1,AllVarName!$B:$B,0)),"No match"))</f>
        <v>Upper bound percent reason inactive long-term or temporary sick</v>
      </c>
      <c r="MR2" s="1" t="str">
        <f>IF(COUNTIFS(AllVarName!$B:$B,AllVar!MQ1)&gt;1,INDEX(MultipleLkup!$D:$D,MATCH(AllVar!MQ1,MultipleLkup!$B:$B,0)),IFERROR(INDEX(AllVarName!$C:$C,MATCH(AllVar!MQ1,AllVarName!$B:$B,0)),"No match"))</f>
        <v>Percentage of not in education, employment or training where reason for inactivity was other</v>
      </c>
      <c r="MS2" s="1" t="str">
        <f>IF(COUNTIFS(AllVarName!$B:$B,AllVar!MR1)&gt;1,INDEX(MultipleLkup!$D:$D,MATCH(AllVar!MR1,MultipleLkup!$B:$B,0)),IFERROR(INDEX(AllVarName!$C:$C,MATCH(AllVar!MR1,AllVarName!$B:$B,0)),"No match"))</f>
        <v>Confidence interval (95%) for the percentage of not in education, employment or training with reason inactive as other</v>
      </c>
      <c r="MT2" s="1" t="str">
        <f>IF(COUNTIFS(AllVarName!$B:$B,AllVar!MS1)&gt;1,INDEX(MultipleLkup!$D:$D,MATCH(AllVar!MS1,MultipleLkup!$B:$B,0)),IFERROR(INDEX(AllVarName!$C:$C,MATCH(AllVar!MS1,AllVarName!$B:$B,0)),"No match"))</f>
        <v>Lower bound percent reason inactive other</v>
      </c>
      <c r="MU2" s="1" t="str">
        <f>IF(COUNTIFS(AllVarName!$B:$B,AllVar!MT1)&gt;1,INDEX(MultipleLkup!$D:$D,MATCH(AllVar!MT1,MultipleLkup!$B:$B,0)),IFERROR(INDEX(AllVarName!$C:$C,MATCH(AllVar!MT1,AllVarName!$B:$B,0)),"No match"))</f>
        <v>Upper bound percent reason inactive other</v>
      </c>
      <c r="MV2" s="1" t="str">
        <f>IF(COUNTIFS(AllVarName!$B:$B,AllVar!MU1)&gt;1,INDEX(MultipleLkup!$D:$D,MATCH(AllVar!MU1,MultipleLkup!$B:$B,0)),IFERROR(INDEX(AllVarName!$C:$C,MATCH(AllVar!MU1,AllVarName!$B:$B,0)),"No match"))</f>
        <v>National Client Caseload Information System, not in education, employment or training/not known</v>
      </c>
      <c r="MW2" s="1" t="str">
        <f>IF(COUNTIFS(AllVarName!$B:$B,AllVar!MV1)&gt;1,INDEX(MultipleLkup!$D:$D,MATCH(AllVar!MV1,MultipleLkup!$B:$B,0)),IFERROR(INDEX(AllVarName!$C:$C,MATCH(AllVar!MV1,AllVarName!$B:$B,0)),"No match"))</f>
        <v>ONS, Labour Force Survey, not in education, employment or training seasonally adjusted</v>
      </c>
      <c r="MX2" s="1" t="str">
        <f>IF(COUNTIFS(AllVarName!$B:$B,AllVar!MW1)&gt;1,INDEX(MultipleLkup!$D:$D,MATCH(AllVar!MW1,MultipleLkup!$B:$B,0)),IFERROR(INDEX(AllVarName!$C:$C,MATCH(AllVar!MW1,AllVarName!$B:$B,0)),"No match"))</f>
        <v>Total not in employment, education or training, 'not in education or training' or Total population estimates</v>
      </c>
      <c r="MY2" s="1" t="str">
        <f>IF(COUNTIFS(AllVarName!$B:$B,AllVar!MX1)&gt;1,INDEX(MultipleLkup!$D:$D,MATCH(AllVar!MX1,MultipleLkup!$B:$B,0)),IFERROR(INDEX(AllVarName!$C:$C,MATCH(AllVar!MX1,AllVarName!$B:$B,0)),"No match"))</f>
        <v>health condition grouping</v>
      </c>
      <c r="MZ2" s="1" t="str">
        <f>IF(COUNTIFS(AllVarName!$B:$B,AllVar!MY1)&gt;1,INDEX(MultipleLkup!$D:$D,MATCH(AllVar!MY1,MultipleLkup!$B:$B,0)),IFERROR(INDEX(AllVarName!$C:$C,MATCH(AllVar!MY1,AllVarName!$B:$B,0)),"No match"))</f>
        <v>Main health condition reported by respondent</v>
      </c>
      <c r="NA2" s="1" t="str">
        <f>IF(COUNTIFS(AllVarName!$B:$B,AllVar!MZ1)&gt;1,INDEX(MultipleLkup!$D:$D,MATCH(AllVar!MZ1,MultipleLkup!$B:$B,0)),IFERROR(INDEX(AllVarName!$C:$C,MATCH(AllVar!MZ1,AllVarName!$B:$B,0)),"No match"))</f>
        <v>Sample Size</v>
      </c>
      <c r="NB2" s="1" t="str">
        <f>IF(COUNTIFS(AllVarName!$B:$B,AllVar!NA1)&gt;1,INDEX(MultipleLkup!$D:$D,MATCH(AllVar!NA1,MultipleLkup!$B:$B,0)),IFERROR(INDEX(AllVarName!$C:$C,MATCH(AllVar!NA1,AllVarName!$B:$B,0)),"No match"))</f>
        <v>Confidence interval (95%) for the number of 16-24 year olds</v>
      </c>
      <c r="NC2" s="1" t="str">
        <f>IF(COUNTIFS(AllVarName!$B:$B,AllVar!NB1)&gt;1,INDEX(MultipleLkup!$D:$D,MATCH(AllVar!NB1,MultipleLkup!$B:$B,0)),IFERROR(INDEX(AllVarName!$C:$C,MATCH(AllVar!NB1,AllVarName!$B:$B,0)),"No match"))</f>
        <v>Lower bound of confidence interval (95%) for the number of 16-24 year olds</v>
      </c>
      <c r="ND2" s="1" t="str">
        <f>IF(COUNTIFS(AllVarName!$B:$B,AllVar!NC1)&gt;1,INDEX(MultipleLkup!$D:$D,MATCH(AllVar!NC1,MultipleLkup!$B:$B,0)),IFERROR(INDEX(AllVarName!$C:$C,MATCH(AllVar!NC1,AllVarName!$B:$B,0)),"No match"))</f>
        <v>Upper bound of confidence interval (95%) for the number of 16-24 year olds</v>
      </c>
      <c r="NE2" s="1" t="str">
        <f>IF(COUNTIFS(AllVarName!$B:$B,AllVar!ND1)&gt;1,INDEX(MultipleLkup!$D:$D,MATCH(AllVar!ND1,MultipleLkup!$B:$B,0)),IFERROR(INDEX(AllVarName!$C:$C,MATCH(AllVar!ND1,AllVarName!$B:$B,0)),"No match"))</f>
        <v>Percentage of 16-24 year olds</v>
      </c>
      <c r="NF2" s="1" t="str">
        <f>IF(COUNTIFS(AllVarName!$B:$B,AllVar!NE1)&gt;1,INDEX(MultipleLkup!$D:$D,MATCH(AllVar!NE1,MultipleLkup!$B:$B,0)),IFERROR(INDEX(AllVarName!$C:$C,MATCH(AllVar!NE1,AllVarName!$B:$B,0)),"No match"))</f>
        <v>Confidence interval (95%) for the percentage of 16-24 year olds</v>
      </c>
      <c r="NG2" s="1" t="str">
        <f>IF(COUNTIFS(AllVarName!$B:$B,AllVar!NF1)&gt;1,INDEX(MultipleLkup!$D:$D,MATCH(AllVar!NF1,MultipleLkup!$B:$B,0)),IFERROR(INDEX(AllVarName!$C:$C,MATCH(AllVar!NF1,AllVarName!$B:$B,0)),"No match"))</f>
        <v>Lower bound of confidence interval (95%) for the percentage of 16-24 year olds</v>
      </c>
      <c r="NH2" s="1" t="str">
        <f>IF(COUNTIFS(AllVarName!$B:$B,AllVar!NG1)&gt;1,INDEX(MultipleLkup!$D:$D,MATCH(AllVar!NG1,MultipleLkup!$B:$B,0)),IFERROR(INDEX(AllVarName!$C:$C,MATCH(AllVar!NG1,AllVarName!$B:$B,0)),"No match"))</f>
        <v>Upper bound of confidence interval (95%) for the percentage of 16-24 year olds</v>
      </c>
      <c r="NI2" s="1" t="str">
        <f>IF(COUNTIFS(AllVarName!$B:$B,AllVar!NH1)&gt;1,INDEX(MultipleLkup!$D:$D,MATCH(AllVar!NH1,MultipleLkup!$B:$B,0)),IFERROR(INDEX(AllVarName!$C:$C,MATCH(AllVar!NH1,AllVarName!$B:$B,0)),"No match"))</f>
        <v>Percentage of not in education, employment or training 16-24 year olds</v>
      </c>
      <c r="NJ2" s="1" t="str">
        <f>IF(COUNTIFS(AllVarName!$B:$B,AllVar!NI1)&gt;1,INDEX(MultipleLkup!$D:$D,MATCH(AllVar!NI1,MultipleLkup!$B:$B,0)),IFERROR(INDEX(AllVarName!$C:$C,MATCH(AllVar!NI1,AllVarName!$B:$B,0)),"No match"))</f>
        <v>Data type</v>
      </c>
      <c r="NK2" s="1" t="str">
        <f>IF(COUNTIFS(AllVarName!$B:$B,AllVar!NJ1)&gt;1,INDEX(MultipleLkup!$D:$D,MATCH(AllVar!NJ1,MultipleLkup!$B:$B,0)),IFERROR(INDEX(AllVarName!$C:$C,MATCH(AllVar!NJ1,AllVarName!$B:$B,0)),"No match"))</f>
        <v>version</v>
      </c>
      <c r="NL2" s="1" t="str">
        <f>IF(COUNTIFS(AllVarName!$B:$B,AllVar!NK1)&gt;1,INDEX(MultipleLkup!$D:$D,MATCH(AllVar!NK1,MultipleLkup!$B:$B,0)),IFERROR(INDEX(AllVarName!$C:$C,MATCH(AllVar!NK1,AllVarName!$B:$B,0)),"No match"))</f>
        <v>Number of institutions (Destinations)</v>
      </c>
      <c r="NM2" s="1" t="str">
        <f>IF(COUNTIFS(AllVarName!$B:$B,AllVar!NL1)&gt;1,INDEX(MultipleLkup!$D:$D,MATCH(AllVar!NL1,MultipleLkup!$B:$B,0)),IFERROR(INDEX(AllVarName!$C:$C,MATCH(AllVar!NL1,AllVarName!$B:$B,0)),"No match"))</f>
        <v>Number of learners in sustained employment</v>
      </c>
      <c r="NN2" s="1" t="str">
        <f>IF(COUNTIFS(AllVarName!$B:$B,AllVar!NM1)&gt;1,INDEX(MultipleLkup!$D:$D,MATCH(AllVar!NM1,MultipleLkup!$B:$B,0)),IFERROR(INDEX(AllVarName!$C:$C,MATCH(AllVar!NM1,AllVarName!$B:$B,0)),"No match"))</f>
        <v>Sustained employment rate</v>
      </c>
      <c r="NO2" s="1" t="str">
        <f>IF(COUNTIFS(AllVarName!$B:$B,AllVar!NN1)&gt;1,INDEX(MultipleLkup!$D:$D,MATCH(AllVar!NN1,MultipleLkup!$B:$B,0)),IFERROR(INDEX(AllVarName!$C:$C,MATCH(AllVar!NN1,AllVarName!$B:$B,0)),"No match"))</f>
        <v>Sustained positive destination rate</v>
      </c>
      <c r="NP2" s="1" t="str">
        <f>IF(COUNTIFS(AllVarName!$B:$B,AllVar!NO1)&gt;1,INDEX(MultipleLkup!$D:$D,MATCH(AllVar!NO1,MultipleLkup!$B:$B,0)),IFERROR(INDEX(AllVarName!$C:$C,MATCH(AllVar!NO1,AllVarName!$B:$B,0)),"No match"))</f>
        <v>Overall Sustained education, employment and apprenticeships</v>
      </c>
      <c r="NQ2" s="1" t="str">
        <f>IF(COUNTIFS(AllVarName!$B:$B,AllVar!NP1)&gt;1,INDEX(MultipleLkup!$D:$D,MATCH(AllVar!NP1,MultipleLkup!$B:$B,0)),IFERROR(INDEX(AllVarName!$C:$C,MATCH(AllVar!NP1,AllVarName!$B:$B,0)),"No match"))</f>
        <v>Overall sustained destinations after one year</v>
      </c>
      <c r="NR2" s="1" t="str">
        <f>IF(COUNTIFS(AllVarName!$B:$B,AllVar!NQ1)&gt;1,INDEX(MultipleLkup!$D:$D,MATCH(AllVar!NQ1,MultipleLkup!$B:$B,0)),IFERROR(INDEX(AllVarName!$C:$C,MATCH(AllVar!NQ1,AllVarName!$B:$B,0)),"No match"))</f>
        <v>Overall sustained destinations after three years</v>
      </c>
      <c r="NS2" s="1" t="str">
        <f>IF(COUNTIFS(AllVarName!$B:$B,AllVar!NR1)&gt;1,INDEX(MultipleLkup!$D:$D,MATCH(AllVar!NR1,MultipleLkup!$B:$B,0)),IFERROR(INDEX(AllVarName!$C:$C,MATCH(AllVar!NR1,AllVarName!$B:$B,0)),"No match"))</f>
        <v>Overall sustained destinations after five years</v>
      </c>
      <c r="NT2" s="1" t="str">
        <f>IF(COUNTIFS(AllVarName!$B:$B,AllVar!NS1)&gt;1,INDEX(MultipleLkup!$D:$D,MATCH(AllVar!NS1,MultipleLkup!$B:$B,0)),IFERROR(INDEX(AllVarName!$C:$C,MATCH(AllVar!NS1,AllVarName!$B:$B,0)),"No match"))</f>
        <v>Sustained education destination</v>
      </c>
      <c r="NU2" s="1" t="str">
        <f>IF(COUNTIFS(AllVarName!$B:$B,AllVar!NT1)&gt;1,INDEX(MultipleLkup!$D:$D,MATCH(AllVar!NT1,MultipleLkup!$B:$B,0)),IFERROR(INDEX(AllVarName!$C:$C,MATCH(AllVar!NT1,AllVarName!$B:$B,0)),"No match"))</f>
        <v>Further education</v>
      </c>
      <c r="NV2" s="1" t="str">
        <f>IF(COUNTIFS(AllVarName!$B:$B,AllVar!NU1)&gt;1,INDEX(MultipleLkup!$D:$D,MATCH(AllVar!NU1,MultipleLkup!$B:$B,0)),IFERROR(INDEX(AllVarName!$C:$C,MATCH(AllVar!NU1,AllVarName!$B:$B,0)),"No match"))</f>
        <v>Level 3 (e.g. A level, Level 3 National Certificate, Level 3 National Diploma)</v>
      </c>
      <c r="NW2" s="1" t="str">
        <f>IF(COUNTIFS(AllVarName!$B:$B,AllVar!NV1)&gt;1,INDEX(MultipleLkup!$D:$D,MATCH(AllVar!NV1,MultipleLkup!$B:$B,0)),IFERROR(INDEX(AllVarName!$C:$C,MATCH(AllVar!NV1,AllVarName!$B:$B,0)),"No match"))</f>
        <v>Level 2 (e.g. GCSE 9 - 4/ A* - C, Level 2 National Certificate, Level 2 National Diploma)</v>
      </c>
      <c r="NX2" s="1" t="str">
        <f>IF(COUNTIFS(AllVarName!$B:$B,AllVar!NW1)&gt;1,INDEX(MultipleLkup!$D:$D,MATCH(AllVar!NW1,MultipleLkup!$B:$B,0)),IFERROR(INDEX(AllVarName!$C:$C,MATCH(AllVar!NW1,AllVarName!$B:$B,0)),"No match"))</f>
        <v>Further education entry level and no identified level</v>
      </c>
      <c r="NY2" s="1" t="str">
        <f>IF(COUNTIFS(AllVarName!$B:$B,AllVar!NX1)&gt;1,INDEX(MultipleLkup!$D:$D,MATCH(AllVar!NX1,MultipleLkup!$B:$B,0)),IFERROR(INDEX(AllVarName!$C:$C,MATCH(AllVar!NX1,AllVarName!$B:$B,0)),"No match"))</f>
        <v>Entry level or level 1 (e.g. Entry Level Certificate, Entry Level Diploma, Level 1 Certificate, Level 1 Diploma)</v>
      </c>
      <c r="NZ2" s="1" t="str">
        <f>IF(COUNTIFS(AllVarName!$B:$B,AllVar!NY1)&gt;1,INDEX(MultipleLkup!$D:$D,MATCH(AllVar!NY1,MultipleLkup!$B:$B,0)),IFERROR(INDEX(AllVarName!$C:$C,MATCH(AllVar!NY1,AllVarName!$B:$B,0)),"No match"))</f>
        <v>Sustained  further education rate</v>
      </c>
      <c r="OA2" s="1" t="str">
        <f>IF(COUNTIFS(AllVarName!$B:$B,AllVar!NZ1)&gt;1,INDEX(MultipleLkup!$D:$D,MATCH(AllVar!NZ1,MultipleLkup!$B:$B,0)),IFERROR(INDEX(AllVarName!$C:$C,MATCH(AllVar!NZ1,AllVarName!$B:$B,0)),"No match"))</f>
        <v>Below Level 2 Percent</v>
      </c>
      <c r="OB2" s="1" t="str">
        <f>IF(COUNTIFS(AllVarName!$B:$B,AllVar!OA1)&gt;1,INDEX(MultipleLkup!$D:$D,MATCH(AllVar!OA1,MultipleLkup!$B:$B,0)),IFERROR(INDEX(AllVarName!$C:$C,MATCH(AllVar!OA1,AllVarName!$B:$B,0)),"No match"))</f>
        <v>English and maths</v>
      </c>
      <c r="OC2" s="1" t="str">
        <f>IF(COUNTIFS(AllVarName!$B:$B,AllVar!OB1)&gt;1,INDEX(MultipleLkup!$D:$D,MATCH(AllVar!OB1,MultipleLkup!$B:$B,0)),IFERROR(INDEX(AllVarName!$C:$C,MATCH(AllVar!OB1,AllVarName!$B:$B,0)),"No match"))</f>
        <v>Level 2 Percent</v>
      </c>
      <c r="OD2" s="1" t="str">
        <f>IF(COUNTIFS(AllVarName!$B:$B,AllVar!OC1)&gt;1,INDEX(MultipleLkup!$D:$D,MATCH(AllVar!OC1,MultipleLkup!$B:$B,0)),IFERROR(INDEX(AllVarName!$C:$C,MATCH(AllVar!OC1,AllVarName!$B:$B,0)),"No match"))</f>
        <v>Full Level 2</v>
      </c>
      <c r="OE2" s="1" t="str">
        <f>IF(COUNTIFS(AllVarName!$B:$B,AllVar!OD1)&gt;1,INDEX(MultipleLkup!$D:$D,MATCH(AllVar!OD1,MultipleLkup!$B:$B,0)),IFERROR(INDEX(AllVarName!$C:$C,MATCH(AllVar!OD1,AllVarName!$B:$B,0)),"No match"))</f>
        <v>Level 3 Percent</v>
      </c>
      <c r="OF2" s="1" t="str">
        <f>IF(COUNTIFS(AllVarName!$B:$B,AllVar!OE1)&gt;1,INDEX(MultipleLkup!$D:$D,MATCH(AllVar!OE1,MultipleLkup!$B:$B,0)),IFERROR(INDEX(AllVarName!$C:$C,MATCH(AllVar!OE1,AllVarName!$B:$B,0)),"No match"))</f>
        <v>Full Level 3</v>
      </c>
      <c r="OG2" s="1" t="str">
        <f>IF(COUNTIFS(AllVarName!$B:$B,AllVar!OF1)&gt;1,INDEX(MultipleLkup!$D:$D,MATCH(AllVar!OF1,MultipleLkup!$B:$B,0)),IFERROR(INDEX(AllVarName!$C:$C,MATCH(AllVar!OF1,AllVarName!$B:$B,0)),"No match"))</f>
        <v>Level 4/5</v>
      </c>
      <c r="OH2" s="1" t="str">
        <f>IF(COUNTIFS(AllVarName!$B:$B,AllVar!OG1)&gt;1,INDEX(MultipleLkup!$D:$D,MATCH(AllVar!OG1,MultipleLkup!$B:$B,0)),IFERROR(INDEX(AllVarName!$C:$C,MATCH(AllVar!OG1,AllVarName!$B:$B,0)),"No match"))</f>
        <v>Not Assigned Percent</v>
      </c>
      <c r="OI2" s="1" t="str">
        <f>IF(COUNTIFS(AllVarName!$B:$B,AllVar!OH1)&gt;1,INDEX(MultipleLkup!$D:$D,MATCH(AllVar!OH1,MultipleLkup!$B:$B,0)),IFERROR(INDEX(AllVarName!$C:$C,MATCH(AllVar!OH1,AllVarName!$B:$B,0)),"No match"))</f>
        <v>School sixth form</v>
      </c>
      <c r="OJ2" s="1" t="str">
        <f>IF(COUNTIFS(AllVarName!$B:$B,AllVar!OI1)&gt;1,INDEX(MultipleLkup!$D:$D,MATCH(AllVar!OI1,MultipleLkup!$B:$B,0)),IFERROR(INDEX(AllVarName!$C:$C,MATCH(AllVar!OI1,AllVarName!$B:$B,0)),"No match"))</f>
        <v>Sixth form college</v>
      </c>
      <c r="OK2" s="1" t="str">
        <f>IF(COUNTIFS(AllVarName!$B:$B,AllVar!OJ1)&gt;1,INDEX(MultipleLkup!$D:$D,MATCH(AllVar!OJ1,MultipleLkup!$B:$B,0)),IFERROR(INDEX(AllVarName!$C:$C,MATCH(AllVar!OJ1,AllVarName!$B:$B,0)),"No match"))</f>
        <v>School sixth form &amp; Sixth form college</v>
      </c>
      <c r="OL2" s="1" t="str">
        <f>IF(COUNTIFS(AllVarName!$B:$B,AllVar!OK1)&gt;1,INDEX(MultipleLkup!$D:$D,MATCH(AllVar!OK1,MultipleLkup!$B:$B,0)),IFERROR(INDEX(AllVarName!$C:$C,MATCH(AllVar!OK1,AllVarName!$B:$B,0)),"No match"))</f>
        <v>Other education destination</v>
      </c>
      <c r="OM2" s="1" t="str">
        <f>IF(COUNTIFS(AllVarName!$B:$B,AllVar!OL1)&gt;1,INDEX(MultipleLkup!$D:$D,MATCH(AllVar!OL1,MultipleLkup!$B:$B,0)),IFERROR(INDEX(AllVarName!$C:$C,MATCH(AllVar!OL1,AllVarName!$B:$B,0)),"No match"))</f>
        <v>Independent schools</v>
      </c>
      <c r="ON2" s="1" t="str">
        <f>IF(COUNTIFS(AllVarName!$B:$B,AllVar!OM1)&gt;1,INDEX(MultipleLkup!$D:$D,MATCH(AllVar!OM1,MultipleLkup!$B:$B,0)),IFERROR(INDEX(AllVarName!$C:$C,MATCH(AllVar!OM1,AllVarName!$B:$B,0)),"No match"))</f>
        <v>Alternative provision</v>
      </c>
      <c r="OO2" s="1" t="str">
        <f>IF(COUNTIFS(AllVarName!$B:$B,AllVar!ON1)&gt;1,INDEX(MultipleLkup!$D:$D,MATCH(AllVar!ON1,MultipleLkup!$B:$B,0)),IFERROR(INDEX(AllVarName!$C:$C,MATCH(AllVar!ON1,AllVarName!$B:$B,0)),"No match"))</f>
        <v>Special school</v>
      </c>
      <c r="OP2" s="1" t="str">
        <f>IF(COUNTIFS(AllVarName!$B:$B,AllVar!OO1)&gt;1,INDEX(MultipleLkup!$D:$D,MATCH(AllVar!OO1,MultipleLkup!$B:$B,0)),IFERROR(INDEX(AllVarName!$C:$C,MATCH(AllVar!OO1,AllVarName!$B:$B,0)),"No match"))</f>
        <v>Specialist provision</v>
      </c>
      <c r="OQ2" s="1" t="str">
        <f>IF(COUNTIFS(AllVarName!$B:$B,AllVar!OP1)&gt;1,INDEX(MultipleLkup!$D:$D,MATCH(AllVar!OP1,MultipleLkup!$B:$B,0)),IFERROR(INDEX(AllVarName!$C:$C,MATCH(AllVar!OP1,AllVarName!$B:$B,0)),"No match"))</f>
        <v>Specialist post-16 institution</v>
      </c>
      <c r="OR2" s="1" t="str">
        <f>IF(COUNTIFS(AllVarName!$B:$B,AllVar!OQ1)&gt;1,INDEX(MultipleLkup!$D:$D,MATCH(AllVar!OQ1,MultipleLkup!$B:$B,0)),IFERROR(INDEX(AllVarName!$C:$C,MATCH(AllVar!OQ1,AllVarName!$B:$B,0)),"No match"))</f>
        <v>Sustained education combination destination</v>
      </c>
      <c r="OS2" s="1" t="str">
        <f>IF(COUNTIFS(AllVarName!$B:$B,AllVar!OR1)&gt;1,INDEX(MultipleLkup!$D:$D,MATCH(AllVar!OR1,MultipleLkup!$B:$B,0)),IFERROR(INDEX(AllVarName!$C:$C,MATCH(AllVar!OR1,AllVarName!$B:$B,0)),"No match"))</f>
        <v>UK higher education institution</v>
      </c>
      <c r="OT2" s="1" t="str">
        <f>IF(COUNTIFS(AllVarName!$B:$B,AllVar!OS1)&gt;1,INDEX(MultipleLkup!$D:$D,MATCH(AllVar!OS1,MultipleLkup!$B:$B,0)),IFERROR(INDEX(AllVarName!$C:$C,MATCH(AllVar!OS1,AllVarName!$B:$B,0)),"No match"))</f>
        <v>Type of higher level learning</v>
      </c>
      <c r="OU2" s="1" t="str">
        <f>IF(COUNTIFS(AllVarName!$B:$B,AllVar!OT1)&gt;1,INDEX(MultipleLkup!$D:$D,MATCH(AllVar!OT1,MultipleLkup!$B:$B,0)),IFERROR(INDEX(AllVarName!$C:$C,MATCH(AllVar!OT1,AllVarName!$B:$B,0)),"No match"))</f>
        <v>Level 4 (e.g. Higher National Certificates)</v>
      </c>
      <c r="OV2" s="1" t="str">
        <f>IF(COUNTIFS(AllVarName!$B:$B,AllVar!OU1)&gt;1,INDEX(MultipleLkup!$D:$D,MATCH(AllVar!OU1,MultipleLkup!$B:$B,0)),IFERROR(INDEX(AllVarName!$C:$C,MATCH(AllVar!OU1,AllVarName!$B:$B,0)),"No match"))</f>
        <v>Level 5 (e.g. Foundation degree and Higher National Diploma)</v>
      </c>
      <c r="OW2" s="1" t="str">
        <f>IF(COUNTIFS(AllVarName!$B:$B,AllVar!OV1)&gt;1,INDEX(MultipleLkup!$D:$D,MATCH(AllVar!OV1,MultipleLkup!$B:$B,0)),IFERROR(INDEX(AllVarName!$C:$C,MATCH(AllVar!OV1,AllVarName!$B:$B,0)),"No match"))</f>
        <v>Level 6 (e.g. Degree with/without honours)</v>
      </c>
      <c r="OX2" s="1" t="str">
        <f>IF(COUNTIFS(AllVarName!$B:$B,AllVar!OW1)&gt;1,INDEX(MultipleLkup!$D:$D,MATCH(AllVar!OW1,MultipleLkup!$B:$B,0)),IFERROR(INDEX(AllVarName!$C:$C,MATCH(AllVar!OW1,AllVarName!$B:$B,0)),"No match"))</f>
        <v>Sustained higher education rate (Level 6+)</v>
      </c>
      <c r="OY2" s="1" t="str">
        <f>IF(COUNTIFS(AllVarName!$B:$B,AllVar!OX1)&gt;1,INDEX(MultipleLkup!$D:$D,MATCH(AllVar!OX1,MultipleLkup!$B:$B,0)),IFERROR(INDEX(AllVarName!$C:$C,MATCH(AllVar!OX1,AllVarName!$B:$B,0)),"No match"))</f>
        <v>Access to Higher Education</v>
      </c>
      <c r="OZ2" s="1" t="str">
        <f>IF(COUNTIFS(AllVarName!$B:$B,AllVar!OY1)&gt;1,INDEX(MultipleLkup!$D:$D,MATCH(AllVar!OY1,MultipleLkup!$B:$B,0)),IFERROR(INDEX(AllVarName!$C:$C,MATCH(AllVar!OY1,AllVarName!$B:$B,0)),"No match"))</f>
        <v>Sustained apprenticeship rate</v>
      </c>
      <c r="PA2" s="1" t="str">
        <f>IF(COUNTIFS(AllVarName!$B:$B,AllVar!OZ1)&gt;1,INDEX(MultipleLkup!$D:$D,MATCH(AllVar!OZ1,MultipleLkup!$B:$B,0)),IFERROR(INDEX(AllVarName!$C:$C,MATCH(AllVar!OZ1,AllVarName!$B:$B,0)),"No match"))</f>
        <v>Apprenticeship type</v>
      </c>
      <c r="PB2" s="1" t="str">
        <f>IF(COUNTIFS(AllVarName!$B:$B,AllVar!PA1)&gt;1,INDEX(MultipleLkup!$D:$D,MATCH(AllVar!PA1,MultipleLkup!$B:$B,0)),IFERROR(INDEX(AllVarName!$C:$C,MATCH(AllVar!PA1,AllVarName!$B:$B,0)),"No match"))</f>
        <v>Sustained apprenticeships</v>
      </c>
      <c r="PC2" s="1" t="str">
        <f>IF(COUNTIFS(AllVarName!$B:$B,AllVar!PB1)&gt;1,INDEX(MultipleLkup!$D:$D,MATCH(AllVar!PB1,MultipleLkup!$B:$B,0)),IFERROR(INDEX(AllVarName!$C:$C,MATCH(AllVar!PB1,AllVarName!$B:$B,0)),"No match"))</f>
        <v>Higher and degree apprenticeships (level 4 and above)</v>
      </c>
      <c r="PD2" s="1" t="str">
        <f>IF(COUNTIFS(AllVarName!$B:$B,AllVar!PC1)&gt;1,INDEX(MultipleLkup!$D:$D,MATCH(AllVar!PC1,MultipleLkup!$B:$B,0)),IFERROR(INDEX(AllVarName!$C:$C,MATCH(AllVar!PC1,AllVarName!$B:$B,0)),"No match"))</f>
        <v>Apprenticeship level 3</v>
      </c>
      <c r="PE2" s="1" t="str">
        <f>IF(COUNTIFS(AllVarName!$B:$B,AllVar!PD1)&gt;1,INDEX(MultipleLkup!$D:$D,MATCH(AllVar!PD1,MultipleLkup!$B:$B,0)),IFERROR(INDEX(AllVarName!$C:$C,MATCH(AllVar!PD1,AllVarName!$B:$B,0)),"No match"))</f>
        <v>Intermediate apprenticeships (level 2)</v>
      </c>
      <c r="PF2" s="1" t="str">
        <f>IF(COUNTIFS(AllVarName!$B:$B,AllVar!PE1)&gt;1,INDEX(MultipleLkup!$D:$D,MATCH(AllVar!PE1,MultipleLkup!$B:$B,0)),IFERROR(INDEX(AllVarName!$C:$C,MATCH(AllVar!PE1,AllVarName!$B:$B,0)),"No match"))</f>
        <v>Apprenticeship Intermediate Percent</v>
      </c>
      <c r="PG2" s="1" t="str">
        <f>IF(COUNTIFS(AllVarName!$B:$B,AllVar!PF1)&gt;1,INDEX(MultipleLkup!$D:$D,MATCH(AllVar!PF1,MultipleLkup!$B:$B,0)),IFERROR(INDEX(AllVarName!$C:$C,MATCH(AllVar!PF1,AllVarName!$B:$B,0)),"No match"))</f>
        <v>Apprenticeship Advanced Percent</v>
      </c>
      <c r="PH2" s="1" t="str">
        <f>IF(COUNTIFS(AllVarName!$B:$B,AllVar!PG1)&gt;1,INDEX(MultipleLkup!$D:$D,MATCH(AllVar!PG1,MultipleLkup!$B:$B,0)),IFERROR(INDEX(AllVarName!$C:$C,MATCH(AllVar!PG1,AllVarName!$B:$B,0)),"No match"))</f>
        <v>Apprenticeship Higher Percent</v>
      </c>
      <c r="PI2" s="1" t="str">
        <f>IF(COUNTIFS(AllVarName!$B:$B,AllVar!PH1)&gt;1,INDEX(MultipleLkup!$D:$D,MATCH(AllVar!PH1,MultipleLkup!$B:$B,0)),IFERROR(INDEX(AllVarName!$C:$C,MATCH(AllVar!PH1,AllVarName!$B:$B,0)),"No match"))</f>
        <v>Advanced apprenticeship (Level 3 or above)</v>
      </c>
      <c r="PJ2" s="1" t="str">
        <f>IF(COUNTIFS(AllVarName!$B:$B,AllVar!PI1)&gt;1,INDEX(MultipleLkup!$D:$D,MATCH(AllVar!PI1,MultipleLkup!$B:$B,0)),IFERROR(INDEX(AllVarName!$C:$C,MATCH(AllVar!PI1,AllVarName!$B:$B,0)),"No match"))</f>
        <v>Any learning rate</v>
      </c>
      <c r="PK2" s="1" t="str">
        <f>IF(COUNTIFS(AllVarName!$B:$B,AllVar!PJ1)&gt;1,INDEX(MultipleLkup!$D:$D,MATCH(AllVar!PJ1,MultipleLkup!$B:$B,0)),IFERROR(INDEX(AllVarName!$C:$C,MATCH(AllVar!PJ1,AllVarName!$B:$B,0)),"No match"))</f>
        <v>Sustained progression from achieved aim</v>
      </c>
      <c r="PL2" s="1" t="str">
        <f>IF(COUNTIFS(AllVarName!$B:$B,AllVar!PK1)&gt;1,INDEX(MultipleLkup!$D:$D,MATCH(AllVar!PK1,MultipleLkup!$B:$B,0)),IFERROR(INDEX(AllVarName!$C:$C,MATCH(AllVar!PK1,AllVarName!$B:$B,0)),"No match"))</f>
        <v>Progression for learner overall</v>
      </c>
      <c r="PM2" s="1" t="str">
        <f>IF(COUNTIFS(AllVarName!$B:$B,AllVar!PL1)&gt;1,INDEX(MultipleLkup!$D:$D,MATCH(AllVar!PL1,MultipleLkup!$B:$B,0)),IFERROR(INDEX(AllVarName!$C:$C,MATCH(AllVar!PL1,AllVarName!$B:$B,0)),"No match"))</f>
        <v>Destination not sustained</v>
      </c>
      <c r="PN2" s="1" t="str">
        <f>IF(COUNTIFS(AllVarName!$B:$B,AllVar!PM1)&gt;1,INDEX(MultipleLkup!$D:$D,MATCH(AllVar!PM1,MultipleLkup!$B:$B,0)),IFERROR(INDEX(AllVarName!$C:$C,MATCH(AllVar!PM1,AllVarName!$B:$B,0)),"No match"))</f>
        <v>Destination not sustained and not on benefits</v>
      </c>
      <c r="PO2" s="1" t="str">
        <f>IF(COUNTIFS(AllVarName!$B:$B,AllVar!PN1)&gt;1,INDEX(MultipleLkup!$D:$D,MATCH(AllVar!PN1,MultipleLkup!$B:$B,0)),IFERROR(INDEX(AllVarName!$C:$C,MATCH(AllVar!PN1,AllVarName!$B:$B,0)),"No match"))</f>
        <v>Destination not sustained and in receipt of benefits</v>
      </c>
      <c r="PP2" s="1" t="str">
        <f>IF(COUNTIFS(AllVarName!$B:$B,AllVar!PO1)&gt;1,INDEX(MultipleLkup!$D:$D,MATCH(AllVar!PO1,MultipleLkup!$B:$B,0)),IFERROR(INDEX(AllVarName!$C:$C,MATCH(AllVar!PO1,AllVarName!$B:$B,0)),"No match"))</f>
        <v>In receipt of benefits only</v>
      </c>
      <c r="PQ2" s="1" t="str">
        <f>IF(COUNTIFS(AllVarName!$B:$B,AllVar!PP1)&gt;1,INDEX(MultipleLkup!$D:$D,MATCH(AllVar!PP1,MultipleLkup!$B:$B,0)),IFERROR(INDEX(AllVarName!$C:$C,MATCH(AllVar!PP1,AllVarName!$B:$B,0)),"No match"))</f>
        <v>No activity captured in data</v>
      </c>
      <c r="PR2" s="1" t="str">
        <f>IF(COUNTIFS(AllVarName!$B:$B,AllVar!PQ1)&gt;1,INDEX(MultipleLkup!$D:$D,MATCH(AllVar!PQ1,MultipleLkup!$B:$B,0)),IFERROR(INDEX(AllVarName!$C:$C,MATCH(AllVar!PQ1,AllVarName!$B:$B,0)),"No match"))</f>
        <v>Learners with earnings one year after study</v>
      </c>
      <c r="PS2" s="1" t="str">
        <f>IF(COUNTIFS(AllVarName!$B:$B,AllVar!PR1)&gt;1,INDEX(MultipleLkup!$D:$D,MATCH(AllVar!PR1,MultipleLkup!$B:$B,0)),IFERROR(INDEX(AllVarName!$C:$C,MATCH(AllVar!PR1,AllVarName!$B:$B,0)),"No match"))</f>
        <v>Lower quartile annualised earnings</v>
      </c>
      <c r="PT2" s="1" t="str">
        <f>IF(COUNTIFS(AllVarName!$B:$B,AllVar!PS1)&gt;1,INDEX(MultipleLkup!$D:$D,MATCH(AllVar!PS1,MultipleLkup!$B:$B,0)),IFERROR(INDEX(AllVarName!$C:$C,MATCH(AllVar!PS1,AllVarName!$B:$B,0)),"No match"))</f>
        <v>Median annualised earnings</v>
      </c>
      <c r="PU2" s="1" t="str">
        <f>IF(COUNTIFS(AllVarName!$B:$B,AllVar!PT1)&gt;1,INDEX(MultipleLkup!$D:$D,MATCH(AllVar!PT1,MultipleLkup!$B:$B,0)),IFERROR(INDEX(AllVarName!$C:$C,MATCH(AllVar!PT1,AllVarName!$B:$B,0)),"No match"))</f>
        <v>Upper quartile annualised earnings</v>
      </c>
      <c r="PV2" s="1" t="str">
        <f>IF(COUNTIFS(AllVarName!$B:$B,AllVar!PU1)&gt;1,INDEX(MultipleLkup!$D:$D,MATCH(AllVar!PU1,MultipleLkup!$B:$B,0)),IFERROR(INDEX(AllVarName!$C:$C,MATCH(AllVar!PU1,AllVarName!$B:$B,0)),"No match"))</f>
        <v>Sustained employment destination</v>
      </c>
      <c r="PW2" s="1" t="str">
        <f>IF(COUNTIFS(AllVarName!$B:$B,AllVar!PV1)&gt;1,INDEX(MultipleLkup!$D:$D,MATCH(AllVar!PV1,MultipleLkup!$B:$B,0)),IFERROR(INDEX(AllVarName!$C:$C,MATCH(AllVar!PV1,AllVarName!$B:$B,0)),"No match"))</f>
        <v>Not recorded as a sustained destination</v>
      </c>
      <c r="PX2" s="1" t="str">
        <f>IF(COUNTIFS(AllVarName!$B:$B,AllVar!PW1)&gt;1,INDEX(MultipleLkup!$D:$D,MATCH(AllVar!PW1,MultipleLkup!$B:$B,0)),IFERROR(INDEX(AllVarName!$C:$C,MATCH(AllVar!PW1,AllVarName!$B:$B,0)),"No match"))</f>
        <v>Education or employment not sustained</v>
      </c>
      <c r="PY2" s="1" t="str">
        <f>IF(COUNTIFS(AllVarName!$B:$B,AllVar!PX1)&gt;1,INDEX(MultipleLkup!$D:$D,MATCH(AllVar!PX1,MultipleLkup!$B:$B,0)),IFERROR(INDEX(AllVarName!$C:$C,MATCH(AllVar!PX1,AllVarName!$B:$B,0)),"No match"))</f>
        <v>Education or employment not sustained and known to be not in education, employment or training</v>
      </c>
      <c r="PZ2" s="1" t="str">
        <f>IF(COUNTIFS(AllVarName!$B:$B,AllVar!PY1)&gt;1,INDEX(MultipleLkup!$D:$D,MATCH(AllVar!PY1,MultipleLkup!$B:$B,0)),IFERROR(INDEX(AllVarName!$C:$C,MATCH(AllVar!PY1,AllVarName!$B:$B,0)),"No match"))</f>
        <v>No participation and known to be not in education, employment or training</v>
      </c>
      <c r="QA2" s="1" t="str">
        <f>IF(COUNTIFS(AllVarName!$B:$B,AllVar!PZ1)&gt;1,INDEX(MultipleLkup!$D:$D,MATCH(AllVar!PZ1,MultipleLkup!$B:$B,0)),IFERROR(INDEX(AllVarName!$C:$C,MATCH(AllVar!PZ1,AllVarName!$B:$B,0)),"No match"))</f>
        <v>Activity not captured (Destinations)</v>
      </c>
      <c r="QB2" s="1" t="str">
        <f>IF(COUNTIFS(AllVarName!$B:$B,AllVar!QA1)&gt;1,INDEX(MultipleLkup!$D:$D,MATCH(AllVar!QA1,MultipleLkup!$B:$B,0)),IFERROR(INDEX(AllVarName!$C:$C,MATCH(AllVar!QA1,AllVarName!$B:$B,0)),"No match"))</f>
        <v>Identified as DWP/HMRC customer</v>
      </c>
      <c r="QC2" s="1" t="str">
        <f>IF(COUNTIFS(AllVarName!$B:$B,AllVar!QB1)&gt;1,INDEX(MultipleLkup!$D:$D,MATCH(AllVar!QB1,MultipleLkup!$B:$B,0)),IFERROR(INDEX(AllVarName!$C:$C,MATCH(AllVar!QB1,AllVarName!$B:$B,0)),"No match"))</f>
        <v>Not identified in any data</v>
      </c>
      <c r="QD2" s="1" t="str">
        <f>IF(COUNTIFS(AllVarName!$B:$B,AllVar!QC1)&gt;1,INDEX(MultipleLkup!$D:$D,MATCH(AllVar!QC1,MultipleLkup!$B:$B,0)),IFERROR(INDEX(AllVarName!$C:$C,MATCH(AllVar!QC1,AllVarName!$B:$B,0)),"No match"))</f>
        <v>Level based on Local Education Authority area or provider location</v>
      </c>
      <c r="QE2" s="1" t="str">
        <f>IF(COUNTIFS(AllVarName!$B:$B,AllVar!QD1)&gt;1,INDEX(MultipleLkup!$D:$D,MATCH(AllVar!QD1,MultipleLkup!$B:$B,0)),IFERROR(INDEX(AllVarName!$C:$C,MATCH(AllVar!QD1,AllVarName!$B:$B,0)),"No match"))</f>
        <v>Non-designated provision</v>
      </c>
      <c r="QF2" s="1" t="str">
        <f>IF(COUNTIFS(AllVarName!$B:$B,AllVar!QE1)&gt;1,INDEX(MultipleLkup!$D:$D,MATCH(AllVar!QE1,MultipleLkup!$B:$B,0)),IFERROR(INDEX(AllVarName!$C:$C,MATCH(AllVar!QE1,AllVarName!$B:$B,0)),"No match"))</f>
        <v>Sustained a level 4 or higher destination</v>
      </c>
      <c r="QG2" s="1" t="str">
        <f>IF(COUNTIFS(AllVarName!$B:$B,AllVar!QF1)&gt;1,INDEX(MultipleLkup!$D:$D,MATCH(AllVar!QF1,MultipleLkup!$B:$B,0)),IFERROR(INDEX(AllVarName!$C:$C,MATCH(AllVar!QF1,AllVarName!$B:$B,0)),"No match"))</f>
        <v>National comparator</v>
      </c>
      <c r="QH2" s="1" t="str">
        <f>IF(COUNTIFS(AllVarName!$B:$B,AllVar!QG1)&gt;1,INDEX(MultipleLkup!$D:$D,MATCH(AllVar!QG1,MultipleLkup!$B:$B,0)),IFERROR(INDEX(AllVarName!$C:$C,MATCH(AllVar!QG1,AllVarName!$B:$B,0)),"No match"))</f>
        <v>Progression score</v>
      </c>
      <c r="QI2" s="1" t="str">
        <f>IF(COUNTIFS(AllVarName!$B:$B,AllVar!QH1)&gt;1,INDEX(MultipleLkup!$D:$D,MATCH(AllVar!QH1,MultipleLkup!$B:$B,0)),IFERROR(INDEX(AllVarName!$C:$C,MATCH(AllVar!QH1,AllVarName!$B:$B,0)),"No match"))</f>
        <v>Sustained degree destination</v>
      </c>
      <c r="QJ2" s="1" t="str">
        <f>IF(COUNTIFS(AllVarName!$B:$B,AllVar!QI1)&gt;1,INDEX(MultipleLkup!$D:$D,MATCH(AllVar!QI1,MultipleLkup!$B:$B,0)),IFERROR(INDEX(AllVarName!$C:$C,MATCH(AllVar!QI1,AllVarName!$B:$B,0)),"No match"))</f>
        <v>Degree class - Select the Degree Class you are interested in</v>
      </c>
      <c r="QK2" s="1" t="str">
        <f>IF(COUNTIFS(AllVarName!$B:$B,AllVar!QJ1)&gt;1,INDEX(MultipleLkup!$D:$D,MATCH(AllVar!QJ1,MultipleLkup!$B:$B,0)),IFERROR(INDEX(AllVarName!$C:$C,MATCH(AllVar!QJ1,AllVarName!$B:$B,0)),"No match"))</f>
        <v>Top third higher education destination</v>
      </c>
      <c r="QL2" s="1" t="str">
        <f>IF(COUNTIFS(AllVarName!$B:$B,AllVar!QK1)&gt;1,INDEX(MultipleLkup!$D:$D,MATCH(AllVar!QK1,MultipleLkup!$B:$B,0)),IFERROR(INDEX(AllVarName!$C:$C,MATCH(AllVar!QK1,AllVarName!$B:$B,0)),"No match"))</f>
        <v>Oxford or Cambridge</v>
      </c>
      <c r="QM2" s="1" t="str">
        <f>IF(COUNTIFS(AllVarName!$B:$B,AllVar!QL1)&gt;1,INDEX(MultipleLkup!$D:$D,MATCH(AllVar!QL1,MultipleLkup!$B:$B,0)),IFERROR(INDEX(AllVarName!$C:$C,MATCH(AllVar!QL1,AllVarName!$B:$B,0)),"No match"))</f>
        <v>Russell group institution</v>
      </c>
      <c r="QN2" s="1" t="str">
        <f>IF(COUNTIFS(AllVarName!$B:$B,AllVar!QM1)&gt;1,INDEX(MultipleLkup!$D:$D,MATCH(AllVar!QM1,MultipleLkup!$B:$B,0)),IFERROR(INDEX(AllVarName!$C:$C,MATCH(AllVar!QM1,AllVarName!$B:$B,0)),"No match"))</f>
        <v>Sustained apprenticeship destination</v>
      </c>
      <c r="QO2" s="1" t="str">
        <f>IF(COUNTIFS(AllVarName!$B:$B,AllVar!QN1)&gt;1,INDEX(MultipleLkup!$D:$D,MATCH(AllVar!QN1,MultipleLkup!$B:$B,0)),IFERROR(INDEX(AllVarName!$C:$C,MATCH(AllVar!QN1,AllVarName!$B:$B,0)),"No match"))</f>
        <v>Sustained level 4 or 5 destination</v>
      </c>
      <c r="QP2" s="1" t="str">
        <f>IF(COUNTIFS(AllVarName!$B:$B,AllVar!QO1)&gt;1,INDEX(MultipleLkup!$D:$D,MATCH(AllVar!QO1,MultipleLkup!$B:$B,0)),IFERROR(INDEX(AllVarName!$C:$C,MATCH(AllVar!QO1,AllVarName!$B:$B,0)),"No match"))</f>
        <v>Number of pupils studying academic or applied general qualifications</v>
      </c>
      <c r="QQ2" s="1" t="str">
        <f>IF(COUNTIFS(AllVarName!$B:$B,AllVar!QP1)&gt;1,INDEX(MultipleLkup!$D:$D,MATCH(AllVar!QP1,MultipleLkup!$B:$B,0)),IFERROR(INDEX(AllVarName!$C:$C,MATCH(AllVar!QP1,AllVarName!$B:$B,0)),"No match"))</f>
        <v>Academic/Applied general qualifications students who sustained L4+ destination</v>
      </c>
      <c r="QR2" s="1" t="str">
        <f>IF(COUNTIFS(AllVarName!$B:$B,AllVar!QQ1)&gt;1,INDEX(MultipleLkup!$D:$D,MATCH(AllVar!QQ1,MultipleLkup!$B:$B,0)),IFERROR(INDEX(AllVarName!$C:$C,MATCH(AllVar!QQ1,AllVarName!$B:$B,0)),"No match"))</f>
        <v>Academic/AGQ national comparator</v>
      </c>
      <c r="QS2" s="1" t="str">
        <f>IF(COUNTIFS(AllVarName!$B:$B,AllVar!QR1)&gt;1,INDEX(MultipleLkup!$D:$D,MATCH(AllVar!QR1,MultipleLkup!$B:$B,0)),IFERROR(INDEX(AllVarName!$C:$C,MATCH(AllVar!QR1,AllVarName!$B:$B,0)),"No match"))</f>
        <v>Academic/Applied general qualifications progression score</v>
      </c>
      <c r="QT2" s="1" t="str">
        <f>IF(COUNTIFS(AllVarName!$B:$B,AllVar!QS1)&gt;1,INDEX(MultipleLkup!$D:$D,MATCH(AllVar!QS1,MultipleLkup!$B:$B,0)),IFERROR(INDEX(AllVarName!$C:$C,MATCH(AllVar!QS1,AllVarName!$B:$B,0)),"No match"))</f>
        <v>Number of pupils studying tech levels</v>
      </c>
      <c r="QU2" s="1" t="str">
        <f>IF(COUNTIFS(AllVarName!$B:$B,AllVar!QT1)&gt;1,INDEX(MultipleLkup!$D:$D,MATCH(AllVar!QT1,MultipleLkup!$B:$B,0)),IFERROR(INDEX(AllVarName!$C:$C,MATCH(AllVar!QT1,AllVarName!$B:$B,0)),"No match"))</f>
        <v>Tech level students who sustained L4+ destination</v>
      </c>
      <c r="QV2" s="1" t="str">
        <f>IF(COUNTIFS(AllVarName!$B:$B,AllVar!QU1)&gt;1,INDEX(MultipleLkup!$D:$D,MATCH(AllVar!QU1,MultipleLkup!$B:$B,0)),IFERROR(INDEX(AllVarName!$C:$C,MATCH(AllVar!QU1,AllVarName!$B:$B,0)),"No match"))</f>
        <v>Tech level national comparator</v>
      </c>
      <c r="QW2" s="1" t="str">
        <f>IF(COUNTIFS(AllVarName!$B:$B,AllVar!QV1)&gt;1,INDEX(MultipleLkup!$D:$D,MATCH(AllVar!QV1,MultipleLkup!$B:$B,0)),IFERROR(INDEX(AllVarName!$C:$C,MATCH(AllVar!QV1,AllVarName!$B:$B,0)),"No match"))</f>
        <v>Tech level progression score</v>
      </c>
      <c r="QX2" s="1" t="str">
        <f>IF(COUNTIFS(AllVarName!$B:$B,AllVar!QW1)&gt;1,INDEX(MultipleLkup!$D:$D,MATCH(AllVar!QW1,MultipleLkup!$B:$B,0)),IFERROR(INDEX(AllVarName!$C:$C,MATCH(AllVar!QW1,AllVarName!$B:$B,0)),"No match"))</f>
        <v>Number of pupils studying other level 3 qualifications</v>
      </c>
      <c r="QY2" s="1" t="str">
        <f>IF(COUNTIFS(AllVarName!$B:$B,AllVar!QX1)&gt;1,INDEX(MultipleLkup!$D:$D,MATCH(AllVar!QX1,MultipleLkup!$B:$B,0)),IFERROR(INDEX(AllVarName!$C:$C,MATCH(AllVar!QX1,AllVarName!$B:$B,0)),"No match"))</f>
        <v>Other level 3 students who sustained L4+ destination</v>
      </c>
      <c r="QZ2" s="1" t="str">
        <f>IF(COUNTIFS(AllVarName!$B:$B,AllVar!QY1)&gt;1,INDEX(MultipleLkup!$D:$D,MATCH(AllVar!QY1,MultipleLkup!$B:$B,0)),IFERROR(INDEX(AllVarName!$C:$C,MATCH(AllVar!QY1,AllVarName!$B:$B,0)),"No match"))</f>
        <v>Other level 3 national comparator</v>
      </c>
      <c r="RA2" s="1" t="str">
        <f>IF(COUNTIFS(AllVarName!$B:$B,AllVar!QZ1)&gt;1,INDEX(MultipleLkup!$D:$D,MATCH(AllVar!QZ1,MultipleLkup!$B:$B,0)),IFERROR(INDEX(AllVarName!$C:$C,MATCH(AllVar!QZ1,AllVarName!$B:$B,0)),"No match"))</f>
        <v>Other level 3 progression score</v>
      </c>
      <c r="RB2" s="1" t="str">
        <f>IF(COUNTIFS(AllVarName!$B:$B,AllVar!RA1)&gt;1,INDEX(MultipleLkup!$D:$D,MATCH(AllVar!RA1,MultipleLkup!$B:$B,0)),IFERROR(INDEX(AllVarName!$C:$C,MATCH(AllVar!RA1,AllVarName!$B:$B,0)),"No match"))</f>
        <v>School URN</v>
      </c>
      <c r="RC2" s="1" t="str">
        <f>IF(COUNTIFS(AllVarName!$B:$B,AllVar!RB1)&gt;1,INDEX(MultipleLkup!$D:$D,MATCH(AllVar!RB1,MultipleLkup!$B:$B,0)),IFERROR(INDEX(AllVarName!$C:$C,MATCH(AllVar!RB1,AllVarName!$B:$B,0)),"No match"))</f>
        <v>School LAESTAB</v>
      </c>
      <c r="RD2" s="1" t="str">
        <f>IF(COUNTIFS(AllVarName!$B:$B,AllVar!RC1)&gt;1,INDEX(MultipleLkup!$D:$D,MATCH(AllVar!RC1,MultipleLkup!$B:$B,0)),IFERROR(INDEX(AllVarName!$C:$C,MATCH(AllVar!RC1,AllVarName!$B:$B,0)),"No match"))</f>
        <v>School Name</v>
      </c>
      <c r="RE2" s="1" t="str">
        <f>IF(COUNTIFS(AllVarName!$B:$B,AllVar!RD1)&gt;1,INDEX(MultipleLkup!$D:$D,MATCH(AllVar!RD1,MultipleLkup!$B:$B,0)),IFERROR(INDEX(AllVarName!$C:$C,MATCH(AllVar!RD1,AllVarName!$B:$B,0)),"No match"))</f>
        <v>School Type (higher education)</v>
      </c>
      <c r="RF2" s="1" t="str">
        <f>IF(COUNTIFS(AllVarName!$B:$B,AllVar!RE1)&gt;1,INDEX(MultipleLkup!$D:$D,MATCH(AllVar!RE1,MultipleLkup!$B:$B,0)),IFERROR(INDEX(AllVarName!$C:$C,MATCH(AllVar!RE1,AllVarName!$B:$B,0)),"No match"))</f>
        <v>Skills Index</v>
      </c>
      <c r="RG2" s="1" t="str">
        <f>IF(COUNTIFS(AllVarName!$B:$B,AllVar!RF1)&gt;1,INDEX(MultipleLkup!$D:$D,MATCH(AllVar!RF1,MultipleLkup!$B:$B,0)),IFERROR(INDEX(AllVarName!$C:$C,MATCH(AllVar!RF1,AllVarName!$B:$B,0)),"No match"))</f>
        <v>A level status</v>
      </c>
      <c r="RH2" s="1" t="str">
        <f>IF(COUNTIFS(AllVarName!$B:$B,AllVar!RG1)&gt;1,INDEX(MultipleLkup!$D:$D,MATCH(AllVar!RG1,MultipleLkup!$B:$B,0)),IFERROR(INDEX(AllVarName!$C:$C,MATCH(AllVar!RG1,AllVarName!$B:$B,0)),"No match"))</f>
        <v>Estimated value added</v>
      </c>
      <c r="RI2" s="1" t="str">
        <f>IF(COUNTIFS(AllVarName!$B:$B,AllVar!RH1)&gt;1,INDEX(MultipleLkup!$D:$D,MATCH(AllVar!RH1,MultipleLkup!$B:$B,0)),IFERROR(INDEX(AllVarName!$C:$C,MATCH(AllVar!RH1,AllVarName!$B:$B,0)),"No match"))</f>
        <v>Percentage contribution to total value added</v>
      </c>
      <c r="RJ2" s="1" t="str">
        <f>IF(COUNTIFS(AllVarName!$B:$B,AllVar!RI1)&gt;1,INDEX(MultipleLkup!$D:$D,MATCH(AllVar!RI1,MultipleLkup!$B:$B,0)),IFERROR(INDEX(AllVarName!$C:$C,MATCH(AllVar!RI1,AllVarName!$B:$B,0)),"No match"))</f>
        <v>Value-added per learner index</v>
      </c>
      <c r="RK2" s="1" t="str">
        <f>IF(COUNTIFS(AllVarName!$B:$B,AllVar!RJ1)&gt;1,INDEX(MultipleLkup!$D:$D,MATCH(AllVar!RJ1,MultipleLkup!$B:$B,0)),IFERROR(INDEX(AllVarName!$C:$C,MATCH(AllVar!RJ1,AllVarName!$B:$B,0)),"No match"))</f>
        <v>Annual change in Skills Index</v>
      </c>
      <c r="RL2" s="1" t="str">
        <f>IF(COUNTIFS(AllVarName!$B:$B,AllVar!RK1)&gt;1,INDEX(MultipleLkup!$D:$D,MATCH(AllVar!RK1,MultipleLkup!$B:$B,0)),IFERROR(INDEX(AllVarName!$C:$C,MATCH(AllVar!RK1,AllVarName!$B:$B,0)),"No match"))</f>
        <v>Annual change in Value added per learner index</v>
      </c>
      <c r="RM2" s="1" t="str">
        <f>IF(COUNTIFS(AllVarName!$B:$B,AllVar!RL1)&gt;1,INDEX(MultipleLkup!$D:$D,MATCH(AllVar!RL1,MultipleLkup!$B:$B,0)),IFERROR(INDEX(AllVarName!$C:$C,MATCH(AllVar!RL1,AllVarName!$B:$B,0)),"No match"))</f>
        <v>Index of achiever numbers</v>
      </c>
      <c r="RN2" s="1" t="str">
        <f>IF(COUNTIFS(AllVarName!$B:$B,AllVar!RM1)&gt;1,INDEX(MultipleLkup!$D:$D,MATCH(AllVar!RM1,MultipleLkup!$B:$B,0)),IFERROR(INDEX(AllVarName!$C:$C,MATCH(AllVar!RM1,AllVarName!$B:$B,0)),"No match"))</f>
        <v>Higher education Entry Percentage by Age 25 (Overall)</v>
      </c>
      <c r="RO2" s="1" t="str">
        <f>IF(COUNTIFS(AllVarName!$B:$B,AllVar!RN1)&gt;1,INDEX(MultipleLkup!$D:$D,MATCH(AllVar!RN1,MultipleLkup!$B:$B,0)),IFERROR(INDEX(AllVarName!$C:$C,MATCH(AllVar!RN1,AllVarName!$B:$B,0)),"No match"))</f>
        <v>Higher education Entry Percentage by Age 25 (Females)</v>
      </c>
      <c r="RP2" s="1" t="str">
        <f>IF(COUNTIFS(AllVarName!$B:$B,AllVar!RO1)&gt;1,INDEX(MultipleLkup!$D:$D,MATCH(AllVar!RO1,MultipleLkup!$B:$B,0)),IFERROR(INDEX(AllVarName!$C:$C,MATCH(AllVar!RO1,AllVarName!$B:$B,0)),"No match"))</f>
        <v>Regional higher education Entry Percentage by Age 25 (Highest)</v>
      </c>
      <c r="RQ2" s="1" t="str">
        <f>IF(COUNTIFS(AllVarName!$B:$B,AllVar!RP1)&gt;1,INDEX(MultipleLkup!$D:$D,MATCH(AllVar!RP1,MultipleLkup!$B:$B,0)),IFERROR(INDEX(AllVarName!$C:$C,MATCH(AllVar!RP1,AllVarName!$B:$B,0)),"No match"))</f>
        <v>Regional higher education Entry Percentage by Age 25 (Lowest)</v>
      </c>
      <c r="RR2" s="1" t="str">
        <f>IF(COUNTIFS(AllVarName!$B:$B,AllVar!RQ1)&gt;1,INDEX(MultipleLkup!$D:$D,MATCH(AllVar!RQ1,MultipleLkup!$B:$B,0)),IFERROR(INDEX(AllVarName!$C:$C,MATCH(AllVar!RQ1,AllVarName!$B:$B,0)),"No match"))</f>
        <v>Higher education Entry Percentage by Age 25 (First Degrees)</v>
      </c>
      <c r="RS2" s="1" t="str">
        <f>IF(COUNTIFS(AllVarName!$B:$B,AllVar!RR1)&gt;1,INDEX(MultipleLkup!$D:$D,MATCH(AllVar!RR1,MultipleLkup!$B:$B,0)),IFERROR(INDEX(AllVarName!$C:$C,MATCH(AllVar!RR1,AllVarName!$B:$B,0)),"No match"))</f>
        <v>Higher education Entry Percentage by Age 25 (Full Time)</v>
      </c>
      <c r="RT2" s="1" t="str">
        <f>IF(COUNTIFS(AllVarName!$B:$B,AllVar!RS1)&gt;1,INDEX(MultipleLkup!$D:$D,MATCH(AllVar!RS1,MultipleLkup!$B:$B,0)),IFERROR(INDEX(AllVarName!$C:$C,MATCH(AllVar!RS1,AllVarName!$B:$B,0)),"No match"))</f>
        <v>Age entered HE</v>
      </c>
      <c r="RU2" s="1" t="str">
        <f>IF(COUNTIFS(AllVarName!$B:$B,AllVar!RT1)&gt;1,INDEX(MultipleLkup!$D:$D,MATCH(AllVar!RT1,MultipleLkup!$B:$B,0)),IFERROR(INDEX(AllVarName!$C:$C,MATCH(AllVar!RT1,AllVarName!$B:$B,0)),"No match"))</f>
        <v>Entrants</v>
      </c>
      <c r="RV2" s="1" t="str">
        <f>IF(COUNTIFS(AllVarName!$B:$B,AllVar!RU1)&gt;1,INDEX(MultipleLkup!$D:$D,MATCH(AllVar!RU1,MultipleLkup!$B:$B,0)),IFERROR(INDEX(AllVarName!$C:$C,MATCH(AllVar!RU1,AllVarName!$B:$B,0)),"No match"))</f>
        <v>Entry percentage</v>
      </c>
      <c r="RW2" s="1" t="str">
        <f>IF(COUNTIFS(AllVarName!$B:$B,AllVar!RV1)&gt;1,INDEX(MultipleLkup!$D:$D,MATCH(AllVar!RV1,MultipleLkup!$B:$B,0)),IFERROR(INDEX(AllVarName!$C:$C,MATCH(AllVar!RV1,AllVarName!$B:$B,0)),"No match"))</f>
        <v>Age in Higher Education</v>
      </c>
      <c r="RX2" s="1" t="str">
        <f>IF(COUNTIFS(AllVarName!$B:$B,AllVar!RW1)&gt;1,INDEX(MultipleLkup!$D:$D,MATCH(AllVar!RW1,MultipleLkup!$B:$B,0)),IFERROR(INDEX(AllVarName!$C:$C,MATCH(AllVar!RW1,AllVarName!$B:$B,0)),"No match"))</f>
        <v>Cumulative entry percentage</v>
      </c>
      <c r="RY2" s="1" t="str">
        <f>IF(COUNTIFS(AllVarName!$B:$B,AllVar!RX1)&gt;1,INDEX(MultipleLkup!$D:$D,MATCH(AllVar!RX1,MultipleLkup!$B:$B,0)),IFERROR(INDEX(AllVarName!$C:$C,MATCH(AllVar!RX1,AllVarName!$B:$B,0)),"No match"))</f>
        <v>Mode</v>
      </c>
      <c r="RZ2" s="1" t="str">
        <f>IF(COUNTIFS(AllVarName!$B:$B,AllVar!RY1)&gt;1,INDEX(MultipleLkup!$D:$D,MATCH(AllVar!RY1,MultipleLkup!$B:$B,0)),IFERROR(INDEX(AllVarName!$C:$C,MATCH(AllVar!RY1,AllVarName!$B:$B,0)),"No match"))</f>
        <v>Methodology</v>
      </c>
      <c r="SA2" s="1" t="str">
        <f>IF(COUNTIFS(AllVarName!$B:$B,AllVar!RZ1)&gt;1,INDEX(MultipleLkup!$D:$D,MATCH(AllVar!RZ1,MultipleLkup!$B:$B,0)),IFERROR(INDEX(AllVarName!$C:$C,MATCH(AllVar!RZ1,AllVarName!$B:$B,0)),"No match"))</f>
        <v>Level of degree</v>
      </c>
      <c r="SB2" s="1" t="str">
        <f>IF(COUNTIFS(AllVarName!$B:$B,AllVar!SA1)&gt;1,INDEX(MultipleLkup!$D:$D,MATCH(AllVar!SA1,MultipleLkup!$B:$B,0)),IFERROR(INDEX(AllVarName!$C:$C,MATCH(AllVar!SA1,AllVarName!$B:$B,0)),"No match"))</f>
        <v>Percentage with degree</v>
      </c>
      <c r="SC2" s="1" t="str">
        <f>IF(COUNTIFS(AllVarName!$B:$B,AllVar!SB1)&gt;1,INDEX(MultipleLkup!$D:$D,MATCH(AllVar!SB1,MultipleLkup!$B:$B,0)),IFERROR(INDEX(AllVarName!$C:$C,MATCH(AllVar!SB1,AllVarName!$B:$B,0)),"No match"))</f>
        <v>Years after graduation</v>
      </c>
      <c r="SD2" s="1" t="str">
        <f>IF(COUNTIFS(AllVarName!$B:$B,AllVar!SC1)&gt;1,INDEX(MultipleLkup!$D:$D,MATCH(AllVar!SC1,MultipleLkup!$B:$B,0)),IFERROR(INDEX(AllVarName!$C:$C,MATCH(AllVar!SC1,AllVarName!$B:$B,0)),"No match"))</f>
        <v>Mature</v>
      </c>
      <c r="SE2" s="1" t="str">
        <f>IF(COUNTIFS(AllVarName!$B:$B,AllVar!SD1)&gt;1,INDEX(MultipleLkup!$D:$D,MATCH(AllVar!SD1,MultipleLkup!$B:$B,0)),IFERROR(INDEX(AllVarName!$C:$C,MATCH(AllVar!SD1,AllVarName!$B:$B,0)),"No match"))</f>
        <v>Selective status</v>
      </c>
      <c r="SF2" s="1" t="str">
        <f>IF(COUNTIFS(AllVarName!$B:$B,AllVar!SE1)&gt;1,INDEX(MultipleLkup!$D:$D,MATCH(AllVar!SE1,MultipleLkup!$B:$B,0)),IFERROR(INDEX(AllVarName!$C:$C,MATCH(AllVar!SE1,AllVarName!$B:$B,0)),"No match"))</f>
        <v>Local area Higher education participation grouping</v>
      </c>
      <c r="SG2" s="1" t="str">
        <f>IF(COUNTIFS(AllVarName!$B:$B,AllVar!SF1)&gt;1,INDEX(MultipleLkup!$D:$D,MATCH(AllVar!SF1,MultipleLkup!$B:$B,0)),IFERROR(INDEX(AllVarName!$C:$C,MATCH(AllVar!SF1,AllVarName!$B:$B,0)),"No match"))</f>
        <v>Migration to university</v>
      </c>
      <c r="SH2" s="1" t="str">
        <f>IF(COUNTIFS(AllVarName!$B:$B,AllVar!SG1)&gt;1,INDEX(MultipleLkup!$D:$D,MATCH(AllVar!SG1,MultipleLkup!$B:$B,0)),IFERROR(INDEX(AllVarName!$C:$C,MATCH(AllVar!SG1,AllVarName!$B:$B,0)),"No match"))</f>
        <v>Migration from university</v>
      </c>
      <c r="SI2" s="1" t="str">
        <f>IF(COUNTIFS(AllVarName!$B:$B,AllVar!SH1)&gt;1,INDEX(MultipleLkup!$D:$D,MATCH(AllVar!SH1,MultipleLkup!$B:$B,0)),IFERROR(INDEX(AllVarName!$C:$C,MATCH(AllVar!SH1,AllVarName!$B:$B,0)),"No match"))</f>
        <v>Number of graduates</v>
      </c>
      <c r="SJ2" s="1" t="str">
        <f>IF(COUNTIFS(AllVarName!$B:$B,AllVar!SI1)&gt;1,INDEX(MultipleLkup!$D:$D,MATCH(AllVar!SI1,MultipleLkup!$B:$B,0)),IFERROR(INDEX(AllVarName!$C:$C,MATCH(AllVar!SI1,AllVarName!$B:$B,0)),"No match"))</f>
        <v>Graduates included in outcomes calculation</v>
      </c>
      <c r="SK2" s="1" t="str">
        <f>IF(COUNTIFS(AllVarName!$B:$B,AllVar!SJ1)&gt;1,INDEX(MultipleLkup!$D:$D,MATCH(AllVar!SJ1,MultipleLkup!$B:$B,0)),IFERROR(INDEX(AllVarName!$C:$C,MATCH(AllVar!SJ1,AllVarName!$B:$B,0)),"No match"))</f>
        <v>Unmatched graduates</v>
      </c>
      <c r="SL2" s="1" t="str">
        <f>IF(COUNTIFS(AllVarName!$B:$B,AllVar!SK1)&gt;1,INDEX(MultipleLkup!$D:$D,MATCH(AllVar!SK1,MultipleLkup!$B:$B,0)),IFERROR(INDEX(AllVarName!$C:$C,MATCH(AllVar!SK1,AllVarName!$B:$B,0)),"No match"))</f>
        <v>Overseas graduates</v>
      </c>
      <c r="SM2" s="1" t="str">
        <f>IF(COUNTIFS(AllVarName!$B:$B,AllVar!SL1)&gt;1,INDEX(MultipleLkup!$D:$D,MATCH(AllVar!SL1,MultipleLkup!$B:$B,0)),IFERROR(INDEX(AllVarName!$C:$C,MATCH(AllVar!SL1,AllVarName!$B:$B,0)),"No match"))</f>
        <v>Number of matched graduates</v>
      </c>
      <c r="SN2" s="1" t="str">
        <f>IF(COUNTIFS(AllVarName!$B:$B,AllVar!SM1)&gt;1,INDEX(MultipleLkup!$D:$D,MATCH(AllVar!SM1,MultipleLkup!$B:$B,0)),IFERROR(INDEX(AllVarName!$C:$C,MATCH(AllVar!SM1,AllVarName!$B:$B,0)),"No match"))</f>
        <v>Proportion of graduates</v>
      </c>
      <c r="SO2" s="1" t="str">
        <f>IF(COUNTIFS(AllVarName!$B:$B,AllVar!SN1)&gt;1,INDEX(MultipleLkup!$D:$D,MATCH(AllVar!SN1,MultipleLkup!$B:$B,0)),IFERROR(INDEX(AllVarName!$C:$C,MATCH(AllVar!SN1,AllVarName!$B:$B,0)),"No match"))</f>
        <v>Activity not captured (Higher Education)</v>
      </c>
      <c r="SP2" s="1" t="str">
        <f>IF(COUNTIFS(AllVarName!$B:$B,AllVar!SO1)&gt;1,INDEX(MultipleLkup!$D:$D,MATCH(AllVar!SO1,MultipleLkup!$B:$B,0)),IFERROR(INDEX(AllVarName!$C:$C,MATCH(AllVar!SO1,AllVarName!$B:$B,0)),"No match"))</f>
        <v>No sustained destination</v>
      </c>
      <c r="SQ2" s="1" t="str">
        <f>IF(COUNTIFS(AllVarName!$B:$B,AllVar!SP1)&gt;1,INDEX(MultipleLkup!$D:$D,MATCH(AllVar!SP1,MultipleLkup!$B:$B,0)),IFERROR(INDEX(AllVarName!$C:$C,MATCH(AllVar!SP1,AllVarName!$B:$B,0)),"No match"))</f>
        <v>Sustained employment only</v>
      </c>
      <c r="SR2" s="1" t="str">
        <f>IF(COUNTIFS(AllVarName!$B:$B,AllVar!SQ1)&gt;1,INDEX(MultipleLkup!$D:$D,MATCH(AllVar!SQ1,MultipleLkup!$B:$B,0)),IFERROR(INDEX(AllVarName!$C:$C,MATCH(AllVar!SQ1,AllVarName!$B:$B,0)),"No match"))</f>
        <v>Sustained employment with or without further study</v>
      </c>
      <c r="SS2" s="1" t="str">
        <f>IF(COUNTIFS(AllVarName!$B:$B,AllVar!SR1)&gt;1,INDEX(MultipleLkup!$D:$D,MATCH(AllVar!SR1,MultipleLkup!$B:$B,0)),IFERROR(INDEX(AllVarName!$C:$C,MATCH(AllVar!SR1,AllVarName!$B:$B,0)),"No match"))</f>
        <v>Sustained employment further study or both</v>
      </c>
      <c r="ST2" s="1" t="str">
        <f>IF(COUNTIFS(AllVarName!$B:$B,AllVar!SS1)&gt;1,INDEX(MultipleLkup!$D:$D,MATCH(AllVar!SS1,MultipleLkup!$B:$B,0)),IFERROR(INDEX(AllVarName!$C:$C,MATCH(AllVar!SS1,AllVarName!$B:$B,0)),"No match"))</f>
        <v>Further study with or without sustained employment</v>
      </c>
      <c r="SU2" s="1" t="str">
        <f>IF(COUNTIFS(AllVarName!$B:$B,AllVar!ST1)&gt;1,INDEX(MultipleLkup!$D:$D,MATCH(AllVar!ST1,MultipleLkup!$B:$B,0)),IFERROR(INDEX(AllVarName!$C:$C,MATCH(AllVar!ST1,AllVarName!$B:$B,0)),"No match"))</f>
        <v>Graduates included in earnings figures</v>
      </c>
      <c r="SV2" s="1" t="str">
        <f>IF(COUNTIFS(AllVarName!$B:$B,AllVar!SU1)&gt;1,INDEX(MultipleLkup!$D:$D,MATCH(AllVar!SU1,MultipleLkup!$B:$B,0)),IFERROR(INDEX(AllVarName!$C:$C,MATCH(AllVar!SU1,AllVarName!$B:$B,0)),"No match"))</f>
        <v>Lower quartile provider earnings</v>
      </c>
      <c r="SW2" s="1" t="str">
        <f>IF(COUNTIFS(AllVarName!$B:$B,AllVar!SV1)&gt;1,INDEX(MultipleLkup!$D:$D,MATCH(AllVar!SV1,MultipleLkup!$B:$B,0)),IFERROR(INDEX(AllVarName!$C:$C,MATCH(AllVar!SV1,AllVarName!$B:$B,0)),"No match"))</f>
        <v>Median earnings of graduates</v>
      </c>
      <c r="SX2" s="1" t="str">
        <f>IF(COUNTIFS(AllVarName!$B:$B,AllVar!SW1)&gt;1,INDEX(MultipleLkup!$D:$D,MATCH(AllVar!SW1,MultipleLkup!$B:$B,0)),IFERROR(INDEX(AllVarName!$C:$C,MATCH(AllVar!SW1,AllVarName!$B:$B,0)),"No match"))</f>
        <v>Upper quartile provider earnings</v>
      </c>
      <c r="SY2" s="1" t="str">
        <f>IF(COUNTIFS(AllVarName!$B:$B,AllVar!SX1)&gt;1,INDEX(MultipleLkup!$D:$D,MATCH(AllVar!SX1,MultipleLkup!$B:$B,0)),IFERROR(INDEX(AllVarName!$C:$C,MATCH(AllVar!SX1,AllVarName!$B:$B,0)),"No match"))</f>
        <v>Lower quartile of real term earnings of graduates</v>
      </c>
      <c r="SZ2" s="1" t="str">
        <f>IF(COUNTIFS(AllVarName!$B:$B,AllVar!SY1)&gt;1,INDEX(MultipleLkup!$D:$D,MATCH(AllVar!SY1,MultipleLkup!$B:$B,0)),IFERROR(INDEX(AllVarName!$C:$C,MATCH(AllVar!SY1,AllVarName!$B:$B,0)),"No match"))</f>
        <v>Median real term earnings</v>
      </c>
      <c r="TA2" s="1" t="str">
        <f>IF(COUNTIFS(AllVarName!$B:$B,AllVar!SZ1)&gt;1,INDEX(MultipleLkup!$D:$D,MATCH(AllVar!SZ1,MultipleLkup!$B:$B,0)),IFERROR(INDEX(AllVarName!$C:$C,MATCH(AllVar!SZ1,AllVarName!$B:$B,0)),"No match"))</f>
        <v>Upper real term quartile of earnings of graduates</v>
      </c>
      <c r="TB2" s="1" t="str">
        <f>IF(COUNTIFS(AllVarName!$B:$B,AllVar!TA1)&gt;1,INDEX(MultipleLkup!$D:$D,MATCH(AllVar!TA1,MultipleLkup!$B:$B,0)),IFERROR(INDEX(AllVarName!$C:$C,MATCH(AllVar!TA1,AllVarName!$B:$B,0)),"No match"))</f>
        <v>Name of Country</v>
      </c>
      <c r="TC2" s="1" t="str">
        <f>IF(COUNTIFS(AllVarName!$B:$B,AllVar!TB1)&gt;1,INDEX(MultipleLkup!$D:$D,MATCH(AllVar!TB1,MultipleLkup!$B:$B,0)),IFERROR(INDEX(AllVarName!$C:$C,MATCH(AllVar!TB1,AllVarName!$B:$B,0)),"No match"))</f>
        <v>Domicile</v>
      </c>
      <c r="TD2" s="1" t="str">
        <f>IF(COUNTIFS(AllVarName!$B:$B,AllVar!TC1)&gt;1,INDEX(MultipleLkup!$D:$D,MATCH(AllVar!TC1,MultipleLkup!$B:$B,0)),IFERROR(INDEX(AllVarName!$C:$C,MATCH(AllVar!TC1,AllVarName!$B:$B,0)),"No match"))</f>
        <v>Median first degree graduate earnings five years after graduation</v>
      </c>
      <c r="TE2" s="1" t="str">
        <f>IF(COUNTIFS(AllVarName!$B:$B,AllVar!TD1)&gt;1,INDEX(MultipleLkup!$D:$D,MATCH(AllVar!TD1,MultipleLkup!$B:$B,0)),IFERROR(INDEX(AllVarName!$C:$C,MATCH(AllVar!TD1,AllVarName!$B:$B,0)),"No match"))</f>
        <v>Median level 7 (taught) postgraduate earnings five years after graduation</v>
      </c>
      <c r="TF2" s="1" t="str">
        <f>IF(COUNTIFS(AllVarName!$B:$B,AllVar!TE1)&gt;1,INDEX(MultipleLkup!$D:$D,MATCH(AllVar!TE1,MultipleLkup!$B:$B,0)),IFERROR(INDEX(AllVarName!$C:$C,MATCH(AllVar!TE1,AllVarName!$B:$B,0)),"No match"))</f>
        <v>Median level 8 postgraduate earnings five years after graduation</v>
      </c>
      <c r="TG2" s="1" t="str">
        <f>IF(COUNTIFS(AllVarName!$B:$B,AllVar!TF1)&gt;1,INDEX(MultipleLkup!$D:$D,MATCH(AllVar!TF1,MultipleLkup!$B:$B,0)),IFERROR(INDEX(AllVarName!$C:$C,MATCH(AllVar!TF1,AllVarName!$B:$B,0)),"No match"))</f>
        <v>First degree graduates in sustained employment, further study or both five years after graduation</v>
      </c>
      <c r="TH2" s="1" t="str">
        <f>IF(COUNTIFS(AllVarName!$B:$B,AllVar!TG1)&gt;1,INDEX(MultipleLkup!$D:$D,MATCH(AllVar!TG1,MultipleLkup!$B:$B,0)),IFERROR(INDEX(AllVarName!$C:$C,MATCH(AllVar!TG1,AllVarName!$B:$B,0)),"No match"))</f>
        <v>Level 7 (taught) postgraduates in sustained employment, further study or both five years after graduation</v>
      </c>
      <c r="TI2" s="1" t="str">
        <f>IF(COUNTIFS(AllVarName!$B:$B,AllVar!TH1)&gt;1,INDEX(MultipleLkup!$D:$D,MATCH(AllVar!TH1,MultipleLkup!$B:$B,0)),IFERROR(INDEX(AllVarName!$C:$C,MATCH(AllVar!TH1,AllVarName!$B:$B,0)),"No match"))</f>
        <v>Level 8 postgraduates in sustained employment, further study or both five years after graduation</v>
      </c>
      <c r="TJ2" s="1" t="str">
        <f>IF(COUNTIFS(AllVarName!$B:$B,AllVar!TI1)&gt;1,INDEX(MultipleLkup!$D:$D,MATCH(AllVar!TI1,MultipleLkup!$B:$B,0)),IFERROR(INDEX(AllVarName!$C:$C,MATCH(AllVar!TI1,AllVarName!$B:$B,0)),"No match"))</f>
        <v>Graduate industry of employment one year after graduation</v>
      </c>
      <c r="TK2" s="1" t="str">
        <f>IF(COUNTIFS(AllVarName!$B:$B,AllVar!TJ1)&gt;1,INDEX(MultipleLkup!$D:$D,MATCH(AllVar!TJ1,MultipleLkup!$B:$B,0)),IFERROR(INDEX(AllVarName!$C:$C,MATCH(AllVar!TJ1,AllVarName!$B:$B,0)),"No match"))</f>
        <v>Graduate industry of employment three year after graduation</v>
      </c>
      <c r="TL2" s="1" t="str">
        <f>IF(COUNTIFS(AllVarName!$B:$B,AllVar!TK1)&gt;1,INDEX(MultipleLkup!$D:$D,MATCH(AllVar!TK1,MultipleLkup!$B:$B,0)),IFERROR(INDEX(AllVarName!$C:$C,MATCH(AllVar!TK1,AllVarName!$B:$B,0)),"No match"))</f>
        <v>Graduate industry of employment five year after graduation</v>
      </c>
      <c r="TM2" s="1" t="str">
        <f>IF(COUNTIFS(AllVarName!$B:$B,AllVar!TL1)&gt;1,INDEX(MultipleLkup!$D:$D,MATCH(AllVar!TL1,MultipleLkup!$B:$B,0)),IFERROR(INDEX(AllVarName!$C:$C,MATCH(AllVar!TL1,AllVarName!$B:$B,0)),"No match"))</f>
        <v>Qualification TR</v>
      </c>
      <c r="TN2" s="1" t="str">
        <f>IF(COUNTIFS(AllVarName!$B:$B,AllVar!TM1)&gt;1,INDEX(MultipleLkup!$D:$D,MATCH(AllVar!TM1,MultipleLkup!$B:$B,0)),IFERROR(INDEX(AllVarName!$C:$C,MATCH(AllVar!TM1,AllVarName!$B:$B,0)),"No match"))</f>
        <v>Count</v>
      </c>
      <c r="TO2" s="1" t="str">
        <f>IF(COUNTIFS(AllVarName!$B:$B,AllVar!TN1)&gt;1,INDEX(MultipleLkup!$D:$D,MATCH(AllVar!TN1,MultipleLkup!$B:$B,0)),IFERROR(INDEX(AllVarName!$C:$C,MATCH(AllVar!TN1,AllVarName!$B:$B,0)),"No match"))</f>
        <v>Higher Education, Industry section</v>
      </c>
      <c r="TP2" s="1" t="str">
        <f>IF(COUNTIFS(AllVarName!$B:$B,AllVar!TO1)&gt;1,INDEX(MultipleLkup!$D:$D,MATCH(AllVar!TO1,MultipleLkup!$B:$B,0)),IFERROR(INDEX(AllVarName!$C:$C,MATCH(AllVar!TO1,AllVarName!$B:$B,0)),"No match"))</f>
        <v>Number of graduates that studied in region</v>
      </c>
      <c r="TQ2" s="1" t="str">
        <f>IF(COUNTIFS(AllVarName!$B:$B,AllVar!TP1)&gt;1,INDEX(MultipleLkup!$D:$D,MATCH(AllVar!TP1,MultipleLkup!$B:$B,0)),IFERROR(INDEX(AllVarName!$C:$C,MATCH(AllVar!TP1,AllVarName!$B:$B,0)),"No match"))</f>
        <v>Number of graduates currently living in region</v>
      </c>
      <c r="TR2" s="1" t="str">
        <f>IF(COUNTIFS(AllVarName!$B:$B,AllVar!TQ1)&gt;1,INDEX(MultipleLkup!$D:$D,MATCH(AllVar!TQ1,MultipleLkup!$B:$B,0)),IFERROR(INDEX(AllVarName!$C:$C,MATCH(AllVar!TQ1,AllVarName!$B:$B,0)),"No match"))</f>
        <v>Difference in number of graduates who studied in and are currently living in the region</v>
      </c>
      <c r="TS2" s="1" t="str">
        <f>IF(COUNTIFS(AllVarName!$B:$B,AllVar!TR1)&gt;1,INDEX(MultipleLkup!$D:$D,MATCH(AllVar!TR1,MultipleLkup!$B:$B,0)),IFERROR(INDEX(AllVarName!$C:$C,MATCH(AllVar!TR1,AllVarName!$B:$B,0)),"No match"))</f>
        <v>The difference as a proportion</v>
      </c>
      <c r="TT2" s="1" t="str">
        <f>IF(COUNTIFS(AllVarName!$B:$B,AllVar!TS1)&gt;1,INDEX(MultipleLkup!$D:$D,MATCH(AllVar!TS1,MultipleLkup!$B:$B,0)),IFERROR(INDEX(AllVarName!$C:$C,MATCH(AllVar!TS1,AllVarName!$B:$B,0)),"No match"))</f>
        <v>Number of providers for the combination of subject studied and industry</v>
      </c>
      <c r="TU2" s="1" t="str">
        <f>IF(COUNTIFS(AllVarName!$B:$B,AllVar!TT1)&gt;1,INDEX(MultipleLkup!$D:$D,MATCH(AllVar!TT1,MultipleLkup!$B:$B,0)),IFERROR(INDEX(AllVarName!$C:$C,MATCH(AllVar!TT1,AllVarName!$B:$B,0)),"No match"))</f>
        <v xml:space="preserve">Industry section group </v>
      </c>
      <c r="TV2" s="1" t="str">
        <f>IF(COUNTIFS(AllVarName!$B:$B,AllVar!TU1)&gt;1,INDEX(MultipleLkup!$D:$D,MATCH(AllVar!TU1,MultipleLkup!$B:$B,0)),IFERROR(INDEX(AllVarName!$C:$C,MATCH(AllVar!TU1,AllVarName!$B:$B,0)),"No match"))</f>
        <v>Number of providers with earnings data for male and female graduates</v>
      </c>
      <c r="TW2" s="1" t="str">
        <f>IF(COUNTIFS(AllVarName!$B:$B,AllVar!TV1)&gt;1,INDEX(MultipleLkup!$D:$D,MATCH(AllVar!TV1,MultipleLkup!$B:$B,0)),IFERROR(INDEX(AllVarName!$C:$C,MATCH(AllVar!TV1,AllVarName!$B:$B,0)),"No match"))</f>
        <v>Median provider median earnings</v>
      </c>
      <c r="TX2" s="1" t="str">
        <f>IF(COUNTIFS(AllVarName!$B:$B,AllVar!TW1)&gt;1,INDEX(MultipleLkup!$D:$D,MATCH(AllVar!TW1,MultipleLkup!$B:$B,0)),IFERROR(INDEX(AllVarName!$C:$C,MATCH(AllVar!TW1,AllVarName!$B:$B,0)),"No match"))</f>
        <v>Number of providers where female median earnings are lower than male median earnings</v>
      </c>
      <c r="TY2" s="1" t="str">
        <f>IF(COUNTIFS(AllVarName!$B:$B,AllVar!TX1)&gt;1,INDEX(MultipleLkup!$D:$D,MATCH(AllVar!TX1,MultipleLkup!$B:$B,0)),IFERROR(INDEX(AllVarName!$C:$C,MATCH(AllVar!TX1,AllVarName!$B:$B,0)),"No match"))</f>
        <v>Number of providers where female median earnings are equal to male median earnings</v>
      </c>
      <c r="TZ2" s="1" t="str">
        <f>IF(COUNTIFS(AllVarName!$B:$B,AllVar!TY1)&gt;1,INDEX(MultipleLkup!$D:$D,MATCH(AllVar!TY1,MultipleLkup!$B:$B,0)),IFERROR(INDEX(AllVarName!$C:$C,MATCH(AllVar!TY1,AllVarName!$B:$B,0)),"No match"))</f>
        <v>Number of providers where female median earnings are higher than male median earnings</v>
      </c>
      <c r="UA2" s="1" t="str">
        <f>IF(COUNTIFS(AllVarName!$B:$B,AllVar!TZ1)&gt;1,INDEX(MultipleLkup!$D:$D,MATCH(AllVar!TZ1,MultipleLkup!$B:$B,0)),IFERROR(INDEX(AllVarName!$C:$C,MATCH(AllVar!TZ1,AllVarName!$B:$B,0)),"No match"))</f>
        <v>Proportion of included providers where female median earnings are lower than male median earnings</v>
      </c>
      <c r="UB2" s="1" t="str">
        <f>IF(COUNTIFS(AllVarName!$B:$B,AllVar!UA1)&gt;1,INDEX(MultipleLkup!$D:$D,MATCH(AllVar!UA1,MultipleLkup!$B:$B,0)),IFERROR(INDEX(AllVarName!$C:$C,MATCH(AllVar!UA1,AllVarName!$B:$B,0)),"No match"))</f>
        <v>Proportion of included providers where female median earnings are equal to male median earnings</v>
      </c>
      <c r="UC2" s="1" t="str">
        <f>IF(COUNTIFS(AllVarName!$B:$B,AllVar!UB1)&gt;1,INDEX(MultipleLkup!$D:$D,MATCH(AllVar!UB1,MultipleLkup!$B:$B,0)),IFERROR(INDEX(AllVarName!$C:$C,MATCH(AllVar!UB1,AllVarName!$B:$B,0)),"No match"))</f>
        <v>Proportion of included providers where female median earnings are higher than male median earnings</v>
      </c>
      <c r="UD2" s="1" t="str">
        <f>IF(COUNTIFS(AllVarName!$B:$B,AllVar!UC1)&gt;1,INDEX(MultipleLkup!$D:$D,MATCH(AllVar!UC1,MultipleLkup!$B:$B,0)),IFERROR(INDEX(AllVarName!$C:$C,MATCH(AllVar!UC1,AllVarName!$B:$B,0)),"No match"))</f>
        <v>Proportion of included providers where female median earnings were 15%+ greater than male median earnings</v>
      </c>
      <c r="UE2" s="1" t="str">
        <f>IF(COUNTIFS(AllVarName!$B:$B,AllVar!UD1)&gt;1,INDEX(MultipleLkup!$D:$D,MATCH(AllVar!UD1,MultipleLkup!$B:$B,0)),IFERROR(INDEX(AllVarName!$C:$C,MATCH(AllVar!UD1,AllVarName!$B:$B,0)),"No match"))</f>
        <v>Proportion of included providers where female median earnings were 5%-15% greater than male median earnings</v>
      </c>
      <c r="UF2" s="1" t="str">
        <f>IF(COUNTIFS(AllVarName!$B:$B,AllVar!UE1)&gt;1,INDEX(MultipleLkup!$D:$D,MATCH(AllVar!UE1,MultipleLkup!$B:$B,0)),IFERROR(INDEX(AllVarName!$C:$C,MATCH(AllVar!UE1,AllVarName!$B:$B,0)),"No match"))</f>
        <v>Proportion of included providers where the difference was less than 5%</v>
      </c>
      <c r="UG2" s="1" t="str">
        <f>IF(COUNTIFS(AllVarName!$B:$B,AllVar!UF1)&gt;1,INDEX(MultipleLkup!$D:$D,MATCH(AllVar!UF1,MultipleLkup!$B:$B,0)),IFERROR(INDEX(AllVarName!$C:$C,MATCH(AllVar!UF1,AllVarName!$B:$B,0)),"No match"))</f>
        <v>Proportion of included providers where female median earnings were 5%-15% lower than male median earnings</v>
      </c>
      <c r="UH2" s="1" t="str">
        <f>IF(COUNTIFS(AllVarName!$B:$B,AllVar!UG1)&gt;1,INDEX(MultipleLkup!$D:$D,MATCH(AllVar!UG1,MultipleLkup!$B:$B,0)),IFERROR(INDEX(AllVarName!$C:$C,MATCH(AllVar!UG1,AllVarName!$B:$B,0)),"No match"))</f>
        <v>Proportion of included providers where female median earnings were 15%+ lower than male median earnings</v>
      </c>
      <c r="UI2" s="1" t="str">
        <f>IF(COUNTIFS(AllVarName!$B:$B,AllVar!UH1)&gt;1,INDEX(MultipleLkup!$D:$D,MATCH(AllVar!UH1,MultipleLkup!$B:$B,0)),IFERROR(INDEX(AllVarName!$C:$C,MATCH(AllVar!UH1,AllVarName!$B:$B,0)),"No match"))</f>
        <v>Prior Attainment Band</v>
      </c>
      <c r="UJ2" s="1" t="str">
        <f>IF(COUNTIFS(AllVarName!$B:$B,AllVar!UI1)&gt;1,INDEX(MultipleLkup!$D:$D,MATCH(AllVar!UI1,MultipleLkup!$B:$B,0)),IFERROR(INDEX(AllVarName!$C:$C,MATCH(AllVar!UI1,AllVarName!$B:$B,0)),"No match"))</f>
        <v>Maximum provider earnings</v>
      </c>
      <c r="UK2" s="1" t="str">
        <f>IF(COUNTIFS(AllVarName!$B:$B,AllVar!UJ1)&gt;1,INDEX(MultipleLkup!$D:$D,MATCH(AllVar!UJ1,MultipleLkup!$B:$B,0)),IFERROR(INDEX(AllVarName!$C:$C,MATCH(AllVar!UJ1,AllVarName!$B:$B,0)),"No match"))</f>
        <v>Proportion of providers in the prior attainment band</v>
      </c>
      <c r="UL2" s="1" t="str">
        <f>IF(COUNTIFS(AllVarName!$B:$B,AllVar!UK1)&gt;1,INDEX(MultipleLkup!$D:$D,MATCH(AllVar!UK1,MultipleLkup!$B:$B,0)),IFERROR(INDEX(AllVarName!$C:$C,MATCH(AllVar!UK1,AllVarName!$B:$B,0)),"No match"))</f>
        <v>Number of providers in the prior attainment band</v>
      </c>
      <c r="UM2" s="1" t="str">
        <f>IF(COUNTIFS(AllVarName!$B:$B,AllVar!UL1)&gt;1,INDEX(MultipleLkup!$D:$D,MATCH(AllVar!UL1,MultipleLkup!$B:$B,0)),IFERROR(INDEX(AllVarName!$C:$C,MATCH(AllVar!UL1,AllVarName!$B:$B,0)),"No match"))</f>
        <v>Minimum provider earnings</v>
      </c>
      <c r="UN2" s="1" t="str">
        <f>IF(COUNTIFS(AllVarName!$B:$B,AllVar!UM1)&gt;1,INDEX(MultipleLkup!$D:$D,MATCH(AllVar!UM1,MultipleLkup!$B:$B,0)),IFERROR(INDEX(AllVarName!$C:$C,MATCH(AllVar!UM1,AllVarName!$B:$B,0)),"No match"))</f>
        <v>Number of providers included for earnings</v>
      </c>
      <c r="UO2" s="1" t="str">
        <f>IF(COUNTIFS(AllVarName!$B:$B,AllVar!UN1)&gt;1,INDEX(MultipleLkup!$D:$D,MATCH(AllVar!UN1,MultipleLkup!$B:$B,0)),IFERROR(INDEX(AllVarName!$C:$C,MATCH(AllVar!UN1,AllVarName!$B:$B,0)),"No match"))</f>
        <v>Difference between maximum and minimum provider earnings</v>
      </c>
      <c r="UP2" s="1" t="str">
        <f>IF(COUNTIFS(AllVarName!$B:$B,AllVar!UO1)&gt;1,INDEX(MultipleLkup!$D:$D,MATCH(AllVar!UO1,MultipleLkup!$B:$B,0)),IFERROR(INDEX(AllVarName!$C:$C,MATCH(AllVar!UO1,AllVarName!$B:$B,0)),"No match"))</f>
        <v>Proportion of included institutions where adjusted earnings are more than 10% lower than raw median earnings</v>
      </c>
      <c r="UQ2" s="1" t="str">
        <f>IF(COUNTIFS(AllVarName!$B:$B,AllVar!UP1)&gt;1,INDEX(MultipleLkup!$D:$D,MATCH(AllVar!UP1,MultipleLkup!$B:$B,0)),IFERROR(INDEX(AllVarName!$C:$C,MATCH(AllVar!UP1,AllVarName!$B:$B,0)),"No match"))</f>
        <v>Proportion of included institutions where adjusted earnings are more than 5% to 10% lower than raw median earnings</v>
      </c>
      <c r="UR2" s="1" t="str">
        <f>IF(COUNTIFS(AllVarName!$B:$B,AllVar!UQ1)&gt;1,INDEX(MultipleLkup!$D:$D,MATCH(AllVar!UQ1,MultipleLkup!$B:$B,0)),IFERROR(INDEX(AllVarName!$C:$C,MATCH(AllVar!UQ1,AllVarName!$B:$B,0)),"No match"))</f>
        <v>Proportion of included institutions where  adjusted earnings are within 5% of raw median earnings</v>
      </c>
      <c r="US2" s="1" t="str">
        <f>IF(COUNTIFS(AllVarName!$B:$B,AllVar!UR1)&gt;1,INDEX(MultipleLkup!$D:$D,MATCH(AllVar!UR1,MultipleLkup!$B:$B,0)),IFERROR(INDEX(AllVarName!$C:$C,MATCH(AllVar!UR1,AllVarName!$B:$B,0)),"No match"))</f>
        <v>Proportion of included institutions where  adjusted earnings are more than 5% to 10% higher than raw median earnings</v>
      </c>
      <c r="UT2" s="1" t="str">
        <f>IF(COUNTIFS(AllVarName!$B:$B,AllVar!US1)&gt;1,INDEX(MultipleLkup!$D:$D,MATCH(AllVar!US1,MultipleLkup!$B:$B,0)),IFERROR(INDEX(AllVarName!$C:$C,MATCH(AllVar!US1,AllVarName!$B:$B,0)),"No match"))</f>
        <v>Proportion of included institutions where  adjusted earnings are more than 10% higher than raw median earnings</v>
      </c>
      <c r="UU2" s="1" t="str">
        <f>IF(COUNTIFS(AllVarName!$B:$B,AllVar!UT1)&gt;1,INDEX(MultipleLkup!$D:$D,MATCH(AllVar!UT1,MultipleLkup!$B:$B,0)),IFERROR(INDEX(AllVarName!$C:$C,MATCH(AllVar!UT1,AllVarName!$B:$B,0)),"No match"))</f>
        <v>Number of providers included for outcomes</v>
      </c>
      <c r="UV2" s="1" t="str">
        <f>IF(COUNTIFS(AllVarName!$B:$B,AllVar!UU1)&gt;1,INDEX(MultipleLkup!$D:$D,MATCH(AllVar!UU1,MultipleLkup!$B:$B,0)),IFERROR(INDEX(AllVarName!$C:$C,MATCH(AllVar!UU1,AllVarName!$B:$B,0)),"No match"))</f>
        <v>Minimum provider graduates in sustained employment further study or both</v>
      </c>
      <c r="UW2" s="1" t="str">
        <f>IF(COUNTIFS(AllVarName!$B:$B,AllVar!UV1)&gt;1,INDEX(MultipleLkup!$D:$D,MATCH(AllVar!UV1,MultipleLkup!$B:$B,0)),IFERROR(INDEX(AllVarName!$C:$C,MATCH(AllVar!UV1,AllVarName!$B:$B,0)),"No match"))</f>
        <v>Lower quartile provider graduates in sustained employment further study or both</v>
      </c>
      <c r="UX2" s="1" t="str">
        <f>IF(COUNTIFS(AllVarName!$B:$B,AllVar!UW1)&gt;1,INDEX(MultipleLkup!$D:$D,MATCH(AllVar!UW1,MultipleLkup!$B:$B,0)),IFERROR(INDEX(AllVarName!$C:$C,MATCH(AllVar!UW1,AllVarName!$B:$B,0)),"No match"))</f>
        <v>Median provider graduates in sustained employment further study or both</v>
      </c>
      <c r="UY2" s="1" t="str">
        <f>IF(COUNTIFS(AllVarName!$B:$B,AllVar!UX1)&gt;1,INDEX(MultipleLkup!$D:$D,MATCH(AllVar!UX1,MultipleLkup!$B:$B,0)),IFERROR(INDEX(AllVarName!$C:$C,MATCH(AllVar!UX1,AllVarName!$B:$B,0)),"No match"))</f>
        <v>Upper quartile provider graduates in sustained employment further study or both</v>
      </c>
      <c r="UZ2" s="1" t="str">
        <f>IF(COUNTIFS(AllVarName!$B:$B,AllVar!UY1)&gt;1,INDEX(MultipleLkup!$D:$D,MATCH(AllVar!UY1,MultipleLkup!$B:$B,0)),IFERROR(INDEX(AllVarName!$C:$C,MATCH(AllVar!UY1,AllVarName!$B:$B,0)),"No match"))</f>
        <v>Maximum provider graduates in sustained employment further study or both</v>
      </c>
      <c r="VA2" s="1" t="str">
        <f>IF(COUNTIFS(AllVarName!$B:$B,AllVar!UZ1)&gt;1,INDEX(MultipleLkup!$D:$D,MATCH(AllVar!UZ1,MultipleLkup!$B:$B,0)),IFERROR(INDEX(AllVarName!$C:$C,MATCH(AllVar!UZ1,AllVarName!$B:$B,0)),"No match"))</f>
        <v>Difference between maximum and minimum provider graduates in sustained employment further study or both</v>
      </c>
      <c r="VB2" s="1" t="str">
        <f>IF(COUNTIFS(AllVarName!$B:$B,AllVar!VA1)&gt;1,INDEX(MultipleLkup!$D:$D,MATCH(AllVar!VA1,MultipleLkup!$B:$B,0)),IFERROR(INDEX(AllVarName!$C:$C,MATCH(AllVar!VA1,AllVarName!$B:$B,0)),"No match"))</f>
        <v>Number of providers with earnings data for 14/15 and 19/20 tax years</v>
      </c>
      <c r="VC2" s="1" t="str">
        <f>IF(COUNTIFS(AllVarName!$B:$B,AllVar!VB1)&gt;1,INDEX(MultipleLkup!$D:$D,MATCH(AllVar!VB1,MultipleLkup!$B:$B,0)),IFERROR(INDEX(AllVarName!$C:$C,MATCH(AllVar!VB1,AllVarName!$B:$B,0)),"No match"))</f>
        <v>Proportion of providers with 19/20 median earnings more than 5% lower than 14/15 median earnings</v>
      </c>
      <c r="VD2" s="1" t="str">
        <f>IF(COUNTIFS(AllVarName!$B:$B,AllVar!VC1)&gt;1,INDEX(MultipleLkup!$D:$D,MATCH(AllVar!VC1,MultipleLkup!$B:$B,0)),IFERROR(INDEX(AllVarName!$C:$C,MATCH(AllVar!VC1,AllVarName!$B:$B,0)),"No match"))</f>
        <v>Proportion of providers with 19/20 median earnings within 5% of the 14/15 median earnings</v>
      </c>
      <c r="VE2" s="1" t="str">
        <f>IF(COUNTIFS(AllVarName!$B:$B,AllVar!VD1)&gt;1,INDEX(MultipleLkup!$D:$D,MATCH(AllVar!VD1,MultipleLkup!$B:$B,0)),IFERROR(INDEX(AllVarName!$C:$C,MATCH(AllVar!VD1,AllVarName!$B:$B,0)),"No match"))</f>
        <v>Proportion of providers with 19/20 median earnings 5% to 10% greater than 14/15 median earnings</v>
      </c>
      <c r="VF2" s="1" t="str">
        <f>IF(COUNTIFS(AllVarName!$B:$B,AllVar!VE1)&gt;1,INDEX(MultipleLkup!$D:$D,MATCH(AllVar!VE1,MultipleLkup!$B:$B,0)),IFERROR(INDEX(AllVarName!$C:$C,MATCH(AllVar!VE1,AllVarName!$B:$B,0)),"No match"))</f>
        <v>Proportion of providers with 19/20 median earnings 10% to 20% greater than 14/15 median earnings</v>
      </c>
      <c r="VG2" s="1" t="str">
        <f>IF(COUNTIFS(AllVarName!$B:$B,AllVar!VF1)&gt;1,INDEX(MultipleLkup!$D:$D,MATCH(AllVar!VF1,MultipleLkup!$B:$B,0)),IFERROR(INDEX(AllVarName!$C:$C,MATCH(AllVar!VF1,AllVarName!$B:$B,0)),"No match"))</f>
        <v>Proportion of providers with 19/20 median earnings over 20% greater than 14/15 median earnings</v>
      </c>
      <c r="VH2" s="1" t="str">
        <f>IF(COUNTIFS(AllVarName!$B:$B,AllVar!VG1)&gt;1,INDEX(MultipleLkup!$D:$D,MATCH(AllVar!VG1,MultipleLkup!$B:$B,0)),IFERROR(INDEX(AllVarName!$C:$C,MATCH(AllVar!VG1,AllVarName!$B:$B,0)),"No match"))</f>
        <v>Higher education Progression Rate</v>
      </c>
      <c r="VI2" s="1" t="str">
        <f>IF(COUNTIFS(AllVarName!$B:$B,AllVar!VH1)&gt;1,INDEX(MultipleLkup!$D:$D,MATCH(AllVar!VH1,MultipleLkup!$B:$B,0)),IFERROR(INDEX(AllVarName!$C:$C,MATCH(AllVar!VH1,AllVarName!$B:$B,0)),"No match"))</f>
        <v>High Tariff HE Progression Rate (Free School Meals)</v>
      </c>
      <c r="VJ2" s="1" t="str">
        <f>IF(COUNTIFS(AllVarName!$B:$B,AllVar!VI1)&gt;1,INDEX(MultipleLkup!$D:$D,MATCH(AllVar!VI1,MultipleLkup!$B:$B,0)),IFERROR(INDEX(AllVarName!$C:$C,MATCH(AllVar!VI1,AllVarName!$B:$B,0)),"No match"))</f>
        <v>High Tariff HE Progression Rate (Non-Free School Meals)</v>
      </c>
      <c r="VK2" s="1" t="str">
        <f>IF(COUNTIFS(AllVarName!$B:$B,AllVar!VJ1)&gt;1,INDEX(MultipleLkup!$D:$D,MATCH(AllVar!VJ1,MultipleLkup!$B:$B,0)),IFERROR(INDEX(AllVarName!$C:$C,MATCH(AllVar!VJ1,AllVarName!$B:$B,0)),"No match"))</f>
        <v>High Tariff HE Progression Rate</v>
      </c>
      <c r="VL2" s="1" t="str">
        <f>IF(COUNTIFS(AllVarName!$B:$B,AllVar!VK1)&gt;1,INDEX(MultipleLkup!$D:$D,MATCH(AllVar!VK1,MultipleLkup!$B:$B,0)),IFERROR(INDEX(AllVarName!$C:$C,MATCH(AllVar!VK1,AllVarName!$B:$B,0)),"No match"))</f>
        <v>Progression Rate Gap</v>
      </c>
      <c r="VM2" s="1" t="str">
        <f>IF(COUNTIFS(AllVarName!$B:$B,AllVar!VL1)&gt;1,INDEX(MultipleLkup!$D:$D,MATCH(AllVar!VL1,MultipleLkup!$B:$B,0)),IFERROR(INDEX(AllVarName!$C:$C,MATCH(AllVar!VL1,AllVarName!$B:$B,0)),"No match"))</f>
        <v>High Tariff Progression Rate Gap</v>
      </c>
      <c r="VN2" s="1" t="str">
        <f>IF(COUNTIFS(AllVarName!$B:$B,AllVar!VM1)&gt;1,INDEX(MultipleLkup!$D:$D,MATCH(AllVar!VM1,MultipleLkup!$B:$B,0)),IFERROR(INDEX(AllVarName!$C:$C,MATCH(AllVar!VM1,AllVarName!$B:$B,0)),"No match"))</f>
        <v>Number of higher education students</v>
      </c>
      <c r="VO2" s="1" t="str">
        <f>IF(COUNTIFS(AllVarName!$B:$B,AllVar!VN1)&gt;1,INDEX(MultipleLkup!$D:$D,MATCH(AllVar!VN1,MultipleLkup!$B:$B,0)),IFERROR(INDEX(AllVarName!$C:$C,MATCH(AllVar!VN1,AllVarName!$B:$B,0)),"No match"))</f>
        <v>Number of HE Students (High Tariff)</v>
      </c>
      <c r="VP2" s="1" t="str">
        <f>IF(COUNTIFS(AllVarName!$B:$B,AllVar!VO1)&gt;1,INDEX(MultipleLkup!$D:$D,MATCH(AllVar!VO1,MultipleLkup!$B:$B,0)),IFERROR(INDEX(AllVarName!$C:$C,MATCH(AllVar!VO1,AllVarName!$B:$B,0)),"No match"))</f>
        <v>Number of Pupils</v>
      </c>
      <c r="VQ2" s="1" t="str">
        <f>IF(COUNTIFS(AllVarName!$B:$B,AllVar!VP1)&gt;1,INDEX(MultipleLkup!$D:$D,MATCH(AllVar!VP1,MultipleLkup!$B:$B,0)),IFERROR(INDEX(AllVarName!$C:$C,MATCH(AllVar!VP1,AllVarName!$B:$B,0)),"No match"))</f>
        <v>Higher education Progression Rate (Free School Meals gap)</v>
      </c>
      <c r="VR2" s="1" t="str">
        <f>IF(COUNTIFS(AllVarName!$B:$B,AllVar!VQ1)&gt;1,INDEX(MultipleLkup!$D:$D,MATCH(AllVar!VQ1,MultipleLkup!$B:$B,0)),IFERROR(INDEX(AllVarName!$C:$C,MATCH(AllVar!VQ1,AllVarName!$B:$B,0)),"No match"))</f>
        <v>High Tariff Higher Education Progression Rate (lowest ethnic group - White)</v>
      </c>
      <c r="VS2" s="1" t="str">
        <f>IF(COUNTIFS(AllVarName!$B:$B,AllVar!VR1)&gt;1,INDEX(MultipleLkup!$D:$D,MATCH(AllVar!VR1,MultipleLkup!$B:$B,0)),IFERROR(INDEX(AllVarName!$C:$C,MATCH(AllVar!VR1,AllVarName!$B:$B,0)),"No match"))</f>
        <v>Higher education Progression Rate (greatest increase - Black)</v>
      </c>
      <c r="VT2" s="1" t="str">
        <f>IF(COUNTIFS(AllVarName!$B:$B,AllVar!VS1)&gt;1,INDEX(MultipleLkup!$D:$D,MATCH(AllVar!VS1,MultipleLkup!$B:$B,0)),IFERROR(INDEX(AllVarName!$C:$C,MATCH(AllVar!VS1,AllVarName!$B:$B,0)),"No match"))</f>
        <v>Higher education progression rate (Female)</v>
      </c>
      <c r="VU2" s="1" t="str">
        <f>IF(COUNTIFS(AllVarName!$B:$B,AllVar!VT1)&gt;1,INDEX(MultipleLkup!$D:$D,MATCH(AllVar!VT1,MultipleLkup!$B:$B,0)),IFERROR(INDEX(AllVarName!$C:$C,MATCH(AllVar!VT1,AllVarName!$B:$B,0)),"No match"))</f>
        <v>Higher education Progression Rate (free school meals highest region – Inner London)</v>
      </c>
      <c r="VV2" s="1" t="str">
        <f>IF(COUNTIFS(AllVarName!$B:$B,AllVar!VU1)&gt;1,INDEX(MultipleLkup!$D:$D,MATCH(AllVar!VU1,MultipleLkup!$B:$B,0)),IFERROR(INDEX(AllVarName!$C:$C,MATCH(AllVar!VU1,AllVarName!$B:$B,0)),"No match"))</f>
        <v>Higher education Progression Rate (State)</v>
      </c>
      <c r="VW2" s="1" t="str">
        <f>IF(COUNTIFS(AllVarName!$B:$B,AllVar!VV1)&gt;1,INDEX(MultipleLkup!$D:$D,MATCH(AllVar!VV1,MultipleLkup!$B:$B,0)),IFERROR(INDEX(AllVarName!$C:$C,MATCH(AllVar!VV1,AllVarName!$B:$B,0)),"No match"))</f>
        <v>Higher education Progression Rate (Independent)</v>
      </c>
      <c r="VX2" s="1" t="str">
        <f>IF(COUNTIFS(AllVarName!$B:$B,AllVar!VW1)&gt;1,INDEX(MultipleLkup!$D:$D,MATCH(AllVar!VW1,MultipleLkup!$B:$B,0)),IFERROR(INDEX(AllVarName!$C:$C,MATCH(AllVar!VW1,AllVarName!$B:$B,0)),"No match"))</f>
        <v>High Tariff Higher Education Progression Rate (State)</v>
      </c>
      <c r="VY2" s="1" t="str">
        <f>IF(COUNTIFS(AllVarName!$B:$B,AllVar!VX1)&gt;1,INDEX(MultipleLkup!$D:$D,MATCH(AllVar!VX1,MultipleLkup!$B:$B,0)),IFERROR(INDEX(AllVarName!$C:$C,MATCH(AllVar!VX1,AllVarName!$B:$B,0)),"No match"))</f>
        <v>High Tariff Higher Education Progression Rate (Independent)</v>
      </c>
      <c r="VZ2" s="1" t="str">
        <f>IF(COUNTIFS(AllVarName!$B:$B,AllVar!VY1)&gt;1,INDEX(MultipleLkup!$D:$D,MATCH(AllVar!VY1,MultipleLkup!$B:$B,0)),IFERROR(INDEX(AllVarName!$C:$C,MATCH(AllVar!VY1,AllVarName!$B:$B,0)),"No match"))</f>
        <v>Special educational needs status</v>
      </c>
      <c r="WA2" s="1" t="str">
        <f>IF(COUNTIFS(AllVarName!$B:$B,AllVar!VZ1)&gt;1,INDEX(MultipleLkup!$D:$D,MATCH(AllVar!VZ1,MultipleLkup!$B:$B,0)),IFERROR(INDEX(AllVarName!$C:$C,MATCH(AllVar!VZ1,AllVarName!$B:$B,0)),"No match"))</f>
        <v>Tariff Group</v>
      </c>
      <c r="WB2" s="1" t="str">
        <f>IF(COUNTIFS(AllVarName!$B:$B,AllVar!WA1)&gt;1,INDEX(MultipleLkup!$D:$D,MATCH(AllVar!WA1,MultipleLkup!$B:$B,0)),IFERROR(INDEX(AllVarName!$C:$C,MATCH(AllVar!WA1,AllVarName!$B:$B,0)),"No match"))</f>
        <v>Mean Tariff</v>
      </c>
      <c r="WC2" s="1" t="str">
        <f>IF(COUNTIFS(AllVarName!$B:$B,AllVar!WB1)&gt;1,INDEX(MultipleLkup!$D:$D,MATCH(AllVar!WB1,MultipleLkup!$B:$B,0)),IFERROR(INDEX(AllVarName!$C:$C,MATCH(AllVar!WB1,AllVarName!$B:$B,0)),"No match"))</f>
        <v>Teaching excellence framework Rating</v>
      </c>
      <c r="WD2" s="1" t="str">
        <f>IF(COUNTIFS(AllVarName!$B:$B,AllVar!WC1)&gt;1,INDEX(MultipleLkup!$D:$D,MATCH(AllVar!WC1,MultipleLkup!$B:$B,0)),IFERROR(INDEX(AllVarName!$C:$C,MATCH(AllVar!WC1,AllVarName!$B:$B,0)),"No match"))</f>
        <v>Percentage of higher education Students</v>
      </c>
      <c r="WE2" s="1" t="str">
        <f>IF(COUNTIFS(AllVarName!$B:$B,AllVar!WD1)&gt;1,INDEX(MultipleLkup!$D:$D,MATCH(AllVar!WD1,MultipleLkup!$B:$B,0)),IFERROR(INDEX(AllVarName!$C:$C,MATCH(AllVar!WD1,AllVarName!$B:$B,0)),"No match"))</f>
        <v>All achievements</v>
      </c>
      <c r="WF2" s="1" t="str">
        <f>IF(COUNTIFS(AllVarName!$B:$B,AllVar!WE1)&gt;1,INDEX(MultipleLkup!$D:$D,MATCH(AllVar!WE1,MultipleLkup!$B:$B,0)),IFERROR(INDEX(AllVarName!$C:$C,MATCH(AllVar!WE1,AllVarName!$B:$B,0)),"No match"))</f>
        <v>Type of higher Education level learning (broad)</v>
      </c>
      <c r="WG2" s="1" t="str">
        <f>IF(COUNTIFS(AllVarName!$B:$B,AllVar!WF1)&gt;1,INDEX(MultipleLkup!$D:$D,MATCH(AllVar!WF1,MultipleLkup!$B:$B,0)),IFERROR(INDEX(AllVarName!$C:$C,MATCH(AllVar!WF1,AllVarName!$B:$B,0)),"No match"))</f>
        <v>Percentage of all achievements</v>
      </c>
      <c r="WH2" s="1" t="str">
        <f>IF(COUNTIFS(AllVarName!$B:$B,AllVar!WG1)&gt;1,INDEX(MultipleLkup!$D:$D,MATCH(AllVar!WG1,MultipleLkup!$B:$B,0)),IFERROR(INDEX(AllVarName!$C:$C,MATCH(AllVar!WG1,AllVarName!$B:$B,0)),"No match"))</f>
        <v>Percentage of entrants</v>
      </c>
      <c r="WI2" s="1" t="str">
        <f>IF(COUNTIFS(AllVarName!$B:$B,AllVar!WH1)&gt;1,INDEX(MultipleLkup!$D:$D,MATCH(AllVar!WH1,MultipleLkup!$B:$B,0)),IFERROR(INDEX(AllVarName!$C:$C,MATCH(AllVar!WH1,AllVarName!$B:$B,0)),"No match"))</f>
        <v>Percentage of all enrolments</v>
      </c>
      <c r="WJ2" s="1" t="str">
        <f>IF(COUNTIFS(AllVarName!$B:$B,AllVar!WI1)&gt;1,INDEX(MultipleLkup!$D:$D,MATCH(AllVar!WI1,MultipleLkup!$B:$B,0)),IFERROR(INDEX(AllVarName!$C:$C,MATCH(AllVar!WI1,AllVarName!$B:$B,0)),"No match"))</f>
        <v>Entrants to Level 4 in 2020/21</v>
      </c>
      <c r="WK2" s="1" t="str">
        <f>IF(COUNTIFS(AllVarName!$B:$B,AllVar!WJ1)&gt;1,INDEX(MultipleLkup!$D:$D,MATCH(AllVar!WJ1,MultipleLkup!$B:$B,0)),IFERROR(INDEX(AllVarName!$C:$C,MATCH(AllVar!WJ1,AllVarName!$B:$B,0)),"No match"))</f>
        <v>Entrants to Level 5 in 2020/21</v>
      </c>
      <c r="WL2" s="1" t="str">
        <f>IF(COUNTIFS(AllVarName!$B:$B,AllVar!WK1)&gt;1,INDEX(MultipleLkup!$D:$D,MATCH(AllVar!WK1,MultipleLkup!$B:$B,0)),IFERROR(INDEX(AllVarName!$C:$C,MATCH(AllVar!WK1,AllVarName!$B:$B,0)),"No match"))</f>
        <v>Entrants to Level 6 in 2020/21</v>
      </c>
      <c r="WM2" s="1" t="str">
        <f>IF(COUNTIFS(AllVarName!$B:$B,AllVar!WL1)&gt;1,INDEX(MultipleLkup!$D:$D,MATCH(AllVar!WL1,MultipleLkup!$B:$B,0)),IFERROR(INDEX(AllVarName!$C:$C,MATCH(AllVar!WL1,AllVarName!$B:$B,0)),"No match"))</f>
        <v>Entrants to Level 7 in 2020/21</v>
      </c>
      <c r="WN2" s="1" t="str">
        <f>IF(COUNTIFS(AllVarName!$B:$B,AllVar!WM1)&gt;1,INDEX(MultipleLkup!$D:$D,MATCH(AllVar!WM1,MultipleLkup!$B:$B,0)),IFERROR(INDEX(AllVarName!$C:$C,MATCH(AllVar!WM1,AllVarName!$B:$B,0)),"No match"))</f>
        <v>Entrants to Level 8 in 2020/21</v>
      </c>
      <c r="WO2" s="1" t="str">
        <f>IF(COUNTIFS(AllVarName!$B:$B,AllVar!WN1)&gt;1,INDEX(MultipleLkup!$D:$D,MATCH(AllVar!WN1,MultipleLkup!$B:$B,0)),IFERROR(INDEX(AllVarName!$C:$C,MATCH(AllVar!WN1,AllVarName!$B:$B,0)),"No match"))</f>
        <v>Percentage of higher-level entrants registered in Higher Education Providers (HEPs) in 2020/21</v>
      </c>
      <c r="WP2" s="1" t="str">
        <f>IF(COUNTIFS(AllVarName!$B:$B,AllVar!WO1)&gt;1,INDEX(MultipleLkup!$D:$D,MATCH(AllVar!WO1,MultipleLkup!$B:$B,0)),IFERROR(INDEX(AllVarName!$C:$C,MATCH(AllVar!WO1,AllVarName!$B:$B,0)),"No match"))</f>
        <v>Index of multiple deprivation quintile</v>
      </c>
      <c r="WQ2" s="1" t="str">
        <f>IF(COUNTIFS(AllVarName!$B:$B,AllVar!WP1)&gt;1,INDEX(MultipleLkup!$D:$D,MATCH(AllVar!WP1,MultipleLkup!$B:$B,0)),IFERROR(INDEX(AllVarName!$C:$C,MATCH(AllVar!WP1,AllVarName!$B:$B,0)),"No match"))</f>
        <v>Funding</v>
      </c>
      <c r="WR2" s="1" t="str">
        <f>IF(COUNTIFS(AllVarName!$B:$B,AllVar!WQ1)&gt;1,INDEX(MultipleLkup!$D:$D,MATCH(AllVar!WQ1,MultipleLkup!$B:$B,0)),IFERROR(INDEX(AllVarName!$C:$C,MATCH(AllVar!WQ1,AllVarName!$B:$B,0)),"No match"))</f>
        <v>Provider category</v>
      </c>
      <c r="WS2" s="1" t="str">
        <f>IF(COUNTIFS(AllVarName!$B:$B,AllVar!WR1)&gt;1,INDEX(MultipleLkup!$D:$D,MATCH(AllVar!WR1,MultipleLkup!$B:$B,0)),IFERROR(INDEX(AllVarName!$C:$C,MATCH(AllVar!WR1,AllVarName!$B:$B,0)),"No match"))</f>
        <v>Common aggregation hierarchy subject first level grouping</v>
      </c>
      <c r="WT2" s="1" t="str">
        <f>IF(COUNTIFS(AllVarName!$B:$B,AllVar!WS1)&gt;1,INDEX(MultipleLkup!$D:$D,MATCH(AllVar!WS1,MultipleLkup!$B:$B,0)),IFERROR(INDEX(AllVarName!$C:$C,MATCH(AllVar!WS1,AllVarName!$B:$B,0)),"No match"))</f>
        <v>Common aggregation hierarchy subject second level grouping</v>
      </c>
      <c r="WU2" s="1" t="str">
        <f>IF(COUNTIFS(AllVarName!$B:$B,AllVar!WT1)&gt;1,INDEX(MultipleLkup!$D:$D,MATCH(AllVar!WT1,MultipleLkup!$B:$B,0)),IFERROR(INDEX(AllVarName!$C:$C,MATCH(AllVar!WT1,AllVarName!$B:$B,0)),"No match"))</f>
        <v>Technical route</v>
      </c>
      <c r="WV2" s="1" t="str">
        <f>IF(COUNTIFS(AllVarName!$B:$B,AllVar!WU1)&gt;1,INDEX(MultipleLkup!$D:$D,MATCH(AllVar!WU1,MultipleLkup!$B:$B,0)),IFERROR(INDEX(AllVarName!$C:$C,MATCH(AllVar!WU1,AllVarName!$B:$B,0)),"No match"))</f>
        <v>Graduate Characteristic</v>
      </c>
      <c r="WW2" s="1" t="str">
        <f>IF(COUNTIFS(AllVarName!$B:$B,AllVar!WV1)&gt;1,INDEX(MultipleLkup!$D:$D,MATCH(AllVar!WV1,MultipleLkup!$B:$B,0)),IFERROR(INDEX(AllVarName!$C:$C,MATCH(AllVar!WV1,AllVarName!$B:$B,0)),"No match"))</f>
        <v>Graduate Breakdown</v>
      </c>
      <c r="WX2" s="1" t="str">
        <f>IF(COUNTIFS(AllVarName!$B:$B,AllVar!WW1)&gt;1,INDEX(MultipleLkup!$D:$D,MATCH(AllVar!WW1,MultipleLkup!$B:$B,0)),IFERROR(INDEX(AllVarName!$C:$C,MATCH(AllVar!WW1,AllVarName!$B:$B,0)),"No match"))</f>
        <v>Graduate Type</v>
      </c>
      <c r="WY2" s="1" t="str">
        <f>IF(COUNTIFS(AllVarName!$B:$B,AllVar!WX1)&gt;1,INDEX(MultipleLkup!$D:$D,MATCH(AllVar!WX1,MultipleLkup!$B:$B,0)),IFERROR(INDEX(AllVarName!$C:$C,MATCH(AllVar!WX1,AllVarName!$B:$B,0)),"No match"))</f>
        <v xml:space="preserve">Graduate Age Group </v>
      </c>
      <c r="WZ2" s="1" t="str">
        <f>IF(COUNTIFS(AllVarName!$B:$B,AllVar!WY1)&gt;1,INDEX(MultipleLkup!$D:$D,MATCH(AllVar!WY1,MultipleLkup!$B:$B,0)),IFERROR(INDEX(AllVarName!$C:$C,MATCH(AllVar!WY1,AllVarName!$B:$B,0)),"No match"))</f>
        <v>Graduate Employment Rate</v>
      </c>
      <c r="XA2" s="1" t="str">
        <f>IF(COUNTIFS(AllVarName!$B:$B,AllVar!WZ1)&gt;1,INDEX(MultipleLkup!$D:$D,MATCH(AllVar!WZ1,MultipleLkup!$B:$B,0)),IFERROR(INDEX(AllVarName!$C:$C,MATCH(AllVar!WZ1,AllVarName!$B:$B,0)),"No match"))</f>
        <v>Graduate High-Skilled Employment Rate</v>
      </c>
      <c r="XB2" s="1" t="str">
        <f>IF(COUNTIFS(AllVarName!$B:$B,AllVar!XA1)&gt;1,INDEX(MultipleLkup!$D:$D,MATCH(AllVar!XA1,MultipleLkup!$B:$B,0)),IFERROR(INDEX(AllVarName!$C:$C,MATCH(AllVar!XA1,AllVarName!$B:$B,0)),"No match"))</f>
        <v>Median Salary for Graduates (to the nearest £500)</v>
      </c>
      <c r="XC2" s="1" t="str">
        <f>IF(COUNTIFS(AllVarName!$B:$B,AllVar!XB1)&gt;1,INDEX(MultipleLkup!$D:$D,MATCH(AllVar!XB1,MultipleLkup!$B:$B,0)),IFERROR(INDEX(AllVarName!$C:$C,MATCH(AllVar!XB1,AllVarName!$B:$B,0)),"No match"))</f>
        <v>Median Salary Premium for Graduates over Non-graduates</v>
      </c>
      <c r="XD2" s="1" t="str">
        <f>IF(COUNTIFS(AllVarName!$B:$B,AllVar!XC1)&gt;1,INDEX(MultipleLkup!$D:$D,MATCH(AllVar!XC1,MultipleLkup!$B:$B,0)),IFERROR(INDEX(AllVarName!$C:$C,MATCH(AllVar!XC1,AllVarName!$B:$B,0)),"No match"))</f>
        <v>Employment Rate</v>
      </c>
      <c r="XE2" s="1" t="str">
        <f>IF(COUNTIFS(AllVarName!$B:$B,AllVar!XD1)&gt;1,INDEX(MultipleLkup!$D:$D,MATCH(AllVar!XD1,MultipleLkup!$B:$B,0)),IFERROR(INDEX(AllVarName!$C:$C,MATCH(AllVar!XD1,AllVarName!$B:$B,0)),"No match"))</f>
        <v>High-skilled Employment Rate</v>
      </c>
      <c r="XF2" s="1" t="str">
        <f>IF(COUNTIFS(AllVarName!$B:$B,AllVar!XE1)&gt;1,INDEX(MultipleLkup!$D:$D,MATCH(AllVar!XE1,MultipleLkup!$B:$B,0)),IFERROR(INDEX(AllVarName!$C:$C,MATCH(AllVar!XE1,AllVarName!$B:$B,0)),"No match"))</f>
        <v>Graduate Unemployment Rate</v>
      </c>
      <c r="XG2" s="1" t="str">
        <f>IF(COUNTIFS(AllVarName!$B:$B,AllVar!XF1)&gt;1,INDEX(MultipleLkup!$D:$D,MATCH(AllVar!XF1,MultipleLkup!$B:$B,0)),IFERROR(INDEX(AllVarName!$C:$C,MATCH(AllVar!XF1,AllVarName!$B:$B,0)),"No match"))</f>
        <v>Inactivity Rate</v>
      </c>
      <c r="XH2" s="1" t="str">
        <f>IF(COUNTIFS(AllVarName!$B:$B,AllVar!XG1)&gt;1,INDEX(MultipleLkup!$D:$D,MATCH(AllVar!XG1,MultipleLkup!$B:$B,0)),IFERROR(INDEX(AllVarName!$C:$C,MATCH(AllVar!XG1,AllVarName!$B:$B,0)),"No match"))</f>
        <v>Proportion Of Part Time Workers</v>
      </c>
      <c r="XI2" s="1" t="str">
        <f>IF(COUNTIFS(AllVarName!$B:$B,AllVar!XH1)&gt;1,INDEX(MultipleLkup!$D:$D,MATCH(AllVar!XH1,MultipleLkup!$B:$B,0)),IFERROR(INDEX(AllVarName!$C:$C,MATCH(AllVar!XH1,AllVarName!$B:$B,0)),"No match"))</f>
        <v>Employment  proportion</v>
      </c>
      <c r="XJ2" s="1" t="str">
        <f>IF(COUNTIFS(AllVarName!$B:$B,AllVar!XI1)&gt;1,INDEX(MultipleLkup!$D:$D,MATCH(AllVar!XI1,MultipleLkup!$B:$B,0)),IFERROR(INDEX(AllVarName!$C:$C,MATCH(AllVar!XI1,AllVarName!$B:$B,0)),"No match"))</f>
        <v>Employment Rate Upper Bound</v>
      </c>
      <c r="XK2" s="1" t="str">
        <f>IF(COUNTIFS(AllVarName!$B:$B,AllVar!XJ1)&gt;1,INDEX(MultipleLkup!$D:$D,MATCH(AllVar!XJ1,MultipleLkup!$B:$B,0)),IFERROR(INDEX(AllVarName!$C:$C,MATCH(AllVar!XJ1,AllVarName!$B:$B,0)),"No match"))</f>
        <v>Employment Rate Lower Bound</v>
      </c>
      <c r="XL2" s="1" t="str">
        <f>IF(COUNTIFS(AllVarName!$B:$B,AllVar!XK1)&gt;1,INDEX(MultipleLkup!$D:$D,MATCH(AllVar!XK1,MultipleLkup!$B:$B,0)),IFERROR(INDEX(AllVarName!$C:$C,MATCH(AllVar!XK1,AllVarName!$B:$B,0)),"No match"))</f>
        <v>High-skilled Employment Proportion</v>
      </c>
      <c r="XM2" s="1" t="str">
        <f>IF(COUNTIFS(AllVarName!$B:$B,AllVar!XL1)&gt;1,INDEX(MultipleLkup!$D:$D,MATCH(AllVar!XL1,MultipleLkup!$B:$B,0)),IFERROR(INDEX(AllVarName!$C:$C,MATCH(AllVar!XL1,AllVarName!$B:$B,0)),"No match"))</f>
        <v>High-skilled Employment Rate Upper Bound</v>
      </c>
      <c r="XN2" s="1" t="str">
        <f>IF(COUNTIFS(AllVarName!$B:$B,AllVar!XM1)&gt;1,INDEX(MultipleLkup!$D:$D,MATCH(AllVar!XM1,MultipleLkup!$B:$B,0)),IFERROR(INDEX(AllVarName!$C:$C,MATCH(AllVar!XM1,AllVarName!$B:$B,0)),"No match"))</f>
        <v>High-skilled Employment Rate Lower Bound</v>
      </c>
      <c r="XO2" s="1" t="str">
        <f>IF(COUNTIFS(AllVarName!$B:$B,AllVar!XN1)&gt;1,INDEX(MultipleLkup!$D:$D,MATCH(AllVar!XN1,MultipleLkup!$B:$B,0)),IFERROR(INDEX(AllVarName!$C:$C,MATCH(AllVar!XN1,AllVarName!$B:$B,0)),"No match"))</f>
        <v>Unemployment proportion</v>
      </c>
      <c r="XP2" s="1" t="str">
        <f>IF(COUNTIFS(AllVarName!$B:$B,AllVar!XO1)&gt;1,INDEX(MultipleLkup!$D:$D,MATCH(AllVar!XO1,MultipleLkup!$B:$B,0)),IFERROR(INDEX(AllVarName!$C:$C,MATCH(AllVar!XO1,AllVarName!$B:$B,0)),"No match"))</f>
        <v>Unemployment Rate Upper Bound</v>
      </c>
      <c r="XQ2" s="1" t="str">
        <f>IF(COUNTIFS(AllVarName!$B:$B,AllVar!XP1)&gt;1,INDEX(MultipleLkup!$D:$D,MATCH(AllVar!XP1,MultipleLkup!$B:$B,0)),IFERROR(INDEX(AllVarName!$C:$C,MATCH(AllVar!XP1,AllVarName!$B:$B,0)),"No match"))</f>
        <v>Unemployment Rate Lower Bound</v>
      </c>
      <c r="XR2" s="1" t="str">
        <f>IF(COUNTIFS(AllVarName!$B:$B,AllVar!XQ1)&gt;1,INDEX(MultipleLkup!$D:$D,MATCH(AllVar!XQ1,MultipleLkup!$B:$B,0)),IFERROR(INDEX(AllVarName!$C:$C,MATCH(AllVar!XQ1,AllVarName!$B:$B,0)),"No match"))</f>
        <v>total number of starts FY 2122</v>
      </c>
      <c r="XS2" s="1" t="str">
        <f>IF(COUNTIFS(AllVarName!$B:$B,AllVar!XR1)&gt;1,INDEX(MultipleLkup!$D:$D,MATCH(AllVar!XR1,MultipleLkup!$B:$B,0)),IFERROR(INDEX(AllVarName!$C:$C,MATCH(AllVar!XR1,AllVarName!$B:$B,0)),"No match"))</f>
        <v>number of heavy goods vehicle starts FY 2122</v>
      </c>
      <c r="XT2" s="1" t="str">
        <f>IF(COUNTIFS(AllVarName!$B:$B,AllVar!XS1)&gt;1,INDEX(MultipleLkup!$D:$D,MATCH(AllVar!XS1,MultipleLkup!$B:$B,0)),IFERROR(INDEX(AllVarName!$C:$C,MATCH(AllVar!XS1,AllVarName!$B:$B,0)),"No match"))</f>
        <v>number of non heavy goods vehicle starts FY 2122</v>
      </c>
      <c r="XU2" s="1" t="str">
        <f>IF(COUNTIFS(AllVarName!$B:$B,AllVar!XT1)&gt;1,INDEX(MultipleLkup!$D:$D,MATCH(AllVar!XT1,MultipleLkup!$B:$B,0)),IFERROR(INDEX(AllVarName!$C:$C,MATCH(AllVar!XT1,AllVarName!$B:$B,0)),"No match"))</f>
        <v>qualification number</v>
      </c>
      <c r="XV2" s="1" t="str">
        <f>IF(COUNTIFS(AllVarName!$B:$B,AllVar!XU1)&gt;1,INDEX(MultipleLkup!$D:$D,MATCH(AllVar!XU1,MultipleLkup!$B:$B,0)),IFERROR(INDEX(AllVarName!$C:$C,MATCH(AllVar!XU1,AllVarName!$B:$B,0)),"No match"))</f>
        <v>GCSE</v>
      </c>
      <c r="XW2" s="1" t="str">
        <f>IF(COUNTIFS(AllVarName!$B:$B,AllVar!XV1)&gt;1,INDEX(MultipleLkup!$D:$D,MATCH(AllVar!XV1,MultipleLkup!$B:$B,0)),IFERROR(INDEX(AllVarName!$C:$C,MATCH(AllVar!XV1,AllVarName!$B:$B,0)),"No match"))</f>
        <v>SPD Percent</v>
      </c>
      <c r="XX2" s="1" t="str">
        <f>IF(COUNTIFS(AllVarName!$B:$B,AllVar!XW1)&gt;1,INDEX(MultipleLkup!$D:$D,MATCH(AllVar!XW1,MultipleLkup!$B:$B,0)),IFERROR(INDEX(AllVarName!$C:$C,MATCH(AllVar!XW1,AllVarName!$B:$B,0)),"No match"))</f>
        <v>Employment Percent</v>
      </c>
      <c r="XY2" s="1" t="str">
        <f>IF(COUNTIFS(AllVarName!$B:$B,AllVar!XX1)&gt;1,INDEX(MultipleLkup!$D:$D,MATCH(AllVar!XX1,MultipleLkup!$B:$B,0)),IFERROR(INDEX(AllVarName!$C:$C,MATCH(AllVar!XX1,AllVarName!$B:$B,0)),"No match"))</f>
        <v>Employment Only Percent</v>
      </c>
      <c r="XZ2" s="1" t="str">
        <f>IF(COUNTIFS(AllVarName!$B:$B,AllVar!XY1)&gt;1,INDEX(MultipleLkup!$D:$D,MATCH(AllVar!XY1,MultipleLkup!$B:$B,0)),IFERROR(INDEX(AllVarName!$C:$C,MATCH(AllVar!XY1,AllVarName!$B:$B,0)),"No match"))</f>
        <v>Employment and learning percent</v>
      </c>
      <c r="YA2" s="1" t="str">
        <f>IF(COUNTIFS(AllVarName!$B:$B,AllVar!XZ1)&gt;1,INDEX(MultipleLkup!$D:$D,MATCH(AllVar!XZ1,MultipleLkup!$B:$B,0)),IFERROR(INDEX(AllVarName!$C:$C,MATCH(AllVar!XZ1,AllVarName!$B:$B,0)),"No match"))</f>
        <v>Learn only percent</v>
      </c>
      <c r="YB2" s="1" t="str">
        <f>IF(COUNTIFS(AllVarName!$B:$B,AllVar!YA1)&gt;1,INDEX(MultipleLkup!$D:$D,MATCH(AllVar!YA1,MultipleLkup!$B:$B,0)),IFERROR(INDEX(AllVarName!$C:$C,MATCH(AllVar!YA1,AllVarName!$B:$B,0)),"No match"))</f>
        <v>Higher Education Percent</v>
      </c>
      <c r="YC2" s="1" t="str">
        <f>IF(COUNTIFS(AllVarName!$B:$B,AllVar!YB1)&gt;1,INDEX(MultipleLkup!$D:$D,MATCH(AllVar!YB1,MultipleLkup!$B:$B,0)),IFERROR(INDEX(AllVarName!$C:$C,MATCH(AllVar!YB1,AllVarName!$B:$B,0)),"No match"))</f>
        <v>Further Education Percent</v>
      </c>
      <c r="YD2" s="1" t="str">
        <f>IF(COUNTIFS(AllVarName!$B:$B,AllVar!YC1)&gt;1,INDEX(MultipleLkup!$D:$D,MATCH(AllVar!YC1,MultipleLkup!$B:$B,0)),IFERROR(INDEX(AllVarName!$C:$C,MATCH(AllVar!YC1,AllVarName!$B:$B,0)),"No match"))</f>
        <v>Education Percent</v>
      </c>
      <c r="YE2" s="1" t="str">
        <f>IF(COUNTIFS(AllVarName!$B:$B,AllVar!YD1)&gt;1,INDEX(MultipleLkup!$D:$D,MATCH(AllVar!YD1,MultipleLkup!$B:$B,0)),IFERROR(INDEX(AllVarName!$C:$C,MATCH(AllVar!YD1,AllVarName!$B:$B,0)),"No match"))</f>
        <v>Wholesale retail percent</v>
      </c>
      <c r="YF2" s="1" t="str">
        <f>IF(COUNTIFS(AllVarName!$B:$B,AllVar!YE1)&gt;1,INDEX(MultipleLkup!$D:$D,MATCH(AllVar!YE1,MultipleLkup!$B:$B,0)),IFERROR(INDEX(AllVarName!$C:$C,MATCH(AllVar!YE1,AllVarName!$B:$B,0)),"No match"))</f>
        <v>public administration percent</v>
      </c>
      <c r="YG2" s="1" t="str">
        <f>IF(COUNTIFS(AllVarName!$B:$B,AllVar!YF1)&gt;1,INDEX(MultipleLkup!$D:$D,MATCH(AllVar!YF1,MultipleLkup!$B:$B,0)),IFERROR(INDEX(AllVarName!$C:$C,MATCH(AllVar!YF1,AllVarName!$B:$B,0)),"No match"))</f>
        <v>professional scientific technical percent</v>
      </c>
      <c r="YH2" s="1" t="str">
        <f>IF(COUNTIFS(AllVarName!$B:$B,AllVar!YG1)&gt;1,INDEX(MultipleLkup!$D:$D,MATCH(AllVar!YG1,MultipleLkup!$B:$B,0)),IFERROR(INDEX(AllVarName!$C:$C,MATCH(AllVar!YG1,AllVarName!$B:$B,0)),"No match"))</f>
        <v>transport percent</v>
      </c>
      <c r="YI2" s="1" t="str">
        <f>IF(COUNTIFS(AllVarName!$B:$B,AllVar!YH1)&gt;1,INDEX(MultipleLkup!$D:$D,MATCH(AllVar!YH1,MultipleLkup!$B:$B,0)),IFERROR(INDEX(AllVarName!$C:$C,MATCH(AllVar!YH1,AllVarName!$B:$B,0)),"No match"))</f>
        <v>agriculture percent</v>
      </c>
      <c r="YJ2" s="1" t="str">
        <f>IF(COUNTIFS(AllVarName!$B:$B,AllVar!YI1)&gt;1,INDEX(MultipleLkup!$D:$D,MATCH(AllVar!YI1,MultipleLkup!$B:$B,0)),IFERROR(INDEX(AllVarName!$C:$C,MATCH(AllVar!YI1,AllVarName!$B:$B,0)),"No match"))</f>
        <v>health and social care percent</v>
      </c>
      <c r="YK2" s="1" t="str">
        <f>IF(COUNTIFS(AllVarName!$B:$B,AllVar!YJ1)&gt;1,INDEX(MultipleLkup!$D:$D,MATCH(AllVar!YJ1,MultipleLkup!$B:$B,0)),IFERROR(INDEX(AllVarName!$C:$C,MATCH(AllVar!YJ1,AllVarName!$B:$B,0)),"No match"))</f>
        <v>construction percent</v>
      </c>
      <c r="YL2" s="1" t="str">
        <f>IF(COUNTIFS(AllVarName!$B:$B,AllVar!YK1)&gt;1,INDEX(MultipleLkup!$D:$D,MATCH(AllVar!YK1,MultipleLkup!$B:$B,0)),IFERROR(INDEX(AllVarName!$C:$C,MATCH(AllVar!YK1,AllVarName!$B:$B,0)),"No match"))</f>
        <v>information and communication percent</v>
      </c>
      <c r="YM2" s="1" t="str">
        <f>IF(COUNTIFS(AllVarName!$B:$B,AllVar!YL1)&gt;1,INDEX(MultipleLkup!$D:$D,MATCH(AllVar!YL1,MultipleLkup!$B:$B,0)),IFERROR(INDEX(AllVarName!$C:$C,MATCH(AllVar!YL1,AllVarName!$B:$B,0)),"No match"))</f>
        <v>administration percent</v>
      </c>
      <c r="YN2" s="1" t="str">
        <f>IF(COUNTIFS(AllVarName!$B:$B,AllVar!YM1)&gt;1,INDEX(MultipleLkup!$D:$D,MATCH(AllVar!YM1,MultipleLkup!$B:$B,0)),IFERROR(INDEX(AllVarName!$C:$C,MATCH(AllVar!YM1,AllVarName!$B:$B,0)),"No match"))</f>
        <v>manufacturing percent</v>
      </c>
      <c r="YO2" s="1" t="str">
        <f>IF(COUNTIFS(AllVarName!$B:$B,AllVar!YN1)&gt;1,INDEX(MultipleLkup!$D:$D,MATCH(AllVar!YN1,MultipleLkup!$B:$B,0)),IFERROR(INDEX(AllVarName!$C:$C,MATCH(AllVar!YN1,AllVarName!$B:$B,0)),"No match"))</f>
        <v>real estate percent</v>
      </c>
      <c r="YP2" s="1" t="str">
        <f>IF(COUNTIFS(AllVarName!$B:$B,AllVar!YO1)&gt;1,INDEX(MultipleLkup!$D:$D,MATCH(AllVar!YO1,MultipleLkup!$B:$B,0)),IFERROR(INDEX(AllVarName!$C:$C,MATCH(AllVar!YO1,AllVarName!$B:$B,0)),"No match"))</f>
        <v>arts percent</v>
      </c>
      <c r="YQ2" s="1" t="str">
        <f>IF(COUNTIFS(AllVarName!$B:$B,AllVar!YP1)&gt;1,INDEX(MultipleLkup!$D:$D,MATCH(AllVar!YP1,MultipleLkup!$B:$B,0)),IFERROR(INDEX(AllVarName!$C:$C,MATCH(AllVar!YP1,AllVarName!$B:$B,0)),"No match"))</f>
        <v>finance percent</v>
      </c>
      <c r="YR2" s="1" t="str">
        <f>IF(COUNTIFS(AllVarName!$B:$B,AllVar!YQ1)&gt;1,INDEX(MultipleLkup!$D:$D,MATCH(AllVar!YQ1,MultipleLkup!$B:$B,0)),IFERROR(INDEX(AllVarName!$C:$C,MATCH(AllVar!YQ1,AllVarName!$B:$B,0)),"No match"))</f>
        <v>hospitality percent</v>
      </c>
      <c r="YS2" s="1" t="str">
        <f>IF(COUNTIFS(AllVarName!$B:$B,AllVar!YR1)&gt;1,INDEX(MultipleLkup!$D:$D,MATCH(AllVar!YR1,MultipleLkup!$B:$B,0)),IFERROR(INDEX(AllVarName!$C:$C,MATCH(AllVar!YR1,AllVarName!$B:$B,0)),"No match"))</f>
        <v>other activities percent</v>
      </c>
      <c r="YT2" s="1" t="str">
        <f>IF(COUNTIFS(AllVarName!$B:$B,AllVar!YS1)&gt;1,INDEX(MultipleLkup!$D:$D,MATCH(AllVar!YS1,MultipleLkup!$B:$B,0)),IFERROR(INDEX(AllVarName!$C:$C,MATCH(AllVar!YS1,AllVarName!$B:$B,0)),"No match"))</f>
        <v>sector information not available percent</v>
      </c>
      <c r="YU2" s="1" t="str">
        <f>IF(COUNTIFS(AllVarName!$B:$B,AllVar!YT1)&gt;1,INDEX(MultipleLkup!$D:$D,MATCH(AllVar!YT1,MultipleLkup!$B:$B,0)),IFERROR(INDEX(AllVarName!$C:$C,MATCH(AllVar!YT1,AllVarName!$B:$B,0)),"No match"))</f>
        <v>science mathematics percent</v>
      </c>
      <c r="YV2" s="1" t="str">
        <f>IF(COUNTIFS(AllVarName!$B:$B,AllVar!YU1)&gt;1,INDEX(MultipleLkup!$D:$D,MATCH(AllVar!YU1,MultipleLkup!$B:$B,0)),IFERROR(INDEX(AllVarName!$C:$C,MATCH(AllVar!YU1,AllVarName!$B:$B,0)),"No match"))</f>
        <v>retail commercial percent</v>
      </c>
      <c r="YW2" s="1" t="str">
        <f>IF(COUNTIFS(AllVarName!$B:$B,AllVar!YV1)&gt;1,INDEX(MultipleLkup!$D:$D,MATCH(AllVar!YV1,MultipleLkup!$B:$B,0)),IFERROR(INDEX(AllVarName!$C:$C,MATCH(AllVar!YV1,AllVarName!$B:$B,0)),"No match"))</f>
        <v>history philosophy theology percent</v>
      </c>
      <c r="YX2" s="1" t="str">
        <f>IF(COUNTIFS(AllVarName!$B:$B,AllVar!YW1)&gt;1,INDEX(MultipleLkup!$D:$D,MATCH(AllVar!YW1,MultipleLkup!$B:$B,0)),IFERROR(INDEX(AllVarName!$C:$C,MATCH(AllVar!YW1,AllVarName!$B:$B,0)),"No match"))</f>
        <v>Information and communications technology percent</v>
      </c>
      <c r="YY2" s="1" t="str">
        <f>IF(COUNTIFS(AllVarName!$B:$B,AllVar!YX1)&gt;1,INDEX(MultipleLkup!$D:$D,MATCH(AllVar!YX1,MultipleLkup!$B:$B,0)),IFERROR(INDEX(AllVarName!$C:$C,MATCH(AllVar!YX1,AllVarName!$B:$B,0)),"No match"))</f>
        <v>social sciences percent</v>
      </c>
      <c r="YZ2" s="1" t="str">
        <f>IF(COUNTIFS(AllVarName!$B:$B,AllVar!YY1)&gt;1,INDEX(MultipleLkup!$D:$D,MATCH(AllVar!YY1,MultipleLkup!$B:$B,0)),IFERROR(INDEX(AllVarName!$C:$C,MATCH(AllVar!YY1,AllVarName!$B:$B,0)),"No match"))</f>
        <v>leisure travel tourism percent</v>
      </c>
      <c r="ZA2" s="1" t="str">
        <f>IF(COUNTIFS(AllVarName!$B:$B,AllVar!YZ1)&gt;1,INDEX(MultipleLkup!$D:$D,MATCH(AllVar!YZ1,MultipleLkup!$B:$B,0)),IFERROR(INDEX(AllVarName!$C:$C,MATCH(AllVar!YZ1,AllVarName!$B:$B,0)),"No match"))</f>
        <v>agriculture, horticulture animal care percent</v>
      </c>
      <c r="ZB2" s="1" t="str">
        <f>IF(COUNTIFS(AllVarName!$B:$B,AllVar!ZA1)&gt;1,INDEX(MultipleLkup!$D:$D,MATCH(AllVar!ZA1,MultipleLkup!$B:$B,0)),IFERROR(INDEX(AllVarName!$C:$C,MATCH(AllVar!ZA1,AllVarName!$B:$B,0)),"No match"))</f>
        <v>language literature culture percent</v>
      </c>
      <c r="ZC2" s="1" t="str">
        <f>IF(COUNTIFS(AllVarName!$B:$B,AllVar!ZB1)&gt;1,INDEX(MultipleLkup!$D:$D,MATCH(AllVar!ZB1,MultipleLkup!$B:$B,0)),IFERROR(INDEX(AllVarName!$C:$C,MATCH(AllVar!ZB1,AllVarName!$B:$B,0)),"No match"))</f>
        <v>business admin law percent</v>
      </c>
      <c r="ZD2" s="1" t="str">
        <f>IF(COUNTIFS(AllVarName!$B:$B,AllVar!ZC1)&gt;1,INDEX(MultipleLkup!$D:$D,MATCH(AllVar!ZC1,MultipleLkup!$B:$B,0)),IFERROR(INDEX(AllVarName!$C:$C,MATCH(AllVar!ZC1,AllVarName!$B:$B,0)),"No match"))</f>
        <v>Engineering, manufacturing percent</v>
      </c>
      <c r="ZE2" s="1" t="str">
        <f>IF(COUNTIFS(AllVarName!$B:$B,AllVar!ZD1)&gt;1,INDEX(MultipleLkup!$D:$D,MATCH(AllVar!ZD1,MultipleLkup!$B:$B,0)),IFERROR(INDEX(AllVarName!$C:$C,MATCH(AllVar!ZD1,AllVarName!$B:$B,0)),"No match"))</f>
        <v>arts, media, and publishing percent</v>
      </c>
      <c r="ZF2" s="1" t="str">
        <f>IF(COUNTIFS(AllVarName!$B:$B,AllVar!ZE1)&gt;1,INDEX(MultipleLkup!$D:$D,MATCH(AllVar!ZE1,MultipleLkup!$B:$B,0)),IFERROR(INDEX(AllVarName!$C:$C,MATCH(AllVar!ZE1,AllVarName!$B:$B,0)),"No match"))</f>
        <v>health services care percent</v>
      </c>
      <c r="ZG2" s="1" t="str">
        <f>IF(COUNTIFS(AllVarName!$B:$B,AllVar!ZF1)&gt;1,INDEX(MultipleLkup!$D:$D,MATCH(AllVar!ZF1,MultipleLkup!$B:$B,0)),IFERROR(INDEX(AllVarName!$C:$C,MATCH(AllVar!ZF1,AllVarName!$B:$B,0)),"No match"))</f>
        <v>life skills percent</v>
      </c>
      <c r="ZH2" s="1" t="str">
        <f>IF(COUNTIFS(AllVarName!$B:$B,AllVar!ZG1)&gt;1,INDEX(MultipleLkup!$D:$D,MATCH(AllVar!ZG1,MultipleLkup!$B:$B,0)),IFERROR(INDEX(AllVarName!$C:$C,MATCH(AllVar!ZG1,AllVarName!$B:$B,0)),"No match"))</f>
        <v>subject information not available percent</v>
      </c>
      <c r="ZI2" s="1" t="str">
        <f>IF(COUNTIFS(AllVarName!$B:$B,AllVar!ZH1)&gt;1,INDEX(MultipleLkup!$D:$D,MATCH(AllVar!ZH1,MultipleLkup!$B:$B,0)),IFERROR(INDEX(AllVarName!$C:$C,MATCH(AllVar!ZH1,AllVarName!$B:$B,0)),"No match"))</f>
        <v>sustained learning destination</v>
      </c>
      <c r="ZJ2" s="1" t="str">
        <f>IF(COUNTIFS(AllVarName!$B:$B,AllVar!ZI1)&gt;1,INDEX(MultipleLkup!$D:$D,MATCH(AllVar!ZI1,MultipleLkup!$B:$B,0)),IFERROR(INDEX(AllVarName!$C:$C,MATCH(AllVar!ZI1,AllVarName!$B:$B,0)),"No match"))</f>
        <v>Sector</v>
      </c>
      <c r="ZK2" s="1" t="str">
        <f>IF(COUNTIFS(AllVarName!$B:$B,AllVar!ZJ1)&gt;1,INDEX(MultipleLkup!$D:$D,MATCH(AllVar!ZJ1,MultipleLkup!$B:$B,0)),IFERROR(INDEX(AllVarName!$C:$C,MATCH(AllVar!ZJ1,AllVarName!$B:$B,0)),"No match"))</f>
        <v>subsector</v>
      </c>
      <c r="ZL2" s="1" t="str">
        <f>IF(COUNTIFS(AllVarName!$B:$B,AllVar!ZK1)&gt;1,INDEX(MultipleLkup!$D:$D,MATCH(AllVar!ZK1,MultipleLkup!$B:$B,0)),IFERROR(INDEX(AllVarName!$C:$C,MATCH(AllVar!ZK1,AllVarName!$B:$B,0)),"No match"))</f>
        <v>level group</v>
      </c>
      <c r="ZM2" s="1" t="str">
        <f>IF(COUNTIFS(AllVarName!$B:$B,AllVar!ZL1)&gt;1,INDEX(MultipleLkup!$D:$D,MATCH(AllVar!ZL1,MultipleLkup!$B:$B,0)),IFERROR(INDEX(AllVarName!$C:$C,MATCH(AllVar!ZL1,AllVarName!$B:$B,0)),"No match"))</f>
        <v>qualification rank</v>
      </c>
      <c r="ZN2" s="1" t="str">
        <f>IF(COUNTIFS(AllVarName!$B:$B,AllVar!ZM1)&gt;1,INDEX(MultipleLkup!$D:$D,MATCH(AllVar!ZM1,MultipleLkup!$B:$B,0)),IFERROR(INDEX(AllVarName!$C:$C,MATCH(AllVar!ZM1,AllVarName!$B:$B,0)),"No match"))</f>
        <v>Number of employees</v>
      </c>
      <c r="ZO2" s="1" t="str">
        <f>IF(COUNTIFS(AllVarName!$B:$B,AllVar!ZN1)&gt;1,INDEX(MultipleLkup!$D:$D,MATCH(AllVar!ZN1,MultipleLkup!$B:$B,0)),IFERROR(INDEX(AllVarName!$C:$C,MATCH(AllVar!ZN1,AllVarName!$B:$B,0)),"No match"))</f>
        <v>pct qualification</v>
      </c>
      <c r="ZP2" s="1" t="str">
        <f>IF(COUNTIFS(AllVarName!$B:$B,AllVar!ZO1)&gt;1,INDEX(MultipleLkup!$D:$D,MATCH(AllVar!ZO1,MultipleLkup!$B:$B,0)),IFERROR(INDEX(AllVarName!$C:$C,MATCH(AllVar!ZO1,AllVarName!$B:$B,0)),"No match"))</f>
        <v>pct subject</v>
      </c>
      <c r="ZQ2" s="1" t="str">
        <f>IF(COUNTIFS(AllVarName!$B:$B,AllVar!ZP1)&gt;1,INDEX(MultipleLkup!$D:$D,MATCH(AllVar!ZP1,MultipleLkup!$B:$B,0)),IFERROR(INDEX(AllVarName!$C:$C,MATCH(AllVar!ZP1,AllVarName!$B:$B,0)),"No match"))</f>
        <v>pct level</v>
      </c>
      <c r="ZR2" s="1" t="str">
        <f>IF(COUNTIFS(AllVarName!$B:$B,AllVar!ZQ1)&gt;1,INDEX(MultipleLkup!$D:$D,MATCH(AllVar!ZQ1,MultipleLkup!$B:$B,0)),IFERROR(INDEX(AllVarName!$C:$C,MATCH(AllVar!ZQ1,AllVarName!$B:$B,0)),"No match"))</f>
        <v>pct subsector</v>
      </c>
      <c r="ZS2" s="1" t="str">
        <f>IF(COUNTIFS(AllVarName!$B:$B,AllVar!ZR1)&gt;1,INDEX(MultipleLkup!$D:$D,MATCH(AllVar!ZR1,MultipleLkup!$B:$B,0)),IFERROR(INDEX(AllVarName!$C:$C,MATCH(AllVar!ZR1,AllVarName!$B:$B,0)),"No match"))</f>
        <v>pct sector</v>
      </c>
      <c r="ZT2" s="1" t="str">
        <f>IF(COUNTIFS(AllVarName!$B:$B,AllVar!ZS1)&gt;1,INDEX(MultipleLkup!$D:$D,MATCH(AllVar!ZS1,MultipleLkup!$B:$B,0)),IFERROR(INDEX(AllVarName!$C:$C,MATCH(AllVar!ZS1,AllVarName!$B:$B,0)),"No match"))</f>
        <v>pct region</v>
      </c>
      <c r="ZU2" s="1" t="str">
        <f>IF(COUNTIFS(AllVarName!$B:$B,AllVar!ZT1)&gt;1,INDEX(MultipleLkup!$D:$D,MATCH(AllVar!ZT1,MultipleLkup!$B:$B,0)),IFERROR(INDEX(AllVarName!$C:$C,MATCH(AllVar!ZT1,AllVarName!$B:$B,0)),"No match"))</f>
        <v>next qualification title</v>
      </c>
      <c r="ZV2" s="1" t="str">
        <f>IF(COUNTIFS(AllVarName!$B:$B,AllVar!ZU1)&gt;1,INDEX(MultipleLkup!$D:$D,MATCH(AllVar!ZU1,MultipleLkup!$B:$B,0)),IFERROR(INDEX(AllVarName!$C:$C,MATCH(AllVar!ZU1,AllVarName!$B:$B,0)),"No match"))</f>
        <v>next level group</v>
      </c>
      <c r="ZW2" s="1" t="str">
        <f>IF(COUNTIFS(AllVarName!$B:$B,AllVar!ZV1)&gt;1,INDEX(MultipleLkup!$D:$D,MATCH(AllVar!ZV1,MultipleLkup!$B:$B,0)),IFERROR(INDEX(AllVarName!$C:$C,MATCH(AllVar!ZV1,AllVarName!$B:$B,0)),"No match"))</f>
        <v>next subject</v>
      </c>
      <c r="ZX2" s="1" t="str">
        <f>IF(COUNTIFS(AllVarName!$B:$B,AllVar!ZW1)&gt;1,INDEX(MultipleLkup!$D:$D,MATCH(AllVar!ZW1,MultipleLkup!$B:$B,0)),IFERROR(INDEX(AllVarName!$C:$C,MATCH(AllVar!ZW1,AllVarName!$B:$B,0)),"No match"))</f>
        <v>destination rank</v>
      </c>
      <c r="ZY2" s="1" t="str">
        <f>IF(COUNTIFS(AllVarName!$B:$B,AllVar!ZX1)&gt;1,INDEX(MultipleLkup!$D:$D,MATCH(AllVar!ZX1,MultipleLkup!$B:$B,0)),IFERROR(INDEX(AllVarName!$C:$C,MATCH(AllVar!ZX1,AllVarName!$B:$B,0)),"No match"))</f>
        <v>pct employees</v>
      </c>
      <c r="ZZ2" s="1" t="str">
        <f>IF(COUNTIFS(AllVarName!$B:$B,AllVar!ZY1)&gt;1,INDEX(MultipleLkup!$D:$D,MATCH(AllVar!ZY1,MultipleLkup!$B:$B,0)),IFERROR(INDEX(AllVarName!$C:$C,MATCH(AllVar!ZY1,AllVarName!$B:$B,0)),"No match"))</f>
        <v>Employer Size</v>
      </c>
      <c r="AAA2" s="1" t="str">
        <f>IF(COUNTIFS(AllVarName!$B:$B,AllVar!ZZ1)&gt;1,INDEX(MultipleLkup!$D:$D,MATCH(AllVar!ZZ1,MultipleLkup!$B:$B,0)),IFERROR(INDEX(AllVarName!$C:$C,MATCH(AllVar!ZZ1,AllVarName!$B:$B,0)),"No match"))</f>
        <v>Two Digit Sector</v>
      </c>
      <c r="AAB2" s="1" t="str">
        <f>IF(COUNTIFS(AllVarName!$B:$B,AllVar!AAA1)&gt;1,INDEX(MultipleLkup!$D:$D,MATCH(AllVar!AAA1,MultipleLkup!$B:$B,0)),IFERROR(INDEX(AllVarName!$C:$C,MATCH(AllVar!AAA1,AllVarName!$B:$B,0)),"No match"))</f>
        <v>Index of Multiple deprivation</v>
      </c>
      <c r="AAC2" s="1" t="str">
        <f>IF(COUNTIFS(AllVarName!$B:$B,AllVar!AAB1)&gt;1,INDEX(MultipleLkup!$D:$D,MATCH(AllVar!AAB1,MultipleLkup!$B:$B,0)),IFERROR(INDEX(AllVarName!$C:$C,MATCH(AllVar!AAB1,AllVarName!$B:$B,0)),"No match"))</f>
        <v>ents with apprenticeship starts per 1000</v>
      </c>
      <c r="AAD2" s="1" t="str">
        <f>IF(COUNTIFS(AllVarName!$B:$B,AllVar!AAC1)&gt;1,INDEX(MultipleLkup!$D:$D,MATCH(AllVar!AAC1,MultipleLkup!$B:$B,0)),IFERROR(INDEX(AllVarName!$C:$C,MATCH(AllVar!AAC1,AllVarName!$B:$B,0)),"No match"))</f>
        <v>pct starts small and medium sized enterprises</v>
      </c>
      <c r="AAE2" s="1" t="str">
        <f>IF(COUNTIFS(AllVarName!$B:$B,AllVar!AAD1)&gt;1,INDEX(MultipleLkup!$D:$D,MATCH(AllVar!AAD1,MultipleLkup!$B:$B,0)),IFERROR(INDEX(AllVarName!$C:$C,MATCH(AllVar!AAD1,AllVarName!$B:$B,0)),"No match"))</f>
        <v>Apprenticeship service account, levy upported</v>
      </c>
      <c r="AAF2" s="1" t="str">
        <f>IF(COUNTIFS(AllVarName!$B:$B,AllVar!AAE1)&gt;1,INDEX(MultipleLkup!$D:$D,MATCH(AllVar!AAE1,MultipleLkup!$B:$B,0)),IFERROR(INDEX(AllVarName!$C:$C,MATCH(AllVar!AAE1,AllVarName!$B:$B,0)),"No match"))</f>
        <v>Size</v>
      </c>
      <c r="AAG2" s="1" t="str">
        <f>IF(COUNTIFS(AllVarName!$B:$B,AllVar!AAF1)&gt;1,INDEX(MultipleLkup!$D:$D,MATCH(AllVar!AAF1,MultipleLkup!$B:$B,0)),IFERROR(INDEX(AllVarName!$C:$C,MATCH(AllVar!AAF1,AllVarName!$B:$B,0)),"No match"))</f>
        <v>Legal Status</v>
      </c>
      <c r="AAH2" s="1" t="str">
        <f>IF(COUNTIFS(AllVarName!$B:$B,AllVar!AAG1)&gt;1,INDEX(MultipleLkup!$D:$D,MATCH(AllVar!AAG1,MultipleLkup!$B:$B,0)),IFERROR(INDEX(AllVarName!$C:$C,MATCH(AllVar!AAG1,AllVarName!$B:$B,0)),"No match"))</f>
        <v>Apprenticeship Service Account Levy Supported Starts</v>
      </c>
      <c r="AAI2" s="1" t="str">
        <f>IF(COUNTIFS(AllVarName!$B:$B,AllVar!AAH1)&gt;1,INDEX(MultipleLkup!$D:$D,MATCH(AllVar!AAH1,MultipleLkup!$B:$B,0)),IFERROR(INDEX(AllVarName!$C:$C,MATCH(AllVar!AAH1,AllVarName!$B:$B,0)),"No match"))</f>
        <v>Number of Enterprises</v>
      </c>
      <c r="AAJ2" s="1" t="str">
        <f>IF(COUNTIFS(AllVarName!$B:$B,AllVar!AAI1)&gt;1,INDEX(MultipleLkup!$D:$D,MATCH(AllVar!AAI1,MultipleLkup!$B:$B,0)),IFERROR(INDEX(AllVarName!$C:$C,MATCH(AllVar!AAI1,AllVarName!$B:$B,0)),"No match"))</f>
        <v>Apprentices Per 1k Employees</v>
      </c>
      <c r="AAK2" s="1" t="str">
        <f>IF(COUNTIFS(AllVarName!$B:$B,AllVar!AAJ1)&gt;1,INDEX(MultipleLkup!$D:$D,MATCH(AllVar!AAJ1,MultipleLkup!$B:$B,0)),IFERROR(INDEX(AllVarName!$C:$C,MATCH(AllVar!AAJ1,AllVarName!$B:$B,0)),"No match"))</f>
        <v>Enterprises With Apps Per 1k Entrants</v>
      </c>
      <c r="AAL2" s="1" t="str">
        <f>IF(COUNTIFS(AllVarName!$B:$B,AllVar!AAK1)&gt;1,INDEX(MultipleLkup!$D:$D,MATCH(AllVar!AAK1,MultipleLkup!$B:$B,0)),IFERROR(INDEX(AllVarName!$C:$C,MATCH(AllVar!AAK1,AllVarName!$B:$B,0)),"No match"))</f>
        <v>number of participants reported</v>
      </c>
      <c r="AAM2" s="1" t="str">
        <f>IF(COUNTIFS(AllVarName!$B:$B,AllVar!AAL1)&gt;1,INDEX(MultipleLkup!$D:$D,MATCH(AllVar!AAL1,MultipleLkup!$B:$B,0)),IFERROR(INDEX(AllVarName!$C:$C,MATCH(AllVar!AAL1,AllVarName!$B:$B,0)),"No match"))</f>
        <v>number completing</v>
      </c>
      <c r="AAN2" s="1" t="str">
        <f>IF(COUNTIFS(AllVarName!$B:$B,AllVar!AAM1)&gt;1,INDEX(MultipleLkup!$D:$D,MATCH(AllVar!AAM1,MultipleLkup!$B:$B,0)),IFERROR(INDEX(AllVarName!$C:$C,MATCH(AllVar!AAM1,AllVarName!$B:$B,0)),"No match"))</f>
        <v>new opportunities</v>
      </c>
      <c r="AAO2" s="1" t="str">
        <f>IF(COUNTIFS(AllVarName!$B:$B,AllVar!AAN1)&gt;1,INDEX(MultipleLkup!$D:$D,MATCH(AllVar!AAN1,MultipleLkup!$B:$B,0)),IFERROR(INDEX(AllVarName!$C:$C,MATCH(AllVar!AAN1,AllVarName!$B:$B,0)),"No match"))</f>
        <v>new responsibilities</v>
      </c>
      <c r="AAP2" s="1" t="str">
        <f>IF(COUNTIFS(AllVarName!$B:$B,AllVar!AAO1)&gt;1,INDEX(MultipleLkup!$D:$D,MATCH(AllVar!AAO1,MultipleLkup!$B:$B,0)),IFERROR(INDEX(AllVarName!$C:$C,MATCH(AllVar!AAO1,AllVarName!$B:$B,0)),"No match"))</f>
        <v>new employment</v>
      </c>
      <c r="AAQ2" s="1" t="str">
        <f>IF(COUNTIFS(AllVarName!$B:$B,AllVar!AAP1)&gt;1,INDEX(MultipleLkup!$D:$D,MATCH(AllVar!AAP1,MultipleLkup!$B:$B,0)),IFERROR(INDEX(AllVarName!$C:$C,MATCH(AllVar!AAP1,AllVarName!$B:$B,0)),"No match"))</f>
        <v>new role</v>
      </c>
      <c r="AAR2" s="1" t="str">
        <f>IF(COUNTIFS(AllVarName!$B:$B,AllVar!AAQ1)&gt;1,INDEX(MultipleLkup!$D:$D,MATCH(AllVar!AAQ1,MultipleLkup!$B:$B,0)),IFERROR(INDEX(AllVarName!$C:$C,MATCH(AllVar!AAQ1,AllVarName!$B:$B,0)),"No match"))</f>
        <v>no change</v>
      </c>
      <c r="AAS2" s="1" t="str">
        <f>IF(COUNTIFS(AllVarName!$B:$B,AllVar!AAR1)&gt;1,INDEX(MultipleLkup!$D:$D,MATCH(AllVar!AAR1,MultipleLkup!$B:$B,0)),IFERROR(INDEX(AllVarName!$C:$C,MATCH(AllVar!AAR1,AllVarName!$B:$B,0)),"No match"))</f>
        <v>SPD</v>
      </c>
      <c r="AAT2" s="1" t="str">
        <f>IF(COUNTIFS(AllVarName!$B:$B,AllVar!AAS1)&gt;1,INDEX(MultipleLkup!$D:$D,MATCH(AllVar!AAS1,MultipleLkup!$B:$B,0)),IFERROR(INDEX(AllVarName!$C:$C,MATCH(AllVar!AAS1,AllVarName!$B:$B,0)),"No match"))</f>
        <v>Employment</v>
      </c>
      <c r="AAU2" s="1" t="str">
        <f>IF(COUNTIFS(AllVarName!$B:$B,AllVar!AAT1)&gt;1,INDEX(MultipleLkup!$D:$D,MATCH(AllVar!AAT1,MultipleLkup!$B:$B,0)),IFERROR(INDEX(AllVarName!$C:$C,MATCH(AllVar!AAT1,AllVarName!$B:$B,0)),"No match"))</f>
        <v>Self Employment</v>
      </c>
      <c r="AAV2" s="1" t="str">
        <f>IF(COUNTIFS(AllVarName!$B:$B,AllVar!AAU1)&gt;1,INDEX(MultipleLkup!$D:$D,MATCH(AllVar!AAU1,MultipleLkup!$B:$B,0)),IFERROR(INDEX(AllVarName!$C:$C,MATCH(AllVar!AAU1,AllVarName!$B:$B,0)),"No match"))</f>
        <v>Learn</v>
      </c>
      <c r="AAW2" s="1" t="str">
        <f>IF(COUNTIFS(AllVarName!$B:$B,AllVar!AAV1)&gt;1,INDEX(MultipleLkup!$D:$D,MATCH(AllVar!AAV1,MultipleLkup!$B:$B,0)),IFERROR(INDEX(AllVarName!$C:$C,MATCH(AllVar!AAV1,AllVarName!$B:$B,0)),"No match"))</f>
        <v>Learn Only</v>
      </c>
      <c r="AAX2" s="1" t="str">
        <f>IF(COUNTIFS(AllVarName!$B:$B,AllVar!AAW1)&gt;1,INDEX(MultipleLkup!$D:$D,MATCH(AllVar!AAW1,MultipleLkup!$B:$B,0)),IFERROR(INDEX(AllVarName!$C:$C,MATCH(AllVar!AAW1,AllVarName!$B:$B,0)),"No match"))</f>
        <v>Below Level 2</v>
      </c>
      <c r="AAY2" s="1" t="str">
        <f>IF(COUNTIFS(AllVarName!$B:$B,AllVar!AAX1)&gt;1,INDEX(MultipleLkup!$D:$D,MATCH(AllVar!AAX1,MultipleLkup!$B:$B,0)),IFERROR(INDEX(AllVarName!$C:$C,MATCH(AllVar!AAX1,AllVarName!$B:$B,0)),"No match"))</f>
        <v>English, maths</v>
      </c>
      <c r="AAZ2" s="1" t="str">
        <f>IF(COUNTIFS(AllVarName!$B:$B,AllVar!AAY1)&gt;1,INDEX(MultipleLkup!$D:$D,MATCH(AllVar!AAY1,MultipleLkup!$B:$B,0)),IFERROR(INDEX(AllVarName!$C:$C,MATCH(AllVar!AAY1,AllVarName!$B:$B,0)),"No match"))</f>
        <v>Level 2</v>
      </c>
      <c r="ABA2" s="1" t="str">
        <f>IF(COUNTIFS(AllVarName!$B:$B,AllVar!AAZ1)&gt;1,INDEX(MultipleLkup!$D:$D,MATCH(AllVar!AAZ1,MultipleLkup!$B:$B,0)),IFERROR(INDEX(AllVarName!$C:$C,MATCH(AllVar!AAZ1,AllVarName!$B:$B,0)),"No match"))</f>
        <v>Full Level2</v>
      </c>
      <c r="ABB2" s="1" t="str">
        <f>IF(COUNTIFS(AllVarName!$B:$B,AllVar!ABA1)&gt;1,INDEX(MultipleLkup!$D:$D,MATCH(AllVar!ABA1,MultipleLkup!$B:$B,0)),IFERROR(INDEX(AllVarName!$C:$C,MATCH(AllVar!ABA1,AllVarName!$B:$B,0)),"No match"))</f>
        <v>Full Level3</v>
      </c>
      <c r="ABC2" s="1" t="str">
        <f>IF(COUNTIFS(AllVarName!$B:$B,AllVar!ABB1)&gt;1,INDEX(MultipleLkup!$D:$D,MATCH(AllVar!ABB1,MultipleLkup!$B:$B,0)),IFERROR(INDEX(AllVarName!$C:$C,MATCH(AllVar!ABB1,AllVarName!$B:$B,0)),"No match"))</f>
        <v>Level 4 Plus</v>
      </c>
      <c r="ABD2" s="1" t="str">
        <f>IF(COUNTIFS(AllVarName!$B:$B,AllVar!ABC1)&gt;1,INDEX(MultipleLkup!$D:$D,MATCH(AllVar!ABC1,MultipleLkup!$B:$B,0)),IFERROR(INDEX(AllVarName!$C:$C,MATCH(AllVar!ABC1,AllVarName!$B:$B,0)),"No match"))</f>
        <v>Not Assigned</v>
      </c>
      <c r="ABE2" s="1" t="str">
        <f>IF(COUNTIFS(AllVarName!$B:$B,AllVar!ABD1)&gt;1,INDEX(MultipleLkup!$D:$D,MATCH(AllVar!ABD1,MultipleLkup!$B:$B,0)),IFERROR(INDEX(AllVarName!$C:$C,MATCH(AllVar!ABD1,AllVarName!$B:$B,0)),"No match"))</f>
        <v>App</v>
      </c>
      <c r="ABF2" s="1" t="str">
        <f>IF(COUNTIFS(AllVarName!$B:$B,AllVar!ABE1)&gt;1,INDEX(MultipleLkup!$D:$D,MATCH(AllVar!ABE1,MultipleLkup!$B:$B,0)),IFERROR(INDEX(AllVarName!$C:$C,MATCH(AllVar!ABE1,AllVarName!$B:$B,0)),"No match"))</f>
        <v>App Intermediate</v>
      </c>
      <c r="ABG2" s="1" t="str">
        <f>IF(COUNTIFS(AllVarName!$B:$B,AllVar!ABF1)&gt;1,INDEX(MultipleLkup!$D:$D,MATCH(AllVar!ABF1,MultipleLkup!$B:$B,0)),IFERROR(INDEX(AllVarName!$C:$C,MATCH(AllVar!ABF1,AllVarName!$B:$B,0)),"No match"))</f>
        <v>App Advanced Plus</v>
      </c>
      <c r="ABH2" s="1" t="str">
        <f>IF(COUNTIFS(AllVarName!$B:$B,AllVar!ABG1)&gt;1,INDEX(MultipleLkup!$D:$D,MATCH(AllVar!ABG1,MultipleLkup!$B:$B,0)),IFERROR(INDEX(AllVarName!$C:$C,MATCH(AllVar!ABG1,AllVarName!$B:$B,0)),"No match"))</f>
        <v>Any Learn</v>
      </c>
      <c r="ABI2" s="1" t="str">
        <f>IF(COUNTIFS(AllVarName!$B:$B,AllVar!ABH1)&gt;1,INDEX(MultipleLkup!$D:$D,MATCH(AllVar!ABH1,MultipleLkup!$B:$B,0)),IFERROR(INDEX(AllVarName!$C:$C,MATCH(AllVar!ABH1,AllVarName!$B:$B,0)),"No match"))</f>
        <v>Not Sustained</v>
      </c>
      <c r="ABJ2" s="1" t="str">
        <f>IF(COUNTIFS(AllVarName!$B:$B,AllVar!ABI1)&gt;1,INDEX(MultipleLkup!$D:$D,MATCH(AllVar!ABI1,MultipleLkup!$B:$B,0)),IFERROR(INDEX(AllVarName!$C:$C,MATCH(AllVar!ABI1,AllVarName!$B:$B,0)),"No match"))</f>
        <v>Not Sustained NB</v>
      </c>
      <c r="ABK2" s="1" t="str">
        <f>IF(COUNTIFS(AllVarName!$B:$B,AllVar!ABJ1)&gt;1,INDEX(MultipleLkup!$D:$D,MATCH(AllVar!ABJ1,MultipleLkup!$B:$B,0)),IFERROR(INDEX(AllVarName!$C:$C,MATCH(AllVar!ABJ1,AllVarName!$B:$B,0)),"No match"))</f>
        <v>Not Sustained Benefit</v>
      </c>
      <c r="ABL2" s="1" t="str">
        <f>IF(COUNTIFS(AllVarName!$B:$B,AllVar!ABK1)&gt;1,INDEX(MultipleLkup!$D:$D,MATCH(AllVar!ABK1,MultipleLkup!$B:$B,0)),IFERROR(INDEX(AllVarName!$C:$C,MATCH(AllVar!ABK1,AllVarName!$B:$B,0)),"No match"))</f>
        <v>Benefits</v>
      </c>
      <c r="ABM2" s="1" t="str">
        <f>IF(COUNTIFS(AllVarName!$B:$B,AllVar!ABL1)&gt;1,INDEX(MultipleLkup!$D:$D,MATCH(AllVar!ABL1,MultipleLkup!$B:$B,0)),IFERROR(INDEX(AllVarName!$C:$C,MATCH(AllVar!ABL1,AllVarName!$B:$B,0)),"No match"))</f>
        <v>No Destination</v>
      </c>
      <c r="ABN2" s="1" t="str">
        <f>IF(COUNTIFS(AllVarName!$B:$B,AllVar!ABM1)&gt;1,INDEX(MultipleLkup!$D:$D,MATCH(AllVar!ABM1,MultipleLkup!$B:$B,0)),IFERROR(INDEX(AllVarName!$C:$C,MATCH(AllVar!ABM1,AllVarName!$B:$B,0)),"No match"))</f>
        <v>Single site or one of multiple sites within organisation</v>
      </c>
      <c r="ABO2" s="1" t="str">
        <f>IF(COUNTIFS(AllVarName!$B:$B,AllVar!ABN1)&gt;1,INDEX(MultipleLkup!$D:$D,MATCH(AllVar!ABN1,MultipleLkup!$B:$B,0)),IFERROR(INDEX(AllVarName!$C:$C,MATCH(AllVar!ABN1,AllVarName!$B:$B,0)),"No match"))</f>
        <v>Establishment type</v>
      </c>
      <c r="ABP2" s="1" t="str">
        <f>IF(COUNTIFS(AllVarName!$B:$B,AllVar!ABO1)&gt;1,INDEX(MultipleLkup!$D:$D,MATCH(AllVar!ABO1,MultipleLkup!$B:$B,0)),IFERROR(INDEX(AllVarName!$C:$C,MATCH(AllVar!ABO1,AllVarName!$B:$B,0)),"No match"))</f>
        <v>Number of establishments in population</v>
      </c>
      <c r="ABQ2" s="1" t="str">
        <f>IF(COUNTIFS(AllVarName!$B:$B,AllVar!ABP1)&gt;1,INDEX(MultipleLkup!$D:$D,MATCH(AllVar!ABP1,MultipleLkup!$B:$B,0)),IFERROR(INDEX(AllVarName!$C:$C,MATCH(AllVar!ABP1,AllVarName!$B:$B,0)),"No match"))</f>
        <v>Unweighted base of establishments with vacancies</v>
      </c>
      <c r="ABR2" s="1" t="str">
        <f>IF(COUNTIFS(AllVarName!$B:$B,AllVar!ABQ1)&gt;1,INDEX(MultipleLkup!$D:$D,MATCH(AllVar!ABQ1,MultipleLkup!$B:$B,0)),IFERROR(INDEX(AllVarName!$C:$C,MATCH(AllVar!ABQ1,AllVarName!$B:$B,0)),"No match"))</f>
        <v>Number of establishments with at least one vacancy</v>
      </c>
      <c r="ABS2" s="1" t="str">
        <f>IF(COUNTIFS(AllVarName!$B:$B,AllVar!ABR1)&gt;1,INDEX(MultipleLkup!$D:$D,MATCH(AllVar!ABR1,MultipleLkup!$B:$B,0)),IFERROR(INDEX(AllVarName!$C:$C,MATCH(AllVar!ABR1,AllVarName!$B:$B,0)),"No match"))</f>
        <v>Number of establishments with at least one hard-to-fill vacancy</v>
      </c>
      <c r="ABT2" s="1" t="str">
        <f>IF(COUNTIFS(AllVarName!$B:$B,AllVar!ABS1)&gt;1,INDEX(MultipleLkup!$D:$D,MATCH(AllVar!ABS1,MultipleLkup!$B:$B,0)),IFERROR(INDEX(AllVarName!$C:$C,MATCH(AllVar!ABS1,AllVarName!$B:$B,0)),"No match"))</f>
        <v>Number of establishments with at least one skill-shortage vacancy</v>
      </c>
      <c r="ABU2" s="1" t="str">
        <f>IF(COUNTIFS(AllVarName!$B:$B,AllVar!ABT1)&gt;1,INDEX(MultipleLkup!$D:$D,MATCH(AllVar!ABT1,MultipleLkup!$B:$B,0)),IFERROR(INDEX(AllVarName!$C:$C,MATCH(AllVar!ABT1,AllVarName!$B:$B,0)),"No match"))</f>
        <v>Number of establishments with at least one skill gap (i.e. 1+ employee not fully proficient)</v>
      </c>
      <c r="ABV2" s="1" t="str">
        <f>IF(COUNTIFS(AllVarName!$B:$B,AllVar!ABU1)&gt;1,INDEX(MultipleLkup!$D:$D,MATCH(AllVar!ABU1,MultipleLkup!$B:$B,0)),IFERROR(INDEX(AllVarName!$C:$C,MATCH(AllVar!ABU1,AllVarName!$B:$B,0)),"No match"))</f>
        <v>Number of establishments that arranged or paid for any training in the past 12 months</v>
      </c>
      <c r="ABW2" s="1" t="str">
        <f>IF(COUNTIFS(AllVarName!$B:$B,AllVar!ABV1)&gt;1,INDEX(MultipleLkup!$D:$D,MATCH(AllVar!ABV1,MultipleLkup!$B:$B,0)),IFERROR(INDEX(AllVarName!$C:$C,MATCH(AllVar!ABV1,AllVarName!$B:$B,0)),"No match"))</f>
        <v>Number of vacancies</v>
      </c>
      <c r="ABX2" s="1" t="str">
        <f>IF(COUNTIFS(AllVarName!$B:$B,AllVar!ABW1)&gt;1,INDEX(MultipleLkup!$D:$D,MATCH(AllVar!ABW1,MultipleLkup!$B:$B,0)),IFERROR(INDEX(AllVarName!$C:$C,MATCH(AllVar!ABW1,AllVarName!$B:$B,0)),"No match"))</f>
        <v>Number of hard-to-fill vacancies</v>
      </c>
      <c r="ABY2" s="1" t="str">
        <f>IF(COUNTIFS(AllVarName!$B:$B,AllVar!ABX1)&gt;1,INDEX(MultipleLkup!$D:$D,MATCH(AllVar!ABX1,MultipleLkup!$B:$B,0)),IFERROR(INDEX(AllVarName!$C:$C,MATCH(AllVar!ABX1,AllVarName!$B:$B,0)),"No match"))</f>
        <v>Number of skill-shortage vacancies</v>
      </c>
      <c r="ABZ2" s="1" t="str">
        <f>IF(COUNTIFS(AllVarName!$B:$B,AllVar!ABY1)&gt;1,INDEX(MultipleLkup!$D:$D,MATCH(AllVar!ABY1,MultipleLkup!$B:$B,0)),IFERROR(INDEX(AllVarName!$C:$C,MATCH(AllVar!ABY1,AllVarName!$B:$B,0)),"No match"))</f>
        <v>Number of skill gaps (employees not fully proficient)</v>
      </c>
      <c r="ACA2" s="1" t="str">
        <f>IF(COUNTIFS(AllVarName!$B:$B,AllVar!ABZ1)&gt;1,INDEX(MultipleLkup!$D:$D,MATCH(AllVar!ABZ1,MultipleLkup!$B:$B,0)),IFERROR(INDEX(AllVarName!$C:$C,MATCH(AllVar!ABZ1,AllVarName!$B:$B,0)),"No match"))</f>
        <v>Number of employees trained in the past 12 months</v>
      </c>
      <c r="ACB2" s="1" t="str">
        <f>IF(COUNTIFS(AllVarName!$B:$B,AllVar!ACA1)&gt;1,INDEX(MultipleLkup!$D:$D,MATCH(AllVar!ACA1,MultipleLkup!$B:$B,0)),IFERROR(INDEX(AllVarName!$C:$C,MATCH(AllVar!ACA1,AllVarName!$B:$B,0)),"No match"))</f>
        <v>Total number of training days for employees</v>
      </c>
      <c r="ACC2" s="1" t="str">
        <f>IF(COUNTIFS(AllVarName!$B:$B,AllVar!ACB1)&gt;1,INDEX(MultipleLkup!$D:$D,MATCH(AllVar!ACB1,MultipleLkup!$B:$B,0)),IFERROR(INDEX(AllVarName!$C:$C,MATCH(AllVar!ACB1,AllVarName!$B:$B,0)),"No match"))</f>
        <v>Percentage of establishments with at least one vacancy</v>
      </c>
      <c r="ACD2" s="1" t="str">
        <f>IF(COUNTIFS(AllVarName!$B:$B,AllVar!ACC1)&gt;1,INDEX(MultipleLkup!$D:$D,MATCH(AllVar!ACC1,MultipleLkup!$B:$B,0)),IFERROR(INDEX(AllVarName!$C:$C,MATCH(AllVar!ACC1,AllVarName!$B:$B,0)),"No match"))</f>
        <v>Percentage of establishments with at least one hard-to-fill vacancy</v>
      </c>
      <c r="ACE2" s="1" t="str">
        <f>IF(COUNTIFS(AllVarName!$B:$B,AllVar!ACD1)&gt;1,INDEX(MultipleLkup!$D:$D,MATCH(AllVar!ACD1,MultipleLkup!$B:$B,0)),IFERROR(INDEX(AllVarName!$C:$C,MATCH(AllVar!ACD1,AllVarName!$B:$B,0)),"No match"))</f>
        <v>Percentage of establishments with at least one skill-shortage vacancy</v>
      </c>
      <c r="ACF2" s="1" t="str">
        <f>IF(COUNTIFS(AllVarName!$B:$B,AllVar!ACE1)&gt;1,INDEX(MultipleLkup!$D:$D,MATCH(AllVar!ACE1,MultipleLkup!$B:$B,0)),IFERROR(INDEX(AllVarName!$C:$C,MATCH(AllVar!ACE1,AllVarName!$B:$B,0)),"No match"))</f>
        <v>Percentage of establishments with at least one  skill gap (i.e. 1+ employee not fully proficient)</v>
      </c>
      <c r="ACG2" s="1" t="str">
        <f>IF(COUNTIFS(AllVarName!$B:$B,AllVar!ACF1)&gt;1,INDEX(MultipleLkup!$D:$D,MATCH(AllVar!ACF1,MultipleLkup!$B:$B,0)),IFERROR(INDEX(AllVarName!$C:$C,MATCH(AllVar!ACF1,AllVarName!$B:$B,0)),"No match"))</f>
        <v>Percentage of establishments that arranged or paid for any training in the past 12 months</v>
      </c>
      <c r="ACH2" s="1" t="str">
        <f>IF(COUNTIFS(AllVarName!$B:$B,AllVar!ACG1)&gt;1,INDEX(MultipleLkup!$D:$D,MATCH(AllVar!ACG1,MultipleLkup!$B:$B,0)),IFERROR(INDEX(AllVarName!$C:$C,MATCH(AllVar!ACG1,AllVarName!$B:$B,0)),"No match"))</f>
        <v>Vacancy density (vacancies per 100 employees)</v>
      </c>
      <c r="ACI2" s="1" t="str">
        <f>IF(COUNTIFS(AllVarName!$B:$B,AllVar!ACH1)&gt;1,INDEX(MultipleLkup!$D:$D,MATCH(AllVar!ACH1,MultipleLkup!$B:$B,0)),IFERROR(INDEX(AllVarName!$C:$C,MATCH(AllVar!ACH1,AllVarName!$B:$B,0)),"No match"))</f>
        <v>Hard-to-fill vacancy density (HtF vacancies as a share of vacancies)</v>
      </c>
      <c r="ACJ2" s="1" t="str">
        <f>IF(COUNTIFS(AllVarName!$B:$B,AllVar!ACI1)&gt;1,INDEX(MultipleLkup!$D:$D,MATCH(AllVar!ACI1,MultipleLkup!$B:$B,0)),IFERROR(INDEX(AllVarName!$C:$C,MATCH(AllVar!ACI1,AllVarName!$B:$B,0)),"No match"))</f>
        <v>Skill-shortage vacancy density (SSVs as a share of vacancies)</v>
      </c>
      <c r="ACK2" s="1" t="str">
        <f>IF(COUNTIFS(AllVarName!$B:$B,AllVar!ACJ1)&gt;1,INDEX(MultipleLkup!$D:$D,MATCH(AllVar!ACJ1,MultipleLkup!$B:$B,0)),IFERROR(INDEX(AllVarName!$C:$C,MATCH(AllVar!ACJ1,AllVarName!$B:$B,0)),"No match"))</f>
        <v>Skill gap density (the proportion of employees judged not fully proficient)</v>
      </c>
      <c r="ACL2" s="1" t="str">
        <f>IF(COUNTIFS(AllVarName!$B:$B,AllVar!ACK1)&gt;1,INDEX(MultipleLkup!$D:$D,MATCH(AllVar!ACK1,MultipleLkup!$B:$B,0)),IFERROR(INDEX(AllVarName!$C:$C,MATCH(AllVar!ACK1,AllVarName!$B:$B,0)),"No match"))</f>
        <v>Proportion of employees that received any training in the past 12 months</v>
      </c>
      <c r="ACM2" s="1" t="str">
        <f>IF(COUNTIFS(AllVarName!$B:$B,AllVar!ACL1)&gt;1,INDEX(MultipleLkup!$D:$D,MATCH(AllVar!ACL1,MultipleLkup!$B:$B,0)),IFERROR(INDEX(AllVarName!$C:$C,MATCH(AllVar!ACL1,AllVarName!$B:$B,0)),"No match"))</f>
        <v>Average number of days training per employee</v>
      </c>
      <c r="ACN2" s="1" t="str">
        <f>IF(COUNTIFS(AllVarName!$B:$B,AllVar!ACM1)&gt;1,INDEX(MultipleLkup!$D:$D,MATCH(AllVar!ACM1,MultipleLkup!$B:$B,0)),IFERROR(INDEX(AllVarName!$C:$C,MATCH(AllVar!ACM1,AllVarName!$B:$B,0)),"No match"))</f>
        <v>Average number of days training per trainee</v>
      </c>
      <c r="ACO2" s="1" t="str">
        <f>IF(COUNTIFS(AllVarName!$B:$B,AllVar!ACN1)&gt;1,INDEX(MultipleLkup!$D:$D,MATCH(AllVar!ACN1,MultipleLkup!$B:$B,0)),IFERROR(INDEX(AllVarName!$C:$C,MATCH(AllVar!ACN1,AllVarName!$B:$B,0)),"No match"))</f>
        <v>Sample size in the Investment in Training follow-up survey</v>
      </c>
      <c r="ACP2" s="1" t="str">
        <f>IF(COUNTIFS(AllVarName!$B:$B,AllVar!ACO1)&gt;1,INDEX(MultipleLkup!$D:$D,MATCH(AllVar!ACO1,MultipleLkup!$B:$B,0)),IFERROR(INDEX(AllVarName!$C:$C,MATCH(AllVar!ACO1,AllVarName!$B:$B,0)),"No match"))</f>
        <v>Investment in training per employee</v>
      </c>
      <c r="ACQ2" s="1" t="str">
        <f>IF(COUNTIFS(AllVarName!$B:$B,AllVar!ACP1)&gt;1,INDEX(MultipleLkup!$D:$D,MATCH(AllVar!ACP1,MultipleLkup!$B:$B,0)),IFERROR(INDEX(AllVarName!$C:$C,MATCH(AllVar!ACP1,AllVarName!$B:$B,0)),"No match"))</f>
        <v>Investment in training per trainee</v>
      </c>
      <c r="ACR2" s="1" t="str">
        <f>IF(COUNTIFS(AllVarName!$B:$B,AllVar!ACQ1)&gt;1,INDEX(MultipleLkup!$D:$D,MATCH(AllVar!ACQ1,MultipleLkup!$B:$B,0)),IFERROR(INDEX(AllVarName!$C:$C,MATCH(AllVar!ACQ1,AllVarName!$B:$B,0)),"No match"))</f>
        <v>Total investment through off-the-job training</v>
      </c>
      <c r="ACS2" s="1" t="str">
        <f>IF(COUNTIFS(AllVarName!$B:$B,AllVar!ACR1)&gt;1,INDEX(MultipleLkup!$D:$D,MATCH(AllVar!ACR1,MultipleLkup!$B:$B,0)),IFERROR(INDEX(AllVarName!$C:$C,MATCH(AllVar!ACR1,AllVarName!$B:$B,0)),"No match"))</f>
        <v>Total investment through on-the-job training</v>
      </c>
      <c r="ACT2" s="1" t="str">
        <f>IF(COUNTIFS(AllVarName!$B:$B,AllVar!ACS1)&gt;1,INDEX(MultipleLkup!$D:$D,MATCH(AllVar!ACS1,MultipleLkup!$B:$B,0)),IFERROR(INDEX(AllVarName!$C:$C,MATCH(AllVar!ACS1,AllVarName!$B:$B,0)),"No match"))</f>
        <v>Total investment through all training</v>
      </c>
      <c r="ACU2" s="1" t="str">
        <f>IF(COUNTIFS(AllVarName!$B:$B,AllVar!ACT1)&gt;1,INDEX(MultipleLkup!$D:$D,MATCH(AllVar!ACT1,MultipleLkup!$B:$B,0)),IFERROR(INDEX(AllVarName!$C:$C,MATCH(AllVar!ACT1,AllVarName!$B:$B,0)),"No match"))</f>
        <v>4 digit Standard Occupational Classification code and name  (SOC2010)</v>
      </c>
      <c r="ACV2" s="1" t="str">
        <f>IF(COUNTIFS(AllVarName!$B:$B,AllVar!ACU1)&gt;1,INDEX(MultipleLkup!$D:$D,MATCH(AllVar!ACU1,MultipleLkup!$B:$B,0)),IFERROR(INDEX(AllVarName!$C:$C,MATCH(AllVar!ACU1,AllVarName!$B:$B,0)),"No match"))</f>
        <v>3 digit Standard Occupational Classification code and name  (SOC2010)</v>
      </c>
      <c r="ACW2" s="1" t="str">
        <f>IF(COUNTIFS(AllVarName!$B:$B,AllVar!ACV1)&gt;1,INDEX(MultipleLkup!$D:$D,MATCH(AllVar!ACV1,MultipleLkup!$B:$B,0)),IFERROR(INDEX(AllVarName!$C:$C,MATCH(AllVar!ACV1,AllVarName!$B:$B,0)),"No match"))</f>
        <v>2 digit Standard Occupational Classification code and name (SOC2010)</v>
      </c>
      <c r="ACX2" s="1" t="str">
        <f>IF(COUNTIFS(AllVarName!$B:$B,AllVar!ACW1)&gt;1,INDEX(MultipleLkup!$D:$D,MATCH(AllVar!ACW1,MultipleLkup!$B:$B,0)),IFERROR(INDEX(AllVarName!$C:$C,MATCH(AllVar!ACW1,AllVarName!$B:$B,0)),"No match"))</f>
        <v>1 digit Standard Occupational Classification code and name (SOC2010)</v>
      </c>
      <c r="ACY2" s="1" t="str">
        <f>IF(COUNTIFS(AllVarName!$B:$B,AllVar!ACX1)&gt;1,INDEX(MultipleLkup!$D:$D,MATCH(AllVar!ACX1,MultipleLkup!$B:$B,0)),IFERROR(INDEX(AllVarName!$C:$C,MATCH(AllVar!ACX1,AllVarName!$B:$B,0)),"No match"))</f>
        <v>Number of establishments with at least one vacancy at the 4 digit Standard Occupational Classification level</v>
      </c>
      <c r="ACZ2" s="1" t="str">
        <f>IF(COUNTIFS(AllVarName!$B:$B,AllVar!ACY1)&gt;1,INDEX(MultipleLkup!$D:$D,MATCH(AllVar!ACY1,MultipleLkup!$B:$B,0)),IFERROR(INDEX(AllVarName!$C:$C,MATCH(AllVar!ACY1,AllVarName!$B:$B,0)),"No match"))</f>
        <v>Phase of education (UKEdTraining)</v>
      </c>
      <c r="ADA2" s="1" t="str">
        <f>IF(COUNTIFS(AllVarName!$B:$B,AllVar!ACZ1)&gt;1,INDEX(MultipleLkup!$D:$D,MATCH(AllVar!ACZ1,MultipleLkup!$B:$B,0)),IFERROR(INDEX(AllVarName!$C:$C,MATCH(AllVar!ACZ1,AllVarName!$B:$B,0)),"No match"))</f>
        <v>Number of schools</v>
      </c>
      <c r="ADB2" s="1" t="str">
        <f>IF(COUNTIFS(AllVarName!$B:$B,AllVar!ADA1)&gt;1,INDEX(MultipleLkup!$D:$D,MATCH(AllVar!ADA1,MultipleLkup!$B:$B,0)),IFERROR(INDEX(AllVarName!$C:$C,MATCH(AllVar!ADA1,AllVarName!$B:$B,0)),"No match"))</f>
        <v>Full-time equivalent number of teachers</v>
      </c>
      <c r="ADC2" s="1" t="str">
        <f>IF(COUNTIFS(AllVarName!$B:$B,AllVar!ADB1)&gt;1,INDEX(MultipleLkup!$D:$D,MATCH(AllVar!ADB1,MultipleLkup!$B:$B,0)),IFERROR(INDEX(AllVarName!$C:$C,MATCH(AllVar!ADB1,AllVarName!$B:$B,0)),"No match"))</f>
        <v>Pupil-teacher ratio</v>
      </c>
      <c r="ADD2" s="1" t="str">
        <f>IF(COUNTIFS(AllVarName!$B:$B,AllVar!ADC1)&gt;1,INDEX(MultipleLkup!$D:$D,MATCH(AllVar!ADC1,MultipleLkup!$B:$B,0)),IFERROR(INDEX(AllVarName!$C:$C,MATCH(AllVar!ADC1,AllVarName!$B:$B,0)),"No match"))</f>
        <v>Number of FE students</v>
      </c>
      <c r="ADE2" s="1" t="str">
        <f>IF(COUNTIFS(AllVarName!$B:$B,AllVar!ADD1)&gt;1,INDEX(MultipleLkup!$D:$D,MATCH(AllVar!ADD1,MultipleLkup!$B:$B,0)),IFERROR(INDEX(AllVarName!$C:$C,MATCH(AllVar!ADD1,AllVarName!$B:$B,0)),"No match"))</f>
        <v>Number of institutions (UKEdTraining)</v>
      </c>
      <c r="ADF2" s="1" t="str">
        <f>IF(COUNTIFS(AllVarName!$B:$B,AllVar!ADE1)&gt;1,INDEX(MultipleLkup!$D:$D,MATCH(AllVar!ADE1,MultipleLkup!$B:$B,0)),IFERROR(INDEX(AllVarName!$C:$C,MATCH(AllVar!ADE1,AllVarName!$B:$B,0)),"No match"))</f>
        <v>Total unemployed</v>
      </c>
      <c r="ADG2" s="1" t="str">
        <f>IF(COUNTIFS(AllVarName!$B:$B,AllVar!ADF1)&gt;1,INDEX(MultipleLkup!$D:$D,MATCH(AllVar!ADF1,MultipleLkup!$B:$B,0)),IFERROR(INDEX(AllVarName!$C:$C,MATCH(AllVar!ADF1,AllVarName!$B:$B,0)),"No match"))</f>
        <v>Total economically inactive</v>
      </c>
      <c r="ADH2" s="1" t="str">
        <f>IF(COUNTIFS(AllVarName!$B:$B,AllVar!ADG1)&gt;1,INDEX(MultipleLkup!$D:$D,MATCH(AllVar!ADG1,MultipleLkup!$B:$B,0)),IFERROR(INDEX(AllVarName!$C:$C,MATCH(AllVar!ADG1,AllVarName!$B:$B,0)),"No match"))</f>
        <v>Total people in relevant population group</v>
      </c>
      <c r="ADI2" s="1" t="str">
        <f>IF(COUNTIFS(AllVarName!$B:$B,AllVar!ADH1)&gt;1,INDEX(MultipleLkup!$D:$D,MATCH(AllVar!ADH1,MultipleLkup!$B:$B,0)),IFERROR(INDEX(AllVarName!$C:$C,MATCH(AllVar!ADH1,AllVarName!$B:$B,0)),"No match"))</f>
        <v>People who were not in employment, education or training as a percentage of people in relevant population group</v>
      </c>
      <c r="ADJ2" s="1" t="str">
        <f>IF(COUNTIFS(AllVarName!$B:$B,AllVar!ADI1)&gt;1,INDEX(MultipleLkup!$D:$D,MATCH(AllVar!ADI1,MultipleLkup!$B:$B,0)),IFERROR(INDEX(AllVarName!$C:$C,MATCH(AllVar!ADI1,AllVarName!$B:$B,0)),"No match"))</f>
        <v>Total 19-64 year olds in the population (thousands)</v>
      </c>
      <c r="ADK2" s="1" t="str">
        <f>IF(COUNTIFS(AllVarName!$B:$B,AllVar!ADJ1)&gt;1,INDEX(MultipleLkup!$D:$D,MATCH(AllVar!ADJ1,MultipleLkup!$B:$B,0)),IFERROR(INDEX(AllVarName!$C:$C,MATCH(AllVar!ADJ1,AllVarName!$B:$B,0)),"No match"))</f>
        <v>Percentage of population with their highest qualification as national qualification framework level 4 or above</v>
      </c>
      <c r="ADL2" s="1" t="str">
        <f>IF(COUNTIFS(AllVarName!$B:$B,AllVar!ADK1)&gt;1,INDEX(MultipleLkup!$D:$D,MATCH(AllVar!ADK1,MultipleLkup!$B:$B,0)),IFERROR(INDEX(AllVarName!$C:$C,MATCH(AllVar!ADK1,AllVarName!$B:$B,0)),"No match"))</f>
        <v>Percentage of population with their highest qualification as national qualification framework level 3 or above</v>
      </c>
      <c r="ADM2" s="1" t="str">
        <f>IF(COUNTIFS(AllVarName!$B:$B,AllVar!ADL1)&gt;1,INDEX(MultipleLkup!$D:$D,MATCH(AllVar!ADL1,MultipleLkup!$B:$B,0)),IFERROR(INDEX(AllVarName!$C:$C,MATCH(AllVar!ADL1,AllVarName!$B:$B,0)),"No match"))</f>
        <v>Percentage of population with their highest qualification as national qualification framework level 2 or above</v>
      </c>
      <c r="ADN2" s="1" t="str">
        <f>IF(COUNTIFS(AllVarName!$B:$B,AllVar!ADM1)&gt;1,INDEX(MultipleLkup!$D:$D,MATCH(AllVar!ADM1,MultipleLkup!$B:$B,0)),IFERROR(INDEX(AllVarName!$C:$C,MATCH(AllVar!ADM1,AllVarName!$B:$B,0)),"No match"))</f>
        <v>Percentage of population with their highest qualification as Scottish Credit and Qualifications Framework level 7 or above</v>
      </c>
      <c r="ADO2" s="1" t="str">
        <f>IF(COUNTIFS(AllVarName!$B:$B,AllVar!ADN1)&gt;1,INDEX(MultipleLkup!$D:$D,MATCH(AllVar!ADN1,MultipleLkup!$B:$B,0)),IFERROR(INDEX(AllVarName!$C:$C,MATCH(AllVar!ADN1,AllVarName!$B:$B,0)),"No match"))</f>
        <v>Percentage of population with their highest qualification as Scottish Credit and Qualifications Framework level 6 or above</v>
      </c>
      <c r="ADP2" s="1" t="str">
        <f>IF(COUNTIFS(AllVarName!$B:$B,AllVar!ADO1)&gt;1,INDEX(MultipleLkup!$D:$D,MATCH(AllVar!ADO1,MultipleLkup!$B:$B,0)),IFERROR(INDEX(AllVarName!$C:$C,MATCH(AllVar!ADO1,AllVarName!$B:$B,0)),"No match"))</f>
        <v>Percentage of population with their highest qualification as Scottish Credit and Qualifications Framework level 5 or above</v>
      </c>
      <c r="ADQ2" s="1" t="str">
        <f>IF(COUNTIFS(AllVarName!$B:$B,AllVar!ADP1)&gt;1,INDEX(MultipleLkup!$D:$D,MATCH(AllVar!ADP1,MultipleLkup!$B:$B,0)),IFERROR(INDEX(AllVarName!$C:$C,MATCH(AllVar!ADP1,AllVarName!$B:$B,0)),"No match"))</f>
        <v>Education function</v>
      </c>
      <c r="ADR2" s="1" t="str">
        <f>IF(COUNTIFS(AllVarName!$B:$B,AllVar!ADQ1)&gt;1,INDEX(MultipleLkup!$D:$D,MATCH(AllVar!ADQ1,MultipleLkup!$B:$B,0)),IFERROR(INDEX(AllVarName!$C:$C,MATCH(AllVar!ADQ1,AllVarName!$B:$B,0)),"No match"))</f>
        <v>Expenditure type</v>
      </c>
      <c r="ADS2" s="1" t="str">
        <f>IF(COUNTIFS(AllVarName!$B:$B,AllVar!ADR1)&gt;1,INDEX(MultipleLkup!$D:$D,MATCH(AllVar!ADR1,MultipleLkup!$B:$B,0)),IFERROR(INDEX(AllVarName!$C:$C,MATCH(AllVar!ADR1,AllVarName!$B:$B,0)),"No match"))</f>
        <v>Expenditure level</v>
      </c>
      <c r="ADT2" s="1" t="str">
        <f>IF(COUNTIFS(AllVarName!$B:$B,AllVar!ADS1)&gt;1,INDEX(MultipleLkup!$D:$D,MATCH(AllVar!ADS1,MultipleLkup!$B:$B,0)),IFERROR(INDEX(AllVarName!$C:$C,MATCH(AllVar!ADS1,AllVarName!$B:$B,0)),"No match"))</f>
        <v>Total expenditure (millions)</v>
      </c>
      <c r="ADU2" s="1" t="str">
        <f>IF(COUNTIFS(AllVarName!$B:$B,AllVar!ADT1)&gt;1,INDEX(MultipleLkup!$D:$D,MATCH(AllVar!ADT1,MultipleLkup!$B:$B,0)),IFERROR(INDEX(AllVarName!$C:$C,MATCH(AllVar!ADT1,AllVarName!$B:$B,0)),"No match"))</f>
        <v>Total expenditure in real terms (millions)</v>
      </c>
      <c r="ADV2" s="1" t="str">
        <f>IF(COUNTIFS(AllVarName!$B:$B,AllVar!ADU1)&gt;1,INDEX(MultipleLkup!$D:$D,MATCH(AllVar!ADU1,MultipleLkup!$B:$B,0)),IFERROR(INDEX(AllVarName!$C:$C,MATCH(AllVar!ADU1,AllVarName!$B:$B,0)),"No match"))</f>
        <v>Total expenditure as a percentage of GDP</v>
      </c>
    </row>
    <row r="3" spans="1:802" ht="112" customHeight="1" x14ac:dyDescent="0.35">
      <c r="A3" s="1" t="s">
        <v>2712</v>
      </c>
      <c r="B3" s="1" t="s">
        <v>136</v>
      </c>
      <c r="C3" s="1" t="s">
        <v>1800</v>
      </c>
      <c r="D3" s="1" t="s">
        <v>2587</v>
      </c>
      <c r="E3" s="1" t="s">
        <v>137</v>
      </c>
      <c r="F3" s="1" t="str">
        <f>IF(OR(F2="No match",F2="multiple"),F1,F2)</f>
        <v>time period</v>
      </c>
      <c r="G3" s="1" t="str">
        <f t="shared" ref="G3:BR3" si="0">IF(OR(G2="No match",G2="multiple"),G1,G2)</f>
        <v>time identifier</v>
      </c>
      <c r="H3" s="1" t="str">
        <f t="shared" si="0"/>
        <v>geographic level</v>
      </c>
      <c r="I3" s="1" t="str">
        <f t="shared" si="0"/>
        <v>Country code</v>
      </c>
      <c r="J3" s="1" t="str">
        <f t="shared" si="0"/>
        <v>Country Name</v>
      </c>
      <c r="K3" s="1" t="str">
        <f t="shared" si="0"/>
        <v>region code</v>
      </c>
      <c r="L3" s="1" t="str">
        <f t="shared" si="0"/>
        <v>region name</v>
      </c>
      <c r="M3" s="1" t="str">
        <f t="shared" si="0"/>
        <v>new la code</v>
      </c>
      <c r="N3" s="1" t="str">
        <f t="shared" si="0"/>
        <v>old la code</v>
      </c>
      <c r="O3" s="1" t="str">
        <f t="shared" si="0"/>
        <v>la name</v>
      </c>
      <c r="P3" s="1" t="str">
        <f t="shared" si="0"/>
        <v>lad code</v>
      </c>
      <c r="Q3" s="1" t="str">
        <f t="shared" si="0"/>
        <v>lad name</v>
      </c>
      <c r="R3" s="1" t="str">
        <f t="shared" si="0"/>
        <v>parliamentary constituency code</v>
      </c>
      <c r="S3" s="1" t="str">
        <f t="shared" si="0"/>
        <v>parliamentary constituency name</v>
      </c>
      <c r="T3" s="1" t="str">
        <f t="shared" si="0"/>
        <v>Graduates' higher education institution region</v>
      </c>
      <c r="U3" s="1" t="str">
        <f t="shared" si="0"/>
        <v>Region</v>
      </c>
      <c r="V3" s="1" t="str">
        <f t="shared" si="0"/>
        <v>Region prior to Higher Education study</v>
      </c>
      <c r="W3" s="1" t="str">
        <f t="shared" si="0"/>
        <v>Term time residence</v>
      </c>
      <c r="X3" s="1" t="str">
        <f t="shared" si="0"/>
        <v>opportunity area code</v>
      </c>
      <c r="Y3" s="1" t="str">
        <f t="shared" si="0"/>
        <v>opportunity area name</v>
      </c>
      <c r="Z3" s="1" t="str">
        <f t="shared" si="0"/>
        <v>Local Enterprise Partnership code</v>
      </c>
      <c r="AA3" s="1" t="str">
        <f t="shared" si="0"/>
        <v>Local Enterprise Partnership name</v>
      </c>
      <c r="AB3" s="1" t="str">
        <f t="shared" si="0"/>
        <v>English devolved area code</v>
      </c>
      <c r="AC3" s="1" t="str">
        <f t="shared" si="0"/>
        <v>English devolved area name</v>
      </c>
      <c r="AD3" s="1" t="str">
        <f t="shared" si="0"/>
        <v>Framework standard</v>
      </c>
      <c r="AE3" s="1" t="str">
        <f t="shared" si="0"/>
        <v>Standard Framework name code</v>
      </c>
      <c r="AF3" s="1" t="str">
        <f t="shared" si="0"/>
        <v>Characteristic</v>
      </c>
      <c r="AG3" s="1" t="str">
        <f t="shared" si="0"/>
        <v>Characteristics Type</v>
      </c>
      <c r="AH3" s="1" t="str">
        <f t="shared" si="0"/>
        <v>Characteristic group</v>
      </c>
      <c r="AI3" s="1" t="str">
        <f t="shared" si="0"/>
        <v>Characteristic detail</v>
      </c>
      <c r="AJ3" s="1" t="str">
        <f t="shared" si="0"/>
        <v>Learner characteristic</v>
      </c>
      <c r="AK3" s="1" t="str">
        <f t="shared" si="0"/>
        <v>Academic year</v>
      </c>
      <c r="AL3" s="1" t="str">
        <f t="shared" si="0"/>
        <v>Level</v>
      </c>
      <c r="AM3" s="1" t="str">
        <f t="shared" si="0"/>
        <v>Level 3</v>
      </c>
      <c r="AN3" s="1" t="str">
        <f t="shared" si="0"/>
        <v>Level 4+</v>
      </c>
      <c r="AO3" s="1" t="str">
        <f t="shared" si="0"/>
        <v>Group</v>
      </c>
      <c r="AP3" s="1" t="str">
        <f t="shared" si="0"/>
        <v>Demographic</v>
      </c>
      <c r="AQ3" s="1" t="str">
        <f t="shared" si="0"/>
        <v>Detailed level</v>
      </c>
      <c r="AR3" s="1" t="str">
        <f t="shared" si="0"/>
        <v>Quarter (Q4 used in analysis)</v>
      </c>
      <c r="AS3" s="1" t="str">
        <f t="shared" si="0"/>
        <v>Age (under 19/19+)</v>
      </c>
      <c r="AT3" s="1" t="str">
        <f t="shared" si="0"/>
        <v>age</v>
      </c>
      <c r="AU3" s="1" t="str">
        <f t="shared" si="0"/>
        <v>Age group</v>
      </c>
      <c r="AV3" s="1" t="str">
        <f t="shared" si="0"/>
        <v>Age Summary</v>
      </c>
      <c r="AW3" s="1" t="str">
        <f t="shared" si="0"/>
        <v>Age summary with unknown</v>
      </c>
      <c r="AX3" s="1" t="str">
        <f t="shared" si="0"/>
        <v>Age group (with unknowns)</v>
      </c>
      <c r="AY3" s="1" t="str">
        <f t="shared" si="0"/>
        <v>Age band at start of stud</v>
      </c>
      <c r="AZ3" s="1" t="str">
        <f t="shared" si="0"/>
        <v>Sex</v>
      </c>
      <c r="BA3" s="1" t="str">
        <f t="shared" si="0"/>
        <v>Science, Technology, Engineering and Mathematics</v>
      </c>
      <c r="BB3" s="1" t="str">
        <f t="shared" si="0"/>
        <v>Industry section</v>
      </c>
      <c r="BC3" s="1" t="str">
        <f t="shared" si="0"/>
        <v>Industry</v>
      </c>
      <c r="BD3" s="1" t="str">
        <f t="shared" si="0"/>
        <v>Sector Subject Area</v>
      </c>
      <c r="BE3" s="1" t="str">
        <f t="shared" si="0"/>
        <v>Sector subject area (tier 1)</v>
      </c>
      <c r="BF3" s="1" t="str">
        <f t="shared" si="0"/>
        <v>Sector subject area (tier 2)</v>
      </c>
      <c r="BG3" s="1" t="str">
        <f t="shared" si="0"/>
        <v>Sector subject area (tier 1) description</v>
      </c>
      <c r="BH3" s="1" t="str">
        <f t="shared" si="0"/>
        <v>Sector subject area (tier 2) description</v>
      </c>
      <c r="BI3" s="1" t="str">
        <f t="shared" si="0"/>
        <v>Subject</v>
      </c>
      <c r="BJ3" s="1" t="str">
        <f t="shared" si="0"/>
        <v>Subject and level</v>
      </c>
      <c r="BK3" s="1" t="str">
        <f t="shared" si="0"/>
        <v>Subject name</v>
      </c>
      <c r="BL3" s="1" t="str">
        <f t="shared" si="0"/>
        <v>Learner with Learning Difficulties or Disabilities</v>
      </c>
      <c r="BM3" s="1" t="str">
        <f t="shared" si="0"/>
        <v>Primary learning difficulty/disability</v>
      </c>
      <c r="BN3" s="1" t="str">
        <f t="shared" si="0"/>
        <v>Learning Difficulty Disability</v>
      </c>
      <c r="BO3" s="1" t="str">
        <f t="shared" si="0"/>
        <v>Disability status</v>
      </c>
      <c r="BP3" s="1" t="str">
        <f t="shared" si="0"/>
        <v>learner home deprivation</v>
      </c>
      <c r="BQ3" s="1" t="str">
        <f t="shared" si="0"/>
        <v>Benefit learner</v>
      </c>
      <c r="BR3" s="1" t="str">
        <f t="shared" si="0"/>
        <v>Ethnicity</v>
      </c>
      <c r="BS3" s="1" t="str">
        <f t="shared" ref="BS3:ED3" si="1">IF(OR(BS2="No match",BS2="multiple"),BS1,BS2)</f>
        <v>Ethnicity detailed</v>
      </c>
      <c r="BT3" s="1" t="str">
        <f t="shared" si="1"/>
        <v>Minority Ethnic</v>
      </c>
      <c r="BU3" s="1" t="str">
        <f t="shared" si="1"/>
        <v>Ethnicity Major</v>
      </c>
      <c r="BV3" s="1" t="str">
        <f t="shared" si="1"/>
        <v>Ethnicity Minor</v>
      </c>
      <c r="BW3" s="1" t="str">
        <f t="shared" si="1"/>
        <v>Ethnicity broad (with Chinese)</v>
      </c>
      <c r="BX3" s="1" t="str">
        <f t="shared" si="1"/>
        <v>Ethnic Minority</v>
      </c>
      <c r="BY3" s="1" t="str">
        <f t="shared" si="1"/>
        <v>Free school meals status</v>
      </c>
      <c r="BZ3" s="1" t="str">
        <f t="shared" si="1"/>
        <v>Higher education Progression Rate (free school meals)</v>
      </c>
      <c r="CA3" s="1" t="str">
        <f t="shared" si="1"/>
        <v>Higher education Progression Rate (Non-Free School Meals)</v>
      </c>
      <c r="CB3" s="1" t="str">
        <f t="shared" si="1"/>
        <v>Leavers</v>
      </c>
      <c r="CC3" s="1" t="str">
        <f t="shared" si="1"/>
        <v>Completers</v>
      </c>
      <c r="CD3" s="1" t="str">
        <f t="shared" si="1"/>
        <v>Achievers</v>
      </c>
      <c r="CE3" s="1" t="str">
        <f t="shared" si="1"/>
        <v>Retention Rate</v>
      </c>
      <c r="CF3" s="1" t="str">
        <f t="shared" si="1"/>
        <v>Pass Rate</v>
      </c>
      <c r="CG3" s="1" t="str">
        <f t="shared" si="1"/>
        <v>Achievement Rate</v>
      </c>
      <c r="CH3" s="1" t="str">
        <f t="shared" si="1"/>
        <v>Month</v>
      </c>
      <c r="CI3" s="1" t="str">
        <f t="shared" si="1"/>
        <v>Adverts</v>
      </c>
      <c r="CJ3" s="1" t="str">
        <f t="shared" si="1"/>
        <v>Vacancies</v>
      </c>
      <c r="CK3" s="1" t="str">
        <f t="shared" si="1"/>
        <v>Start Academic Year</v>
      </c>
      <c r="CL3" s="1" t="str">
        <f t="shared" si="1"/>
        <v>Start month</v>
      </c>
      <c r="CM3" s="1" t="str">
        <f t="shared" si="1"/>
        <v>Start Age</v>
      </c>
      <c r="CN3" s="1" t="str">
        <f t="shared" si="1"/>
        <v>Tship starts</v>
      </c>
      <c r="CO3" s="1" t="str">
        <f t="shared" si="1"/>
        <v>Traineeship completions</v>
      </c>
      <c r="CP3" s="1" t="str">
        <f t="shared" si="1"/>
        <v>Traineeship completion rate</v>
      </c>
      <c r="CQ3" s="1" t="str">
        <f t="shared" si="1"/>
        <v>Apprenticeship starts following t'ship</v>
      </c>
      <c r="CR3" s="1" t="str">
        <f t="shared" si="1"/>
        <v>Conversion rate into apprenticeship</v>
      </c>
      <c r="CS3" s="1" t="str">
        <f t="shared" si="1"/>
        <v>Payment status</v>
      </c>
      <c r="CT3" s="1" t="str">
        <f t="shared" si="1"/>
        <v>Latest levy status</v>
      </c>
      <c r="CU3" s="1" t="str">
        <f t="shared" si="1"/>
        <v>Transfer flag</v>
      </c>
      <c r="CV3" s="1" t="str">
        <f t="shared" si="1"/>
        <v>Commitments</v>
      </c>
      <c r="CW3" s="1" t="str">
        <f t="shared" si="1"/>
        <v>Starts (used in duration calculations)</v>
      </c>
      <c r="CX3" s="1" t="str">
        <f t="shared" si="1"/>
        <v>Average expected duration (days)</v>
      </c>
      <c r="CY3" s="1" t="str">
        <f t="shared" si="1"/>
        <v>Length of Employment</v>
      </c>
      <c r="CZ3" s="1" t="str">
        <f t="shared" si="1"/>
        <v>Planned Length of Stay</v>
      </c>
      <c r="DA3" s="1" t="str">
        <f t="shared" si="1"/>
        <v>Starts</v>
      </c>
      <c r="DB3" s="1" t="str">
        <f t="shared" si="1"/>
        <v>Percentage starts</v>
      </c>
      <c r="DC3" s="1" t="str">
        <f t="shared" si="1"/>
        <v>Start rate per 10000 population</v>
      </c>
      <c r="DD3" s="1" t="str">
        <f t="shared" si="1"/>
        <v>Starts  Percentage by Age Level and Funding Type</v>
      </c>
      <c r="DE3" s="1" t="str">
        <f t="shared" si="1"/>
        <v>Start Percentage with provider type</v>
      </c>
      <c r="DF3" s="1" t="str">
        <f t="shared" si="1"/>
        <v>Traineeship starts</v>
      </c>
      <c r="DG3" s="1" t="str">
        <f t="shared" si="1"/>
        <v>Achievement</v>
      </c>
      <c r="DH3" s="1" t="str">
        <f t="shared" si="1"/>
        <v>Aim Achievements (Aug to Jul) Percentage</v>
      </c>
      <c r="DI3" s="1" t="str">
        <f t="shared" si="1"/>
        <v>Indicative achievements rate per 100,000 population</v>
      </c>
      <c r="DJ3" s="1" t="str">
        <f t="shared" si="1"/>
        <v>Percentage achievements</v>
      </c>
      <c r="DK3" s="1" t="str">
        <f t="shared" si="1"/>
        <v>Achievement Percentage</v>
      </c>
      <c r="DL3" s="1" t="str">
        <f t="shared" si="1"/>
        <v>Achievements Percentage by Provider type and Level</v>
      </c>
      <c r="DM3" s="1" t="str">
        <f t="shared" si="1"/>
        <v>Achievements Percentage Change</v>
      </c>
      <c r="DN3" s="1" t="str">
        <f t="shared" si="1"/>
        <v>Total aim achievements</v>
      </c>
      <c r="DO3" s="1" t="str">
        <f t="shared" si="1"/>
        <v>Apprenticeships Achievements</v>
      </c>
      <c r="DP3" s="1" t="str">
        <f t="shared" si="1"/>
        <v>Education and Training Achievements</v>
      </c>
      <c r="DQ3" s="1" t="str">
        <f t="shared" si="1"/>
        <v>Participation</v>
      </c>
      <c r="DR3" s="1" t="str">
        <f t="shared" si="1"/>
        <v>Participation type</v>
      </c>
      <c r="DS3" s="1" t="str">
        <f t="shared" si="1"/>
        <v>Number in education and training</v>
      </c>
      <c r="DT3" s="1" t="str">
        <f t="shared" si="1"/>
        <v>Percentage in education and training</v>
      </c>
      <c r="DU3" s="1" t="str">
        <f t="shared" si="1"/>
        <v>Number in education, training and employment</v>
      </c>
      <c r="DV3" s="1" t="str">
        <f t="shared" si="1"/>
        <v>Percentage in education, training and employment</v>
      </c>
      <c r="DW3" s="1" t="str">
        <f t="shared" si="1"/>
        <v>Participation rate per 10000 population</v>
      </c>
      <c r="DX3" s="1" t="str">
        <f t="shared" si="1"/>
        <v>All Participation</v>
      </c>
      <c r="DY3" s="1" t="str">
        <f t="shared" si="1"/>
        <v>Apprenticeships Participation</v>
      </c>
      <c r="DZ3" s="1" t="str">
        <f t="shared" si="1"/>
        <v>Education and Training Participation</v>
      </c>
      <c r="EA3" s="1" t="str">
        <f t="shared" si="1"/>
        <v>All Participation Percentage Change</v>
      </c>
      <c r="EB3" s="1" t="str">
        <f t="shared" si="1"/>
        <v>annual participation percentage change</v>
      </c>
      <c r="EC3" s="1" t="str">
        <f t="shared" si="1"/>
        <v>participation percentage change</v>
      </c>
      <c r="ED3" s="1" t="str">
        <f t="shared" si="1"/>
        <v>Annual change in percent participating</v>
      </c>
      <c r="EE3" s="1" t="str">
        <f t="shared" ref="EE3:GP3" si="2">IF(OR(EE2="No match",EE2="multiple"),EE1,EE2)</f>
        <v>Total aim Enrolments</v>
      </c>
      <c r="EF3" s="1" t="str">
        <f t="shared" si="2"/>
        <v>Aim Enrolments (Aug to Jul) Percentage</v>
      </c>
      <c r="EG3" s="1" t="str">
        <f t="shared" si="2"/>
        <v>Aim enrolment</v>
      </c>
      <c r="EH3" s="1" t="str">
        <f t="shared" si="2"/>
        <v>Apprenticeship level</v>
      </c>
      <c r="EI3" s="1" t="str">
        <f t="shared" si="2"/>
        <v>Detailed apprenticeship level</v>
      </c>
      <c r="EJ3" s="1" t="str">
        <f t="shared" si="2"/>
        <v>All age Apprenticeships</v>
      </c>
      <c r="EK3" s="1" t="str">
        <f t="shared" si="2"/>
        <v>Apprenticeships - Intermediate</v>
      </c>
      <c r="EL3" s="1" t="str">
        <f t="shared" si="2"/>
        <v>Apprenticeships - Advanced</v>
      </c>
      <c r="EM3" s="1" t="str">
        <f t="shared" si="2"/>
        <v>Apprenticeships - Higher</v>
      </c>
      <c r="EN3" s="1" t="str">
        <f t="shared" si="2"/>
        <v>Level 6 plus</v>
      </c>
      <c r="EO3" s="1" t="str">
        <f t="shared" si="2"/>
        <v>Mandatory degree</v>
      </c>
      <c r="EP3" s="1" t="str">
        <f t="shared" si="2"/>
        <v>Intermediate Learners</v>
      </c>
      <c r="EQ3" s="1" t="str">
        <f t="shared" si="2"/>
        <v>Advanced Learners</v>
      </c>
      <c r="ER3" s="1" t="str">
        <f t="shared" si="2"/>
        <v>Total learners</v>
      </c>
      <c r="ES3" s="1" t="str">
        <f t="shared" si="2"/>
        <v>Total participation in further education and skills</v>
      </c>
      <c r="ET3" s="1" t="str">
        <f t="shared" si="2"/>
        <v xml:space="preserve">Total participation in education and training </v>
      </c>
      <c r="EU3" s="1" t="str">
        <f t="shared" si="2"/>
        <v>Learn Percent</v>
      </c>
      <c r="EV3" s="1" t="str">
        <f t="shared" si="2"/>
        <v>Sustained learning only rate</v>
      </c>
      <c r="EW3" s="1" t="str">
        <f t="shared" si="2"/>
        <v>Number of years after achievement of learning aim</v>
      </c>
      <c r="EX3" s="1" t="str">
        <f t="shared" si="2"/>
        <v>Number of learners matched to longitudinal education outcomes data</v>
      </c>
      <c r="EY3" s="1" t="str">
        <f t="shared" si="2"/>
        <v>First Time At Level</v>
      </c>
      <c r="EZ3" s="1" t="str">
        <f t="shared" si="2"/>
        <v>Percent of matched learners achieving at this level for the first time</v>
      </c>
      <c r="FA3" s="1" t="str">
        <f t="shared" si="2"/>
        <v>Further education &amp; skills Percentage</v>
      </c>
      <c r="FB3" s="1" t="str">
        <f t="shared" si="2"/>
        <v>Adult (19+) further education and skills participation</v>
      </c>
      <c r="FC3" s="1" t="str">
        <f t="shared" si="2"/>
        <v>Adult (19+) education and training participation</v>
      </c>
      <c r="FD3" s="1" t="str">
        <f t="shared" si="2"/>
        <v>Community learning participation</v>
      </c>
      <c r="FE3" s="1" t="str">
        <f t="shared" si="2"/>
        <v>Education &amp; training Percentage</v>
      </c>
      <c r="FF3" s="1" t="str">
        <f t="shared" si="2"/>
        <v>High learners</v>
      </c>
      <c r="FG3" s="1" t="str">
        <f t="shared" si="2"/>
        <v>Provider type</v>
      </c>
      <c r="FH3" s="1" t="str">
        <f t="shared" si="2"/>
        <v>Provider name</v>
      </c>
      <c r="FI3" s="1" t="str">
        <f t="shared" si="2"/>
        <v>Provider UK Provider Reference Number</v>
      </c>
      <c r="FJ3" s="1" t="str">
        <f t="shared" si="2"/>
        <v>Provision type</v>
      </c>
      <c r="FK3" s="1" t="str">
        <f t="shared" si="2"/>
        <v>Funding Type</v>
      </c>
      <c r="FL3" s="1" t="str">
        <f t="shared" si="2"/>
        <v>Sub-sector</v>
      </c>
      <c r="FM3" s="1" t="str">
        <f t="shared" si="2"/>
        <v>Number of employers included in period</v>
      </c>
      <c r="FN3" s="1" t="str">
        <f t="shared" si="2"/>
        <v>Percentage of employees starting apprenticeships in period</v>
      </c>
      <c r="FO3" s="1" t="str">
        <f t="shared" si="2"/>
        <v>Employment Percentage</v>
      </c>
      <c r="FP3" s="1" t="str">
        <f t="shared" si="2"/>
        <v>Self-employed rate</v>
      </c>
      <c r="FQ3" s="1" t="str">
        <f t="shared" si="2"/>
        <v>Sustained employment only rate</v>
      </c>
      <c r="FR3" s="1" t="str">
        <f t="shared" si="2"/>
        <v>Sustained employment and learning</v>
      </c>
      <c r="FS3" s="1" t="str">
        <f t="shared" si="2"/>
        <v>Headcount prior to period (thousands)</v>
      </c>
      <c r="FT3" s="1" t="str">
        <f t="shared" si="2"/>
        <v>Apprentices prior to period (thousands)</v>
      </c>
      <c r="FU3" s="1" t="str">
        <f t="shared" si="2"/>
        <v>Apprentices % prior to period</v>
      </c>
      <c r="FV3" s="1" t="str">
        <f t="shared" si="2"/>
        <v>New employees in period (thousands)</v>
      </c>
      <c r="FW3" s="1" t="str">
        <f t="shared" si="2"/>
        <v>New apprentices in period (thousands)</v>
      </c>
      <c r="FX3" s="1" t="str">
        <f t="shared" si="2"/>
        <v>Apprenticeship training starts as % of new employees in period</v>
      </c>
      <c r="FY3" s="1" t="str">
        <f t="shared" si="2"/>
        <v>Headcount at end of period (thousands)</v>
      </c>
      <c r="FZ3" s="1" t="str">
        <f t="shared" si="2"/>
        <v>Apprentices at end of period (thousands)</v>
      </c>
      <c r="GA3" s="1" t="str">
        <f t="shared" si="2"/>
        <v>Apprentices % at end of period</v>
      </c>
      <c r="GB3" s="1" t="str">
        <f t="shared" si="2"/>
        <v>Cumulative headcount over 4-year period 2017/18 to 2020/21 (thousands)</v>
      </c>
      <c r="GC3" s="1" t="str">
        <f t="shared" si="2"/>
        <v>Cumulative new apprentices over 4-year period 2017/18 to 2020/21 (thousands)</v>
      </c>
      <c r="GD3" s="1" t="str">
        <f t="shared" si="2"/>
        <v>Average % of employees starting apprenticeship (over 4-year period 2017/18 to 2020/21)</v>
      </c>
      <c r="GE3" s="1" t="str">
        <f t="shared" si="2"/>
        <v>Redundancies</v>
      </c>
      <c r="GF3" s="1" t="str">
        <f t="shared" si="2"/>
        <v>Positive Destinations</v>
      </c>
      <c r="GG3" s="1" t="str">
        <f t="shared" si="2"/>
        <v>Positive Destination Rate</v>
      </c>
      <c r="GH3" s="1" t="str">
        <f t="shared" si="2"/>
        <v>Destination year</v>
      </c>
      <c r="GI3" s="1" t="str">
        <f t="shared" si="2"/>
        <v>Number of matched learners with any learning destination</v>
      </c>
      <c r="GJ3" s="1" t="str">
        <f t="shared" si="2"/>
        <v>Adult FE &amp; skills</v>
      </c>
      <c r="GK3" s="1" t="str">
        <f t="shared" si="2"/>
        <v>Adult Education &amp; training</v>
      </c>
      <c r="GL3" s="1" t="str">
        <f t="shared" si="2"/>
        <v>Adult Apprenticeships</v>
      </c>
      <c r="GM3" s="1" t="str">
        <f t="shared" si="2"/>
        <v>Adult further education and skills - Full Level 2</v>
      </c>
      <c r="GN3" s="1" t="str">
        <f t="shared" si="2"/>
        <v>Adult further education and skills - Full Level3</v>
      </c>
      <c r="GO3" s="1" t="str">
        <f t="shared" si="2"/>
        <v>Adult further education and skills - Level 4+</v>
      </c>
      <c r="GP3" s="1" t="str">
        <f t="shared" si="2"/>
        <v>Community learning</v>
      </c>
      <c r="GQ3" s="1" t="str">
        <f t="shared" ref="GQ3:JB3" si="3">IF(OR(GQ2="No match",GQ2="multiple"),GQ1,GQ2)</f>
        <v>Qualification</v>
      </c>
      <c r="GR3" s="1" t="str">
        <f t="shared" si="3"/>
        <v>Qualification sublevel</v>
      </c>
      <c r="GS3" s="1" t="str">
        <f t="shared" si="3"/>
        <v>Qualification level</v>
      </c>
      <c r="GT3" s="1" t="str">
        <f t="shared" si="3"/>
        <v>Qualification Type</v>
      </c>
      <c r="GU3" s="1" t="str">
        <f t="shared" si="3"/>
        <v>Qualification title</v>
      </c>
      <c r="GV3" s="1" t="str">
        <f t="shared" si="3"/>
        <v>Equivalent or lower qualification</v>
      </c>
      <c r="GW3" s="1" t="str">
        <f t="shared" si="3"/>
        <v>Learning Aim Title</v>
      </c>
      <c r="GX3" s="1" t="str">
        <f t="shared" si="3"/>
        <v>Qualification aim</v>
      </c>
      <c r="GY3" s="1" t="str">
        <f t="shared" si="3"/>
        <v xml:space="preserve">Grouped level of learning </v>
      </c>
      <c r="GZ3" s="1" t="str">
        <f t="shared" si="3"/>
        <v>Level of learning</v>
      </c>
      <c r="HA3" s="1" t="str">
        <f t="shared" si="3"/>
        <v>Received applications</v>
      </c>
      <c r="HB3" s="1" t="str">
        <f t="shared" si="3"/>
        <v>Approved applications</v>
      </c>
      <c r="HC3" s="1" t="str">
        <f t="shared" si="3"/>
        <v>Total loan amount awarded (£000s)</v>
      </c>
      <c r="HD3" s="1" t="str">
        <f t="shared" si="3"/>
        <v>Total Participation</v>
      </c>
      <c r="HE3" s="1" t="str">
        <f t="shared" si="3"/>
        <v>Participation Below level 2 (excluding basic skills)</v>
      </c>
      <c r="HF3" s="1" t="str">
        <f t="shared" si="3"/>
        <v>Participation Basic skills (Aug to Jul)</v>
      </c>
      <c r="HG3" s="1" t="str">
        <f t="shared" si="3"/>
        <v>Participation Full level 2</v>
      </c>
      <c r="HH3" s="1" t="str">
        <f t="shared" si="3"/>
        <v>Participation Full level 3</v>
      </c>
      <c r="HI3" s="1" t="str">
        <f t="shared" si="3"/>
        <v>Participation Level 2</v>
      </c>
      <c r="HJ3" s="1" t="str">
        <f t="shared" si="3"/>
        <v>Participation Level 3</v>
      </c>
      <c r="HK3" s="1" t="str">
        <f t="shared" si="3"/>
        <v>Participation Level 4+</v>
      </c>
      <c r="HL3" s="1" t="str">
        <f t="shared" si="3"/>
        <v>Participation No Level Assigned (Aug to Jul)</v>
      </c>
      <c r="HM3" s="1" t="str">
        <f t="shared" si="3"/>
        <v>Total Achievements</v>
      </c>
      <c r="HN3" s="1" t="str">
        <f t="shared" si="3"/>
        <v>Achievements Below level 2 (excluding basic skills)</v>
      </c>
      <c r="HO3" s="1" t="str">
        <f t="shared" si="3"/>
        <v>Achievements, basic skills</v>
      </c>
      <c r="HP3" s="1" t="str">
        <f t="shared" si="3"/>
        <v>Achievements Full level 2</v>
      </c>
      <c r="HQ3" s="1" t="str">
        <f t="shared" si="3"/>
        <v>Achievements Full level 3</v>
      </c>
      <c r="HR3" s="1" t="str">
        <f t="shared" si="3"/>
        <v>Achievements Level 2</v>
      </c>
      <c r="HS3" s="1" t="str">
        <f t="shared" si="3"/>
        <v>Achievements Level 3</v>
      </c>
      <c r="HT3" s="1" t="str">
        <f t="shared" si="3"/>
        <v>Achievements Level 4+</v>
      </c>
      <c r="HU3" s="1" t="str">
        <f t="shared" si="3"/>
        <v>Achievements No level assigned</v>
      </c>
      <c r="HV3" s="1" t="str">
        <f t="shared" si="3"/>
        <v>Reporting date</v>
      </c>
      <c r="HW3" s="1" t="str">
        <f t="shared" si="3"/>
        <v>Participation Personal and community development learning</v>
      </c>
      <c r="HX3" s="1" t="str">
        <f t="shared" si="3"/>
        <v>Participation Neighbourhood learning in deprived communities</v>
      </c>
      <c r="HY3" s="1" t="str">
        <f t="shared" si="3"/>
        <v>Participation Family English maths and language</v>
      </c>
      <c r="HZ3" s="1" t="str">
        <f t="shared" si="3"/>
        <v>Participation Wider family learning</v>
      </c>
      <c r="IA3" s="1" t="str">
        <f t="shared" si="3"/>
        <v>Total</v>
      </c>
      <c r="IB3" s="1" t="str">
        <f t="shared" si="3"/>
        <v>Achievements Personal and community development learning</v>
      </c>
      <c r="IC3" s="1" t="str">
        <f t="shared" si="3"/>
        <v>Achievements Neighbourhood learning in deprived communities</v>
      </c>
      <c r="ID3" s="1" t="str">
        <f t="shared" si="3"/>
        <v>Achievements Family English maths and language</v>
      </c>
      <c r="IE3" s="1" t="str">
        <f t="shared" si="3"/>
        <v>Achievements Wider family learning</v>
      </c>
      <c r="IF3" s="1" t="str">
        <f t="shared" si="3"/>
        <v>Individualised learner record snapshot and L3 offer course list used</v>
      </c>
      <c r="IG3" s="1" t="str">
        <f t="shared" si="3"/>
        <v>Total enrolments by any adult on offer courses</v>
      </c>
      <c r="IH3" s="1" t="str">
        <f t="shared" si="3"/>
        <v>Enrolments by eligible adults on offer courses (under original offer)</v>
      </c>
      <c r="II3" s="1" t="str">
        <f t="shared" si="3"/>
        <v>Enrolments by adults taking up Free Courses for Jobs (under original offer)</v>
      </c>
      <c r="IJ3" s="1" t="str">
        <f t="shared" si="3"/>
        <v>Enrolments by adults taking up Free Courses for Jobs (including under extended offer from Apr22)</v>
      </c>
      <c r="IK3" s="1" t="str">
        <f t="shared" si="3"/>
        <v>Number of courses available during period under Free Courses for Jobs offer</v>
      </c>
      <c r="IL3" s="1" t="str">
        <f t="shared" si="3"/>
        <v>Prior attainment group</v>
      </c>
      <c r="IM3" s="1" t="str">
        <f t="shared" si="3"/>
        <v>Prior attainment level</v>
      </c>
      <c r="IN3" s="1" t="str">
        <f t="shared" si="3"/>
        <v>Employment status</v>
      </c>
      <c r="IO3" s="1" t="str">
        <f t="shared" si="3"/>
        <v>Total free courses for jobs total starts under original offer (April 21 to January 23)</v>
      </c>
      <c r="IP3" s="1" t="str">
        <f t="shared" si="3"/>
        <v>Total free courses for jobs total starts including extended offer (April 21 to January 23)</v>
      </c>
      <c r="IQ3" s="1" t="str">
        <f t="shared" si="3"/>
        <v>Total free courses for jobs total achievements under original offer (April 21 to January 23)</v>
      </c>
      <c r="IR3" s="1" t="str">
        <f t="shared" si="3"/>
        <v>Total free courses for jobs total achievements including extended offer (April 21 to January 23)</v>
      </c>
      <c r="IS3" s="1" t="str">
        <f t="shared" si="3"/>
        <v>notional nvq level</v>
      </c>
      <c r="IT3" s="1" t="str">
        <f t="shared" si="3"/>
        <v>E and T Aims enrolment</v>
      </c>
      <c r="IU3" s="1" t="str">
        <f t="shared" si="3"/>
        <v>E and T aims achievement</v>
      </c>
      <c r="IV3" s="1" t="str">
        <f t="shared" si="3"/>
        <v>Apprenticeships or further education</v>
      </c>
      <c r="IW3" s="1" t="str">
        <f t="shared" si="3"/>
        <v>Level or type</v>
      </c>
      <c r="IX3" s="1" t="str">
        <f t="shared" si="3"/>
        <v>Percentage change</v>
      </c>
      <c r="IY3" s="1" t="str">
        <f t="shared" si="3"/>
        <v>Cohort number</v>
      </c>
      <c r="IZ3" s="1" t="str">
        <f t="shared" si="3"/>
        <v>Cohort Level Group</v>
      </c>
      <c r="JA3" s="1" t="str">
        <f t="shared" si="3"/>
        <v>Qualification levels</v>
      </c>
      <c r="JB3" s="1" t="str">
        <f t="shared" si="3"/>
        <v>Average Cohort</v>
      </c>
      <c r="JC3" s="1" t="str">
        <f t="shared" ref="JC3:LN3" si="4">IF(OR(JC2="No match",JC2="multiple"),JC1,JC2)</f>
        <v>Number not in education, employment or training/activity not known</v>
      </c>
      <c r="JD3" s="1" t="str">
        <f t="shared" si="4"/>
        <v>Average not in education, employment or training</v>
      </c>
      <c r="JE3" s="1" t="str">
        <f t="shared" si="4"/>
        <v>Number activity not known</v>
      </c>
      <c r="JF3" s="1" t="str">
        <f t="shared" si="4"/>
        <v>Not in education, employment or training/not known proportion</v>
      </c>
      <c r="JG3" s="1" t="str">
        <f t="shared" si="4"/>
        <v>Not in education, employment or training proportion</v>
      </c>
      <c r="JH3" s="1" t="str">
        <f t="shared" si="4"/>
        <v>Activity not know proportion</v>
      </c>
      <c r="JI3" s="1" t="str">
        <f t="shared" si="4"/>
        <v>Percentage of the cohort with activity not known</v>
      </c>
      <c r="JJ3" s="1" t="str">
        <f t="shared" si="4"/>
        <v>Annual change in: not in education, employment or training/not known rate</v>
      </c>
      <c r="JK3" s="1" t="str">
        <f t="shared" si="4"/>
        <v>Institution group</v>
      </c>
      <c r="JL3" s="1" t="str">
        <f t="shared" si="4"/>
        <v>Institution type</v>
      </c>
      <c r="JM3" s="1" t="str">
        <f t="shared" si="4"/>
        <v>Institution or apprenticeship grouping</v>
      </c>
      <c r="JN3" s="1" t="str">
        <f t="shared" si="4"/>
        <v>Institution or apprenticeship</v>
      </c>
      <c r="JO3" s="1" t="str">
        <f t="shared" si="4"/>
        <v>Labour market status</v>
      </c>
      <c r="JP3" s="1" t="str">
        <f t="shared" si="4"/>
        <v>category grouping</v>
      </c>
      <c r="JQ3" s="1" t="str">
        <f t="shared" si="4"/>
        <v>Activity</v>
      </c>
      <c r="JR3" s="1" t="str">
        <f t="shared" si="4"/>
        <v>Mode of study</v>
      </c>
      <c r="JS3" s="1" t="str">
        <f t="shared" si="4"/>
        <v>Population (ONS estimate)</v>
      </c>
      <c r="JT3" s="1" t="str">
        <f t="shared" si="4"/>
        <v>Number not in education, employment or training</v>
      </c>
      <c r="JU3" s="1" t="str">
        <f t="shared" si="4"/>
        <v>Confidence interval (95%) for the number of not in education, employment or training</v>
      </c>
      <c r="JV3" s="1" t="str">
        <f t="shared" si="4"/>
        <v>Lower bound number not in education, employment or training</v>
      </c>
      <c r="JW3" s="1" t="str">
        <f t="shared" si="4"/>
        <v>Upper bound number not in education, employment or training</v>
      </c>
      <c r="JX3" s="1" t="str">
        <f t="shared" si="4"/>
        <v>Confidence interval (95%) for the percentage not in education, employment or training</v>
      </c>
      <c r="JY3" s="1" t="str">
        <f t="shared" si="4"/>
        <v>Lower bound percent not in education, employment or training</v>
      </c>
      <c r="JZ3" s="1" t="str">
        <f t="shared" si="4"/>
        <v>Upper bound percent not in education, employment or training</v>
      </c>
      <c r="KA3" s="1" t="str">
        <f t="shared" si="4"/>
        <v>Annual change in not in education, employment or training rate</v>
      </c>
      <c r="KB3" s="1" t="str">
        <f t="shared" si="4"/>
        <v>Confidence interval (95%) for the annual change in not in education, employment or training rate</v>
      </c>
      <c r="KC3" s="1" t="str">
        <f t="shared" si="4"/>
        <v>Lower bound annual change in not in education, employment or training rate</v>
      </c>
      <c r="KD3" s="1" t="str">
        <f t="shared" si="4"/>
        <v>Upper bound annual change in not in education, employment or training rate</v>
      </c>
      <c r="KE3" s="1" t="str">
        <f t="shared" si="4"/>
        <v>Number not in education or training</v>
      </c>
      <c r="KF3" s="1" t="str">
        <f t="shared" si="4"/>
        <v>Confidence interval (95%) for the number not in education or training</v>
      </c>
      <c r="KG3" s="1" t="str">
        <f t="shared" si="4"/>
        <v>Lower bound number not in education or training</v>
      </c>
      <c r="KH3" s="1" t="str">
        <f t="shared" si="4"/>
        <v>Upper bound number not in education or training</v>
      </c>
      <c r="KI3" s="1" t="str">
        <f t="shared" si="4"/>
        <v>Percentage of population not in education or training</v>
      </c>
      <c r="KJ3" s="1" t="str">
        <f t="shared" si="4"/>
        <v>Confidence interval (95%) for the percentage not in education or training</v>
      </c>
      <c r="KK3" s="1" t="str">
        <f t="shared" si="4"/>
        <v>Lower bound percent not in education or training</v>
      </c>
      <c r="KL3" s="1" t="str">
        <f t="shared" si="4"/>
        <v>Upper bound percent not in education or training</v>
      </c>
      <c r="KM3" s="1" t="str">
        <f t="shared" si="4"/>
        <v>Annual change in not in education or training rate</v>
      </c>
      <c r="KN3" s="1" t="str">
        <f t="shared" si="4"/>
        <v>Confidence interval (95%) for the annual change in not in education or training rate</v>
      </c>
      <c r="KO3" s="1" t="str">
        <f t="shared" si="4"/>
        <v>Lower bound annual change in not in education or training rate</v>
      </c>
      <c r="KP3" s="1" t="str">
        <f t="shared" si="4"/>
        <v>Upper bound annual change in not in education or training rate</v>
      </c>
      <c r="KQ3" s="1" t="str">
        <f t="shared" si="4"/>
        <v>Employment rate of the not in education or training group</v>
      </c>
      <c r="KR3" s="1" t="str">
        <f t="shared" si="4"/>
        <v>Number not in education, employment or training who are International Labour Organisation unemployed for less than 6 months</v>
      </c>
      <c r="KS3" s="1" t="str">
        <f t="shared" si="4"/>
        <v>confidence interval plus minus International Labour Organisation unemployed less 6 months</v>
      </c>
      <c r="KT3" s="1" t="str">
        <f t="shared" si="4"/>
        <v>lower bound number International Labour Organisation unemployed less 6months</v>
      </c>
      <c r="KU3" s="1" t="str">
        <f t="shared" si="4"/>
        <v>Upper bound number International Labour Organisation unemployed less 6 months</v>
      </c>
      <c r="KV3" s="1" t="str">
        <f t="shared" si="4"/>
        <v>Number not in education, employment or training who are International Labour Organisation unemployed for more than 6 months</v>
      </c>
      <c r="KW3" s="1" t="str">
        <f t="shared" si="4"/>
        <v>Confidence interval (95%) for the number not in education, employment or training unemployed for more than 6 months</v>
      </c>
      <c r="KX3" s="1" t="str">
        <f t="shared" si="4"/>
        <v>Lower bound number International Labour Organisation unemployed more 6 months</v>
      </c>
      <c r="KY3" s="1" t="str">
        <f t="shared" si="4"/>
        <v>Upper bound number International Labour Organisation unemployed more 6 months</v>
      </c>
      <c r="KZ3" s="1" t="str">
        <f t="shared" si="4"/>
        <v>Number not in education, employment or training who were inactive and want a job</v>
      </c>
      <c r="LA3" s="1" t="str">
        <f t="shared" si="4"/>
        <v>Confidence interval (95%) for the number not in education, employment or training inactive and want a job</v>
      </c>
      <c r="LB3" s="1" t="str">
        <f t="shared" si="4"/>
        <v>Lower bound number inactive wants a job</v>
      </c>
      <c r="LC3" s="1" t="str">
        <f t="shared" si="4"/>
        <v>Upper bound number inactive wants a job</v>
      </c>
      <c r="LD3" s="1" t="str">
        <f t="shared" si="4"/>
        <v>Number not in education, employment or training who were inactive and does not want a job</v>
      </c>
      <c r="LE3" s="1" t="str">
        <f t="shared" si="4"/>
        <v>Confidence interval (95%) for the number not in education, employment or training inactive and does not want a job</v>
      </c>
      <c r="LF3" s="1" t="str">
        <f t="shared" si="4"/>
        <v>Lower bound number inactive does not want a job</v>
      </c>
      <c r="LG3" s="1" t="str">
        <f t="shared" si="4"/>
        <v>Upper bound number inactive does not want a job</v>
      </c>
      <c r="LH3" s="1" t="str">
        <f t="shared" si="4"/>
        <v>Number not in education, employment or training where reason for inactivity was looking after family/home</v>
      </c>
      <c r="LI3" s="1" t="str">
        <f t="shared" si="4"/>
        <v>Confidence interval (95%) for the number not in education, employment or training with reason inactive as looking after family/home</v>
      </c>
      <c r="LJ3" s="1" t="str">
        <f t="shared" si="4"/>
        <v>Lower bound number reason inactive looking after family or home</v>
      </c>
      <c r="LK3" s="1" t="str">
        <f t="shared" si="4"/>
        <v>Upper bound number reason inactive looking after family or home</v>
      </c>
      <c r="LL3" s="1" t="str">
        <f t="shared" si="4"/>
        <v>Number not in education, employment or training where reason for inactivity was long-term or temporarily sick</v>
      </c>
      <c r="LM3" s="1" t="str">
        <f t="shared" si="4"/>
        <v>Confidence interval (95%) for the number not in education, employment or training with reason inactive as long-term or temporary sick</v>
      </c>
      <c r="LN3" s="1" t="str">
        <f t="shared" si="4"/>
        <v>Lower bound number reason inactive long-term or temporary sick</v>
      </c>
      <c r="LO3" s="1" t="str">
        <f t="shared" ref="LO3:NZ3" si="5">IF(OR(LO2="No match",LO2="multiple"),LO1,LO2)</f>
        <v>Upper bound number reason inactive long-term or temporary sick</v>
      </c>
      <c r="LP3" s="1" t="str">
        <f t="shared" si="5"/>
        <v>Number not in education, employment or training where reason for inactivity was other</v>
      </c>
      <c r="LQ3" s="1" t="str">
        <f t="shared" si="5"/>
        <v>Confidence interval (95%) for the number not in education, employment or training with reason inactive as other</v>
      </c>
      <c r="LR3" s="1" t="str">
        <f t="shared" si="5"/>
        <v>Lower bound number reason inactive other</v>
      </c>
      <c r="LS3" s="1" t="str">
        <f t="shared" si="5"/>
        <v>Upper bound number reason inactive other</v>
      </c>
      <c r="LT3" s="1" t="str">
        <f t="shared" si="5"/>
        <v>Percentage of not in education, employment or training International Labour Organisation unemployed for less than 6 months</v>
      </c>
      <c r="LU3" s="1" t="str">
        <f t="shared" si="5"/>
        <v>Confidence interval (95%) for the percentage not in education, employment or training unemployed for less than 6 months</v>
      </c>
      <c r="LV3" s="1" t="str">
        <f t="shared" si="5"/>
        <v>Lower bound percent International Labour Organisation unemployed less 6 months</v>
      </c>
      <c r="LW3" s="1" t="str">
        <f t="shared" si="5"/>
        <v>Upper bound percent International Labour Organisation unemployed less 6 months</v>
      </c>
      <c r="LX3" s="1" t="str">
        <f t="shared" si="5"/>
        <v>Percentage of not in education, employment or training International Labour Organisation unemployed for more than 6 months</v>
      </c>
      <c r="LY3" s="1" t="str">
        <f t="shared" si="5"/>
        <v>Confidence interval (95%) for the percentage not in education, employment or training unemployed for more than 6 months</v>
      </c>
      <c r="LZ3" s="1" t="str">
        <f t="shared" si="5"/>
        <v>Lower bound percent International Labour Organisation unemployed more 6 months</v>
      </c>
      <c r="MA3" s="1" t="str">
        <f t="shared" si="5"/>
        <v>Upper bound percent International Labour Organisation unemployed more 6 months</v>
      </c>
      <c r="MB3" s="1" t="str">
        <f t="shared" si="5"/>
        <v>Percentage of not in education, employment or training who were inactive and want a job</v>
      </c>
      <c r="MC3" s="1" t="str">
        <f t="shared" si="5"/>
        <v>Confidence interval (95%) for the percentage not in education, employment or training inactive and want a job</v>
      </c>
      <c r="MD3" s="1" t="str">
        <f t="shared" si="5"/>
        <v>Lower bound percent inactive wants a job</v>
      </c>
      <c r="ME3" s="1" t="str">
        <f t="shared" si="5"/>
        <v>Upper bound percent inactive wants a job</v>
      </c>
      <c r="MF3" s="1" t="str">
        <f t="shared" si="5"/>
        <v>Percentage of not in education, employment or training who were inactive and does not want a job</v>
      </c>
      <c r="MG3" s="1" t="str">
        <f t="shared" si="5"/>
        <v>Confidence interval (95%) for the percentage not in education, employment or training inactive and does not want a job</v>
      </c>
      <c r="MH3" s="1" t="str">
        <f t="shared" si="5"/>
        <v>Lower bound percent inactive does not want a job</v>
      </c>
      <c r="MI3" s="1" t="str">
        <f t="shared" si="5"/>
        <v>Upper bound percent inactive does not want a job</v>
      </c>
      <c r="MJ3" s="1" t="str">
        <f t="shared" si="5"/>
        <v>Percentage of not in education, employment or training where reason for inactivity was looking after family/home</v>
      </c>
      <c r="MK3" s="1" t="str">
        <f t="shared" si="5"/>
        <v>Confidence interval (95%) for the percentage not in education, employment or training with reason inactive as looking after family/home</v>
      </c>
      <c r="ML3" s="1" t="str">
        <f t="shared" si="5"/>
        <v>Lower bound percent reason inactive looking after family or home</v>
      </c>
      <c r="MM3" s="1" t="str">
        <f t="shared" si="5"/>
        <v>Upper bound percent reason inactive looking after family or home</v>
      </c>
      <c r="MN3" s="1" t="str">
        <f t="shared" si="5"/>
        <v>Percentage of not in education, employment or training where reason for inactivity was long-term or temporarily sick</v>
      </c>
      <c r="MO3" s="1" t="str">
        <f t="shared" si="5"/>
        <v>Confidence interval (95%) for the percentage not in education, employment or training with reason inactive as long-term or temporary sick</v>
      </c>
      <c r="MP3" s="1" t="str">
        <f t="shared" si="5"/>
        <v>Lower bound percent reason inactive long-term or temporary sick</v>
      </c>
      <c r="MQ3" s="1" t="str">
        <f t="shared" si="5"/>
        <v>Upper bound percent reason inactive long-term or temporary sick</v>
      </c>
      <c r="MR3" s="1" t="str">
        <f t="shared" si="5"/>
        <v>Percentage of not in education, employment or training where reason for inactivity was other</v>
      </c>
      <c r="MS3" s="1" t="str">
        <f t="shared" si="5"/>
        <v>Confidence interval (95%) for the percentage of not in education, employment or training with reason inactive as other</v>
      </c>
      <c r="MT3" s="1" t="str">
        <f t="shared" si="5"/>
        <v>Lower bound percent reason inactive other</v>
      </c>
      <c r="MU3" s="1" t="str">
        <f t="shared" si="5"/>
        <v>Upper bound percent reason inactive other</v>
      </c>
      <c r="MV3" s="1" t="str">
        <f t="shared" si="5"/>
        <v>National Client Caseload Information System, not in education, employment or training/not known</v>
      </c>
      <c r="MW3" s="1" t="str">
        <f t="shared" si="5"/>
        <v>ONS, Labour Force Survey, not in education, employment or training seasonally adjusted</v>
      </c>
      <c r="MX3" s="1" t="str">
        <f t="shared" si="5"/>
        <v>Total not in employment, education or training, 'not in education or training' or Total population estimates</v>
      </c>
      <c r="MY3" s="1" t="str">
        <f t="shared" si="5"/>
        <v>health condition grouping</v>
      </c>
      <c r="MZ3" s="1" t="str">
        <f t="shared" si="5"/>
        <v>Main health condition reported by respondent</v>
      </c>
      <c r="NA3" s="1" t="str">
        <f t="shared" si="5"/>
        <v>Sample Size</v>
      </c>
      <c r="NB3" s="1" t="str">
        <f t="shared" si="5"/>
        <v>Confidence interval (95%) for the number of 16-24 year olds</v>
      </c>
      <c r="NC3" s="1" t="str">
        <f t="shared" si="5"/>
        <v>Lower bound of confidence interval (95%) for the number of 16-24 year olds</v>
      </c>
      <c r="ND3" s="1" t="str">
        <f t="shared" si="5"/>
        <v>Upper bound of confidence interval (95%) for the number of 16-24 year olds</v>
      </c>
      <c r="NE3" s="1" t="str">
        <f t="shared" si="5"/>
        <v>Percentage of 16-24 year olds</v>
      </c>
      <c r="NF3" s="1" t="str">
        <f t="shared" si="5"/>
        <v>Confidence interval (95%) for the percentage of 16-24 year olds</v>
      </c>
      <c r="NG3" s="1" t="str">
        <f t="shared" si="5"/>
        <v>Lower bound of confidence interval (95%) for the percentage of 16-24 year olds</v>
      </c>
      <c r="NH3" s="1" t="str">
        <f t="shared" si="5"/>
        <v>Upper bound of confidence interval (95%) for the percentage of 16-24 year olds</v>
      </c>
      <c r="NI3" s="1" t="str">
        <f t="shared" si="5"/>
        <v>Percentage of not in education, employment or training 16-24 year olds</v>
      </c>
      <c r="NJ3" s="1" t="str">
        <f t="shared" si="5"/>
        <v>Data type</v>
      </c>
      <c r="NK3" s="1" t="str">
        <f t="shared" si="5"/>
        <v>version</v>
      </c>
      <c r="NL3" s="1" t="str">
        <f t="shared" si="5"/>
        <v>Number of institutions (Destinations)</v>
      </c>
      <c r="NM3" s="1" t="str">
        <f t="shared" si="5"/>
        <v>Number of learners in sustained employment</v>
      </c>
      <c r="NN3" s="1" t="str">
        <f t="shared" si="5"/>
        <v>Sustained employment rate</v>
      </c>
      <c r="NO3" s="1" t="str">
        <f t="shared" si="5"/>
        <v>Sustained positive destination rate</v>
      </c>
      <c r="NP3" s="1" t="str">
        <f t="shared" si="5"/>
        <v>Overall Sustained education, employment and apprenticeships</v>
      </c>
      <c r="NQ3" s="1" t="str">
        <f t="shared" si="5"/>
        <v>Overall sustained destinations after one year</v>
      </c>
      <c r="NR3" s="1" t="str">
        <f t="shared" si="5"/>
        <v>Overall sustained destinations after three years</v>
      </c>
      <c r="NS3" s="1" t="str">
        <f t="shared" si="5"/>
        <v>Overall sustained destinations after five years</v>
      </c>
      <c r="NT3" s="1" t="str">
        <f t="shared" si="5"/>
        <v>Sustained education destination</v>
      </c>
      <c r="NU3" s="1" t="str">
        <f t="shared" si="5"/>
        <v>Further education</v>
      </c>
      <c r="NV3" s="1" t="str">
        <f t="shared" si="5"/>
        <v>Level 3 (e.g. A level, Level 3 National Certificate, Level 3 National Diploma)</v>
      </c>
      <c r="NW3" s="1" t="str">
        <f t="shared" si="5"/>
        <v>Level 2 (e.g. GCSE 9 - 4/ A* - C, Level 2 National Certificate, Level 2 National Diploma)</v>
      </c>
      <c r="NX3" s="1" t="str">
        <f t="shared" si="5"/>
        <v>Further education entry level and no identified level</v>
      </c>
      <c r="NY3" s="1" t="str">
        <f t="shared" si="5"/>
        <v>Entry level or level 1 (e.g. Entry Level Certificate, Entry Level Diploma, Level 1 Certificate, Level 1 Diploma)</v>
      </c>
      <c r="NZ3" s="1" t="str">
        <f t="shared" si="5"/>
        <v>Sustained  further education rate</v>
      </c>
      <c r="OA3" s="1" t="str">
        <f t="shared" ref="OA3:QL3" si="6">IF(OR(OA2="No match",OA2="multiple"),OA1,OA2)</f>
        <v>Below Level 2 Percent</v>
      </c>
      <c r="OB3" s="1" t="str">
        <f t="shared" si="6"/>
        <v>English and maths</v>
      </c>
      <c r="OC3" s="1" t="str">
        <f t="shared" si="6"/>
        <v>Level 2 Percent</v>
      </c>
      <c r="OD3" s="1" t="str">
        <f t="shared" si="6"/>
        <v>Full Level 2</v>
      </c>
      <c r="OE3" s="1" t="str">
        <f t="shared" si="6"/>
        <v>Level 3 Percent</v>
      </c>
      <c r="OF3" s="1" t="str">
        <f t="shared" si="6"/>
        <v>Full Level 3</v>
      </c>
      <c r="OG3" s="1" t="str">
        <f t="shared" si="6"/>
        <v>Level 4/5</v>
      </c>
      <c r="OH3" s="1" t="str">
        <f t="shared" si="6"/>
        <v>Not Assigned Percent</v>
      </c>
      <c r="OI3" s="1" t="str">
        <f t="shared" si="6"/>
        <v>School sixth form</v>
      </c>
      <c r="OJ3" s="1" t="str">
        <f t="shared" si="6"/>
        <v>Sixth form college</v>
      </c>
      <c r="OK3" s="1" t="str">
        <f t="shared" si="6"/>
        <v>School sixth form &amp; Sixth form college</v>
      </c>
      <c r="OL3" s="1" t="str">
        <f t="shared" si="6"/>
        <v>Other education destination</v>
      </c>
      <c r="OM3" s="1" t="str">
        <f t="shared" si="6"/>
        <v>Independent schools</v>
      </c>
      <c r="ON3" s="1" t="str">
        <f t="shared" si="6"/>
        <v>Alternative provision</v>
      </c>
      <c r="OO3" s="1" t="str">
        <f t="shared" si="6"/>
        <v>Special school</v>
      </c>
      <c r="OP3" s="1" t="str">
        <f t="shared" si="6"/>
        <v>Specialist provision</v>
      </c>
      <c r="OQ3" s="1" t="str">
        <f t="shared" si="6"/>
        <v>Specialist post-16 institution</v>
      </c>
      <c r="OR3" s="1" t="str">
        <f t="shared" si="6"/>
        <v>Sustained education combination destination</v>
      </c>
      <c r="OS3" s="1" t="str">
        <f t="shared" si="6"/>
        <v>UK higher education institution</v>
      </c>
      <c r="OT3" s="1" t="str">
        <f t="shared" si="6"/>
        <v>Type of higher level learning</v>
      </c>
      <c r="OU3" s="1" t="str">
        <f t="shared" si="6"/>
        <v>Level 4 (e.g. Higher National Certificates)</v>
      </c>
      <c r="OV3" s="1" t="str">
        <f t="shared" si="6"/>
        <v>Level 5 (e.g. Foundation degree and Higher National Diploma)</v>
      </c>
      <c r="OW3" s="1" t="str">
        <f t="shared" si="6"/>
        <v>Level 6 (e.g. Degree with/without honours)</v>
      </c>
      <c r="OX3" s="1" t="str">
        <f t="shared" si="6"/>
        <v>Sustained higher education rate (Level 6+)</v>
      </c>
      <c r="OY3" s="1" t="str">
        <f t="shared" si="6"/>
        <v>Access to Higher Education</v>
      </c>
      <c r="OZ3" s="1" t="str">
        <f t="shared" si="6"/>
        <v>Sustained apprenticeship rate</v>
      </c>
      <c r="PA3" s="1" t="str">
        <f t="shared" si="6"/>
        <v>Apprenticeship type</v>
      </c>
      <c r="PB3" s="1" t="str">
        <f t="shared" si="6"/>
        <v>Sustained apprenticeships</v>
      </c>
      <c r="PC3" s="1" t="str">
        <f t="shared" si="6"/>
        <v>Higher and degree apprenticeships (level 4 and above)</v>
      </c>
      <c r="PD3" s="1" t="str">
        <f t="shared" si="6"/>
        <v>Apprenticeship level 3</v>
      </c>
      <c r="PE3" s="1" t="str">
        <f t="shared" si="6"/>
        <v>Intermediate apprenticeships (level 2)</v>
      </c>
      <c r="PF3" s="1" t="str">
        <f t="shared" si="6"/>
        <v>Apprenticeship Intermediate Percent</v>
      </c>
      <c r="PG3" s="1" t="str">
        <f t="shared" si="6"/>
        <v>Apprenticeship Advanced Percent</v>
      </c>
      <c r="PH3" s="1" t="str">
        <f t="shared" si="6"/>
        <v>Apprenticeship Higher Percent</v>
      </c>
      <c r="PI3" s="1" t="str">
        <f t="shared" si="6"/>
        <v>Advanced apprenticeship (Level 3 or above)</v>
      </c>
      <c r="PJ3" s="1" t="str">
        <f t="shared" si="6"/>
        <v>Any learning rate</v>
      </c>
      <c r="PK3" s="1" t="str">
        <f t="shared" si="6"/>
        <v>Sustained progression from achieved aim</v>
      </c>
      <c r="PL3" s="1" t="str">
        <f t="shared" si="6"/>
        <v>Progression for learner overall</v>
      </c>
      <c r="PM3" s="1" t="str">
        <f t="shared" si="6"/>
        <v>Destination not sustained</v>
      </c>
      <c r="PN3" s="1" t="str">
        <f t="shared" si="6"/>
        <v>Destination not sustained and not on benefits</v>
      </c>
      <c r="PO3" s="1" t="str">
        <f t="shared" si="6"/>
        <v>Destination not sustained and in receipt of benefits</v>
      </c>
      <c r="PP3" s="1" t="str">
        <f t="shared" si="6"/>
        <v>In receipt of benefits only</v>
      </c>
      <c r="PQ3" s="1" t="str">
        <f t="shared" si="6"/>
        <v>No activity captured in data</v>
      </c>
      <c r="PR3" s="1" t="str">
        <f t="shared" si="6"/>
        <v>Learners with earnings one year after study</v>
      </c>
      <c r="PS3" s="1" t="str">
        <f t="shared" si="6"/>
        <v>Lower quartile annualised earnings</v>
      </c>
      <c r="PT3" s="1" t="str">
        <f t="shared" si="6"/>
        <v>Median annualised earnings</v>
      </c>
      <c r="PU3" s="1" t="str">
        <f t="shared" si="6"/>
        <v>Upper quartile annualised earnings</v>
      </c>
      <c r="PV3" s="1" t="str">
        <f t="shared" si="6"/>
        <v>Sustained employment destination</v>
      </c>
      <c r="PW3" s="1" t="str">
        <f t="shared" si="6"/>
        <v>Not recorded as a sustained destination</v>
      </c>
      <c r="PX3" s="1" t="str">
        <f t="shared" si="6"/>
        <v>Education or employment not sustained</v>
      </c>
      <c r="PY3" s="1" t="str">
        <f t="shared" si="6"/>
        <v>Education or employment not sustained and known to be not in education, employment or training</v>
      </c>
      <c r="PZ3" s="1" t="str">
        <f t="shared" si="6"/>
        <v>No participation and known to be not in education, employment or training</v>
      </c>
      <c r="QA3" s="1" t="str">
        <f t="shared" si="6"/>
        <v>Activity not captured (Destinations)</v>
      </c>
      <c r="QB3" s="1" t="str">
        <f t="shared" si="6"/>
        <v>Identified as DWP/HMRC customer</v>
      </c>
      <c r="QC3" s="1" t="str">
        <f t="shared" si="6"/>
        <v>Not identified in any data</v>
      </c>
      <c r="QD3" s="1" t="str">
        <f t="shared" si="6"/>
        <v>Level based on Local Education Authority area or provider location</v>
      </c>
      <c r="QE3" s="1" t="str">
        <f t="shared" si="6"/>
        <v>Non-designated provision</v>
      </c>
      <c r="QF3" s="1" t="str">
        <f t="shared" si="6"/>
        <v>Sustained a level 4 or higher destination</v>
      </c>
      <c r="QG3" s="1" t="str">
        <f t="shared" si="6"/>
        <v>National comparator</v>
      </c>
      <c r="QH3" s="1" t="str">
        <f t="shared" si="6"/>
        <v>Progression score</v>
      </c>
      <c r="QI3" s="1" t="str">
        <f t="shared" si="6"/>
        <v>Sustained degree destination</v>
      </c>
      <c r="QJ3" s="1" t="str">
        <f t="shared" si="6"/>
        <v>Degree class - Select the Degree Class you are interested in</v>
      </c>
      <c r="QK3" s="1" t="str">
        <f t="shared" si="6"/>
        <v>Top third higher education destination</v>
      </c>
      <c r="QL3" s="1" t="str">
        <f t="shared" si="6"/>
        <v>Oxford or Cambridge</v>
      </c>
      <c r="QM3" s="1" t="str">
        <f t="shared" ref="QM3:SX3" si="7">IF(OR(QM2="No match",QM2="multiple"),QM1,QM2)</f>
        <v>Russell group institution</v>
      </c>
      <c r="QN3" s="1" t="str">
        <f t="shared" si="7"/>
        <v>Sustained apprenticeship destination</v>
      </c>
      <c r="QO3" s="1" t="str">
        <f t="shared" si="7"/>
        <v>Sustained level 4 or 5 destination</v>
      </c>
      <c r="QP3" s="1" t="str">
        <f t="shared" si="7"/>
        <v>Number of pupils studying academic or applied general qualifications</v>
      </c>
      <c r="QQ3" s="1" t="str">
        <f t="shared" si="7"/>
        <v>Academic/Applied general qualifications students who sustained L4+ destination</v>
      </c>
      <c r="QR3" s="1" t="str">
        <f t="shared" si="7"/>
        <v>Academic/AGQ national comparator</v>
      </c>
      <c r="QS3" s="1" t="str">
        <f t="shared" si="7"/>
        <v>Academic/Applied general qualifications progression score</v>
      </c>
      <c r="QT3" s="1" t="str">
        <f t="shared" si="7"/>
        <v>Number of pupils studying tech levels</v>
      </c>
      <c r="QU3" s="1" t="str">
        <f t="shared" si="7"/>
        <v>Tech level students who sustained L4+ destination</v>
      </c>
      <c r="QV3" s="1" t="str">
        <f t="shared" si="7"/>
        <v>Tech level national comparator</v>
      </c>
      <c r="QW3" s="1" t="str">
        <f t="shared" si="7"/>
        <v>Tech level progression score</v>
      </c>
      <c r="QX3" s="1" t="str">
        <f t="shared" si="7"/>
        <v>Number of pupils studying other level 3 qualifications</v>
      </c>
      <c r="QY3" s="1" t="str">
        <f t="shared" si="7"/>
        <v>Other level 3 students who sustained L4+ destination</v>
      </c>
      <c r="QZ3" s="1" t="str">
        <f t="shared" si="7"/>
        <v>Other level 3 national comparator</v>
      </c>
      <c r="RA3" s="1" t="str">
        <f t="shared" si="7"/>
        <v>Other level 3 progression score</v>
      </c>
      <c r="RB3" s="1" t="str">
        <f t="shared" si="7"/>
        <v>School URN</v>
      </c>
      <c r="RC3" s="1" t="str">
        <f t="shared" si="7"/>
        <v>School LAESTAB</v>
      </c>
      <c r="RD3" s="1" t="str">
        <f t="shared" si="7"/>
        <v>School Name</v>
      </c>
      <c r="RE3" s="1" t="str">
        <f t="shared" si="7"/>
        <v>School Type (higher education)</v>
      </c>
      <c r="RF3" s="1" t="str">
        <f t="shared" si="7"/>
        <v>Skills Index</v>
      </c>
      <c r="RG3" s="1" t="str">
        <f t="shared" si="7"/>
        <v>A level status</v>
      </c>
      <c r="RH3" s="1" t="str">
        <f t="shared" si="7"/>
        <v>Estimated value added</v>
      </c>
      <c r="RI3" s="1" t="str">
        <f t="shared" si="7"/>
        <v>Percentage contribution to total value added</v>
      </c>
      <c r="RJ3" s="1" t="str">
        <f t="shared" si="7"/>
        <v>Value-added per learner index</v>
      </c>
      <c r="RK3" s="1" t="str">
        <f t="shared" si="7"/>
        <v>Annual change in Skills Index</v>
      </c>
      <c r="RL3" s="1" t="str">
        <f t="shared" si="7"/>
        <v>Annual change in Value added per learner index</v>
      </c>
      <c r="RM3" s="1" t="str">
        <f t="shared" si="7"/>
        <v>Index of achiever numbers</v>
      </c>
      <c r="RN3" s="1" t="str">
        <f t="shared" si="7"/>
        <v>Higher education Entry Percentage by Age 25 (Overall)</v>
      </c>
      <c r="RO3" s="1" t="str">
        <f t="shared" si="7"/>
        <v>Higher education Entry Percentage by Age 25 (Females)</v>
      </c>
      <c r="RP3" s="1" t="str">
        <f t="shared" si="7"/>
        <v>Regional higher education Entry Percentage by Age 25 (Highest)</v>
      </c>
      <c r="RQ3" s="1" t="str">
        <f t="shared" si="7"/>
        <v>Regional higher education Entry Percentage by Age 25 (Lowest)</v>
      </c>
      <c r="RR3" s="1" t="str">
        <f t="shared" si="7"/>
        <v>Higher education Entry Percentage by Age 25 (First Degrees)</v>
      </c>
      <c r="RS3" s="1" t="str">
        <f t="shared" si="7"/>
        <v>Higher education Entry Percentage by Age 25 (Full Time)</v>
      </c>
      <c r="RT3" s="1" t="str">
        <f t="shared" si="7"/>
        <v>Age entered HE</v>
      </c>
      <c r="RU3" s="1" t="str">
        <f t="shared" si="7"/>
        <v>Entrants</v>
      </c>
      <c r="RV3" s="1" t="str">
        <f t="shared" si="7"/>
        <v>Entry percentage</v>
      </c>
      <c r="RW3" s="1" t="str">
        <f t="shared" si="7"/>
        <v>Age in Higher Education</v>
      </c>
      <c r="RX3" s="1" t="str">
        <f t="shared" si="7"/>
        <v>Cumulative entry percentage</v>
      </c>
      <c r="RY3" s="1" t="str">
        <f t="shared" si="7"/>
        <v>Mode</v>
      </c>
      <c r="RZ3" s="1" t="str">
        <f t="shared" si="7"/>
        <v>Methodology</v>
      </c>
      <c r="SA3" s="1" t="str">
        <f t="shared" si="7"/>
        <v>Level of degree</v>
      </c>
      <c r="SB3" s="1" t="str">
        <f t="shared" si="7"/>
        <v>Percentage with degree</v>
      </c>
      <c r="SC3" s="1" t="str">
        <f t="shared" si="7"/>
        <v>Years after graduation</v>
      </c>
      <c r="SD3" s="1" t="str">
        <f t="shared" si="7"/>
        <v>Mature</v>
      </c>
      <c r="SE3" s="1" t="str">
        <f t="shared" si="7"/>
        <v>Selective status</v>
      </c>
      <c r="SF3" s="1" t="str">
        <f t="shared" si="7"/>
        <v>Local area Higher education participation grouping</v>
      </c>
      <c r="SG3" s="1" t="str">
        <f t="shared" si="7"/>
        <v>Migration to university</v>
      </c>
      <c r="SH3" s="1" t="str">
        <f t="shared" si="7"/>
        <v>Migration from university</v>
      </c>
      <c r="SI3" s="1" t="str">
        <f t="shared" si="7"/>
        <v>Number of graduates</v>
      </c>
      <c r="SJ3" s="1" t="str">
        <f t="shared" si="7"/>
        <v>Graduates included in outcomes calculation</v>
      </c>
      <c r="SK3" s="1" t="str">
        <f t="shared" si="7"/>
        <v>Unmatched graduates</v>
      </c>
      <c r="SL3" s="1" t="str">
        <f t="shared" si="7"/>
        <v>Overseas graduates</v>
      </c>
      <c r="SM3" s="1" t="str">
        <f t="shared" si="7"/>
        <v>Number of matched graduates</v>
      </c>
      <c r="SN3" s="1" t="str">
        <f t="shared" si="7"/>
        <v>Proportion of graduates</v>
      </c>
      <c r="SO3" s="1" t="str">
        <f t="shared" si="7"/>
        <v>Activity not captured (Higher Education)</v>
      </c>
      <c r="SP3" s="1" t="str">
        <f t="shared" si="7"/>
        <v>No sustained destination</v>
      </c>
      <c r="SQ3" s="1" t="str">
        <f t="shared" si="7"/>
        <v>Sustained employment only</v>
      </c>
      <c r="SR3" s="1" t="str">
        <f t="shared" si="7"/>
        <v>Sustained employment with or without further study</v>
      </c>
      <c r="SS3" s="1" t="str">
        <f t="shared" si="7"/>
        <v>Sustained employment further study or both</v>
      </c>
      <c r="ST3" s="1" t="str">
        <f t="shared" si="7"/>
        <v>Further study with or without sustained employment</v>
      </c>
      <c r="SU3" s="1" t="str">
        <f t="shared" si="7"/>
        <v>Graduates included in earnings figures</v>
      </c>
      <c r="SV3" s="1" t="str">
        <f t="shared" si="7"/>
        <v>Lower quartile provider earnings</v>
      </c>
      <c r="SW3" s="1" t="str">
        <f t="shared" si="7"/>
        <v>Median earnings of graduates</v>
      </c>
      <c r="SX3" s="1" t="str">
        <f t="shared" si="7"/>
        <v>Upper quartile provider earnings</v>
      </c>
      <c r="SY3" s="1" t="str">
        <f t="shared" ref="SY3:VJ3" si="8">IF(OR(SY2="No match",SY2="multiple"),SY1,SY2)</f>
        <v>Lower quartile of real term earnings of graduates</v>
      </c>
      <c r="SZ3" s="1" t="str">
        <f t="shared" si="8"/>
        <v>Median real term earnings</v>
      </c>
      <c r="TA3" s="1" t="str">
        <f t="shared" si="8"/>
        <v>Upper real term quartile of earnings of graduates</v>
      </c>
      <c r="TB3" s="1" t="str">
        <f t="shared" si="8"/>
        <v>Name of Country</v>
      </c>
      <c r="TC3" s="1" t="str">
        <f t="shared" si="8"/>
        <v>Domicile</v>
      </c>
      <c r="TD3" s="1" t="str">
        <f t="shared" si="8"/>
        <v>Median first degree graduate earnings five years after graduation</v>
      </c>
      <c r="TE3" s="1" t="str">
        <f t="shared" si="8"/>
        <v>Median level 7 (taught) postgraduate earnings five years after graduation</v>
      </c>
      <c r="TF3" s="1" t="str">
        <f t="shared" si="8"/>
        <v>Median level 8 postgraduate earnings five years after graduation</v>
      </c>
      <c r="TG3" s="1" t="str">
        <f t="shared" si="8"/>
        <v>First degree graduates in sustained employment, further study or both five years after graduation</v>
      </c>
      <c r="TH3" s="1" t="str">
        <f t="shared" si="8"/>
        <v>Level 7 (taught) postgraduates in sustained employment, further study or both five years after graduation</v>
      </c>
      <c r="TI3" s="1" t="str">
        <f t="shared" si="8"/>
        <v>Level 8 postgraduates in sustained employment, further study or both five years after graduation</v>
      </c>
      <c r="TJ3" s="1" t="str">
        <f t="shared" si="8"/>
        <v>Graduate industry of employment one year after graduation</v>
      </c>
      <c r="TK3" s="1" t="str">
        <f t="shared" si="8"/>
        <v>Graduate industry of employment three year after graduation</v>
      </c>
      <c r="TL3" s="1" t="str">
        <f t="shared" si="8"/>
        <v>Graduate industry of employment five year after graduation</v>
      </c>
      <c r="TM3" s="1" t="str">
        <f t="shared" si="8"/>
        <v>Qualification TR</v>
      </c>
      <c r="TN3" s="1" t="str">
        <f t="shared" si="8"/>
        <v>Count</v>
      </c>
      <c r="TO3" s="1" t="str">
        <f t="shared" si="8"/>
        <v>Higher Education, Industry section</v>
      </c>
      <c r="TP3" s="1" t="str">
        <f t="shared" si="8"/>
        <v>Number of graduates that studied in region</v>
      </c>
      <c r="TQ3" s="1" t="str">
        <f t="shared" si="8"/>
        <v>Number of graduates currently living in region</v>
      </c>
      <c r="TR3" s="1" t="str">
        <f t="shared" si="8"/>
        <v>Difference in number of graduates who studied in and are currently living in the region</v>
      </c>
      <c r="TS3" s="1" t="str">
        <f t="shared" si="8"/>
        <v>The difference as a proportion</v>
      </c>
      <c r="TT3" s="1" t="str">
        <f t="shared" si="8"/>
        <v>Number of providers for the combination of subject studied and industry</v>
      </c>
      <c r="TU3" s="1" t="str">
        <f t="shared" si="8"/>
        <v xml:space="preserve">Industry section group </v>
      </c>
      <c r="TV3" s="1" t="str">
        <f t="shared" si="8"/>
        <v>Number of providers with earnings data for male and female graduates</v>
      </c>
      <c r="TW3" s="1" t="str">
        <f t="shared" si="8"/>
        <v>Median provider median earnings</v>
      </c>
      <c r="TX3" s="1" t="str">
        <f t="shared" si="8"/>
        <v>Number of providers where female median earnings are lower than male median earnings</v>
      </c>
      <c r="TY3" s="1" t="str">
        <f t="shared" si="8"/>
        <v>Number of providers where female median earnings are equal to male median earnings</v>
      </c>
      <c r="TZ3" s="1" t="str">
        <f t="shared" si="8"/>
        <v>Number of providers where female median earnings are higher than male median earnings</v>
      </c>
      <c r="UA3" s="1" t="str">
        <f t="shared" si="8"/>
        <v>Proportion of included providers where female median earnings are lower than male median earnings</v>
      </c>
      <c r="UB3" s="1" t="str">
        <f t="shared" si="8"/>
        <v>Proportion of included providers where female median earnings are equal to male median earnings</v>
      </c>
      <c r="UC3" s="1" t="str">
        <f t="shared" si="8"/>
        <v>Proportion of included providers where female median earnings are higher than male median earnings</v>
      </c>
      <c r="UD3" s="1" t="str">
        <f t="shared" si="8"/>
        <v>Proportion of included providers where female median earnings were 15%+ greater than male median earnings</v>
      </c>
      <c r="UE3" s="1" t="str">
        <f t="shared" si="8"/>
        <v>Proportion of included providers where female median earnings were 5%-15% greater than male median earnings</v>
      </c>
      <c r="UF3" s="1" t="str">
        <f t="shared" si="8"/>
        <v>Proportion of included providers where the difference was less than 5%</v>
      </c>
      <c r="UG3" s="1" t="str">
        <f t="shared" si="8"/>
        <v>Proportion of included providers where female median earnings were 5%-15% lower than male median earnings</v>
      </c>
      <c r="UH3" s="1" t="str">
        <f t="shared" si="8"/>
        <v>Proportion of included providers where female median earnings were 15%+ lower than male median earnings</v>
      </c>
      <c r="UI3" s="1" t="str">
        <f t="shared" si="8"/>
        <v>Prior Attainment Band</v>
      </c>
      <c r="UJ3" s="1" t="str">
        <f t="shared" si="8"/>
        <v>Maximum provider earnings</v>
      </c>
      <c r="UK3" s="1" t="str">
        <f t="shared" si="8"/>
        <v>Proportion of providers in the prior attainment band</v>
      </c>
      <c r="UL3" s="1" t="str">
        <f t="shared" si="8"/>
        <v>Number of providers in the prior attainment band</v>
      </c>
      <c r="UM3" s="1" t="str">
        <f t="shared" si="8"/>
        <v>Minimum provider earnings</v>
      </c>
      <c r="UN3" s="1" t="str">
        <f t="shared" si="8"/>
        <v>Number of providers included for earnings</v>
      </c>
      <c r="UO3" s="1" t="str">
        <f t="shared" si="8"/>
        <v>Difference between maximum and minimum provider earnings</v>
      </c>
      <c r="UP3" s="1" t="str">
        <f t="shared" si="8"/>
        <v>Proportion of included institutions where adjusted earnings are more than 10% lower than raw median earnings</v>
      </c>
      <c r="UQ3" s="1" t="str">
        <f t="shared" si="8"/>
        <v>Proportion of included institutions where adjusted earnings are more than 5% to 10% lower than raw median earnings</v>
      </c>
      <c r="UR3" s="1" t="str">
        <f t="shared" si="8"/>
        <v>Proportion of included institutions where  adjusted earnings are within 5% of raw median earnings</v>
      </c>
      <c r="US3" s="1" t="str">
        <f t="shared" si="8"/>
        <v>Proportion of included institutions where  adjusted earnings are more than 5% to 10% higher than raw median earnings</v>
      </c>
      <c r="UT3" s="1" t="str">
        <f t="shared" si="8"/>
        <v>Proportion of included institutions where  adjusted earnings are more than 10% higher than raw median earnings</v>
      </c>
      <c r="UU3" s="1" t="str">
        <f t="shared" si="8"/>
        <v>Number of providers included for outcomes</v>
      </c>
      <c r="UV3" s="1" t="str">
        <f t="shared" si="8"/>
        <v>Minimum provider graduates in sustained employment further study or both</v>
      </c>
      <c r="UW3" s="1" t="str">
        <f t="shared" si="8"/>
        <v>Lower quartile provider graduates in sustained employment further study or both</v>
      </c>
      <c r="UX3" s="1" t="str">
        <f t="shared" si="8"/>
        <v>Median provider graduates in sustained employment further study or both</v>
      </c>
      <c r="UY3" s="1" t="str">
        <f t="shared" si="8"/>
        <v>Upper quartile provider graduates in sustained employment further study or both</v>
      </c>
      <c r="UZ3" s="1" t="str">
        <f t="shared" si="8"/>
        <v>Maximum provider graduates in sustained employment further study or both</v>
      </c>
      <c r="VA3" s="1" t="str">
        <f t="shared" si="8"/>
        <v>Difference between maximum and minimum provider graduates in sustained employment further study or both</v>
      </c>
      <c r="VB3" s="1" t="str">
        <f t="shared" si="8"/>
        <v>Number of providers with earnings data for 14/15 and 19/20 tax years</v>
      </c>
      <c r="VC3" s="1" t="str">
        <f t="shared" si="8"/>
        <v>Proportion of providers with 19/20 median earnings more than 5% lower than 14/15 median earnings</v>
      </c>
      <c r="VD3" s="1" t="str">
        <f t="shared" si="8"/>
        <v>Proportion of providers with 19/20 median earnings within 5% of the 14/15 median earnings</v>
      </c>
      <c r="VE3" s="1" t="str">
        <f t="shared" si="8"/>
        <v>Proportion of providers with 19/20 median earnings 5% to 10% greater than 14/15 median earnings</v>
      </c>
      <c r="VF3" s="1" t="str">
        <f t="shared" si="8"/>
        <v>Proportion of providers with 19/20 median earnings 10% to 20% greater than 14/15 median earnings</v>
      </c>
      <c r="VG3" s="1" t="str">
        <f t="shared" si="8"/>
        <v>Proportion of providers with 19/20 median earnings over 20% greater than 14/15 median earnings</v>
      </c>
      <c r="VH3" s="1" t="str">
        <f t="shared" si="8"/>
        <v>Higher education Progression Rate</v>
      </c>
      <c r="VI3" s="1" t="str">
        <f t="shared" si="8"/>
        <v>High Tariff HE Progression Rate (Free School Meals)</v>
      </c>
      <c r="VJ3" s="1" t="str">
        <f t="shared" si="8"/>
        <v>High Tariff HE Progression Rate (Non-Free School Meals)</v>
      </c>
      <c r="VK3" s="1" t="str">
        <f t="shared" ref="VK3:XV3" si="9">IF(OR(VK2="No match",VK2="multiple"),VK1,VK2)</f>
        <v>High Tariff HE Progression Rate</v>
      </c>
      <c r="VL3" s="1" t="str">
        <f t="shared" si="9"/>
        <v>Progression Rate Gap</v>
      </c>
      <c r="VM3" s="1" t="str">
        <f t="shared" si="9"/>
        <v>High Tariff Progression Rate Gap</v>
      </c>
      <c r="VN3" s="1" t="str">
        <f t="shared" si="9"/>
        <v>Number of higher education students</v>
      </c>
      <c r="VO3" s="1" t="str">
        <f t="shared" si="9"/>
        <v>Number of HE Students (High Tariff)</v>
      </c>
      <c r="VP3" s="1" t="str">
        <f t="shared" si="9"/>
        <v>Number of Pupils</v>
      </c>
      <c r="VQ3" s="1" t="str">
        <f t="shared" si="9"/>
        <v>Higher education Progression Rate (Free School Meals gap)</v>
      </c>
      <c r="VR3" s="1" t="str">
        <f t="shared" si="9"/>
        <v>High Tariff Higher Education Progression Rate (lowest ethnic group - White)</v>
      </c>
      <c r="VS3" s="1" t="str">
        <f t="shared" si="9"/>
        <v>Higher education Progression Rate (greatest increase - Black)</v>
      </c>
      <c r="VT3" s="1" t="str">
        <f t="shared" si="9"/>
        <v>Higher education progression rate (Female)</v>
      </c>
      <c r="VU3" s="1" t="str">
        <f t="shared" si="9"/>
        <v>Higher education Progression Rate (free school meals highest region – Inner London)</v>
      </c>
      <c r="VV3" s="1" t="str">
        <f t="shared" si="9"/>
        <v>Higher education Progression Rate (State)</v>
      </c>
      <c r="VW3" s="1" t="str">
        <f t="shared" si="9"/>
        <v>Higher education Progression Rate (Independent)</v>
      </c>
      <c r="VX3" s="1" t="str">
        <f t="shared" si="9"/>
        <v>High Tariff Higher Education Progression Rate (State)</v>
      </c>
      <c r="VY3" s="1" t="str">
        <f t="shared" si="9"/>
        <v>High Tariff Higher Education Progression Rate (Independent)</v>
      </c>
      <c r="VZ3" s="1" t="str">
        <f t="shared" si="9"/>
        <v>Special educational needs status</v>
      </c>
      <c r="WA3" s="1" t="str">
        <f t="shared" si="9"/>
        <v>Tariff Group</v>
      </c>
      <c r="WB3" s="1" t="str">
        <f t="shared" si="9"/>
        <v>Mean Tariff</v>
      </c>
      <c r="WC3" s="1" t="str">
        <f t="shared" si="9"/>
        <v>Teaching excellence framework Rating</v>
      </c>
      <c r="WD3" s="1" t="str">
        <f t="shared" si="9"/>
        <v>Percentage of higher education Students</v>
      </c>
      <c r="WE3" s="1" t="str">
        <f t="shared" si="9"/>
        <v>All achievements</v>
      </c>
      <c r="WF3" s="1" t="str">
        <f t="shared" si="9"/>
        <v>Type of higher Education level learning (broad)</v>
      </c>
      <c r="WG3" s="1" t="str">
        <f t="shared" si="9"/>
        <v>Percentage of all achievements</v>
      </c>
      <c r="WH3" s="1" t="str">
        <f t="shared" si="9"/>
        <v>Percentage of entrants</v>
      </c>
      <c r="WI3" s="1" t="str">
        <f t="shared" si="9"/>
        <v>Percentage of all enrolments</v>
      </c>
      <c r="WJ3" s="1" t="str">
        <f t="shared" si="9"/>
        <v>Entrants to Level 4 in 2020/21</v>
      </c>
      <c r="WK3" s="1" t="str">
        <f t="shared" si="9"/>
        <v>Entrants to Level 5 in 2020/21</v>
      </c>
      <c r="WL3" s="1" t="str">
        <f t="shared" si="9"/>
        <v>Entrants to Level 6 in 2020/21</v>
      </c>
      <c r="WM3" s="1" t="str">
        <f t="shared" si="9"/>
        <v>Entrants to Level 7 in 2020/21</v>
      </c>
      <c r="WN3" s="1" t="str">
        <f t="shared" si="9"/>
        <v>Entrants to Level 8 in 2020/21</v>
      </c>
      <c r="WO3" s="1" t="str">
        <f t="shared" si="9"/>
        <v>Percentage of higher-level entrants registered in Higher Education Providers (HEPs) in 2020/21</v>
      </c>
      <c r="WP3" s="1" t="str">
        <f t="shared" si="9"/>
        <v>Index of multiple deprivation quintile</v>
      </c>
      <c r="WQ3" s="1" t="str">
        <f t="shared" si="9"/>
        <v>Funding</v>
      </c>
      <c r="WR3" s="1" t="str">
        <f t="shared" si="9"/>
        <v>Provider category</v>
      </c>
      <c r="WS3" s="1" t="str">
        <f t="shared" si="9"/>
        <v>Common aggregation hierarchy subject first level grouping</v>
      </c>
      <c r="WT3" s="1" t="str">
        <f t="shared" si="9"/>
        <v>Common aggregation hierarchy subject second level grouping</v>
      </c>
      <c r="WU3" s="1" t="str">
        <f t="shared" si="9"/>
        <v>Technical route</v>
      </c>
      <c r="WV3" s="1" t="str">
        <f t="shared" si="9"/>
        <v>Graduate Characteristic</v>
      </c>
      <c r="WW3" s="1" t="str">
        <f t="shared" si="9"/>
        <v>Graduate Breakdown</v>
      </c>
      <c r="WX3" s="1" t="str">
        <f t="shared" si="9"/>
        <v>Graduate Type</v>
      </c>
      <c r="WY3" s="1" t="str">
        <f t="shared" si="9"/>
        <v xml:space="preserve">Graduate Age Group </v>
      </c>
      <c r="WZ3" s="1" t="str">
        <f t="shared" si="9"/>
        <v>Graduate Employment Rate</v>
      </c>
      <c r="XA3" s="1" t="str">
        <f t="shared" si="9"/>
        <v>Graduate High-Skilled Employment Rate</v>
      </c>
      <c r="XB3" s="1" t="str">
        <f t="shared" si="9"/>
        <v>Median Salary for Graduates (to the nearest £500)</v>
      </c>
      <c r="XC3" s="1" t="str">
        <f t="shared" si="9"/>
        <v>Median Salary Premium for Graduates over Non-graduates</v>
      </c>
      <c r="XD3" s="1" t="str">
        <f t="shared" si="9"/>
        <v>Employment Rate</v>
      </c>
      <c r="XE3" s="1" t="str">
        <f t="shared" si="9"/>
        <v>High-skilled Employment Rate</v>
      </c>
      <c r="XF3" s="1" t="str">
        <f t="shared" si="9"/>
        <v>Graduate Unemployment Rate</v>
      </c>
      <c r="XG3" s="1" t="str">
        <f t="shared" si="9"/>
        <v>Inactivity Rate</v>
      </c>
      <c r="XH3" s="1" t="str">
        <f t="shared" si="9"/>
        <v>Proportion Of Part Time Workers</v>
      </c>
      <c r="XI3" s="1" t="str">
        <f t="shared" si="9"/>
        <v>Employment  proportion</v>
      </c>
      <c r="XJ3" s="1" t="str">
        <f t="shared" si="9"/>
        <v>Employment Rate Upper Bound</v>
      </c>
      <c r="XK3" s="1" t="str">
        <f t="shared" si="9"/>
        <v>Employment Rate Lower Bound</v>
      </c>
      <c r="XL3" s="1" t="str">
        <f t="shared" si="9"/>
        <v>High-skilled Employment Proportion</v>
      </c>
      <c r="XM3" s="1" t="str">
        <f t="shared" si="9"/>
        <v>High-skilled Employment Rate Upper Bound</v>
      </c>
      <c r="XN3" s="1" t="str">
        <f t="shared" si="9"/>
        <v>High-skilled Employment Rate Lower Bound</v>
      </c>
      <c r="XO3" s="1" t="str">
        <f t="shared" si="9"/>
        <v>Unemployment proportion</v>
      </c>
      <c r="XP3" s="1" t="str">
        <f t="shared" si="9"/>
        <v>Unemployment Rate Upper Bound</v>
      </c>
      <c r="XQ3" s="1" t="str">
        <f t="shared" si="9"/>
        <v>Unemployment Rate Lower Bound</v>
      </c>
      <c r="XR3" s="1" t="str">
        <f t="shared" si="9"/>
        <v>total number of starts FY 2122</v>
      </c>
      <c r="XS3" s="1" t="str">
        <f t="shared" si="9"/>
        <v>number of heavy goods vehicle starts FY 2122</v>
      </c>
      <c r="XT3" s="1" t="str">
        <f t="shared" si="9"/>
        <v>number of non heavy goods vehicle starts FY 2122</v>
      </c>
      <c r="XU3" s="1" t="str">
        <f t="shared" si="9"/>
        <v>qualification number</v>
      </c>
      <c r="XV3" s="1" t="str">
        <f t="shared" si="9"/>
        <v>GCSE</v>
      </c>
      <c r="XW3" s="1" t="str">
        <f t="shared" ref="XW3:AAH3" si="10">IF(OR(XW2="No match",XW2="multiple"),XW1,XW2)</f>
        <v>SPD Percent</v>
      </c>
      <c r="XX3" s="1" t="str">
        <f t="shared" si="10"/>
        <v>Employment Percent</v>
      </c>
      <c r="XY3" s="1" t="str">
        <f t="shared" si="10"/>
        <v>Employment Only Percent</v>
      </c>
      <c r="XZ3" s="1" t="str">
        <f t="shared" si="10"/>
        <v>Employment and learning percent</v>
      </c>
      <c r="YA3" s="1" t="str">
        <f t="shared" si="10"/>
        <v>Learn only percent</v>
      </c>
      <c r="YB3" s="1" t="str">
        <f t="shared" si="10"/>
        <v>Higher Education Percent</v>
      </c>
      <c r="YC3" s="1" t="str">
        <f t="shared" si="10"/>
        <v>Further Education Percent</v>
      </c>
      <c r="YD3" s="1" t="str">
        <f t="shared" si="10"/>
        <v>Education Percent</v>
      </c>
      <c r="YE3" s="1" t="str">
        <f t="shared" si="10"/>
        <v>Wholesale retail percent</v>
      </c>
      <c r="YF3" s="1" t="str">
        <f t="shared" si="10"/>
        <v>public administration percent</v>
      </c>
      <c r="YG3" s="1" t="str">
        <f t="shared" si="10"/>
        <v>professional scientific technical percent</v>
      </c>
      <c r="YH3" s="1" t="str">
        <f t="shared" si="10"/>
        <v>transport percent</v>
      </c>
      <c r="YI3" s="1" t="str">
        <f t="shared" si="10"/>
        <v>agriculture percent</v>
      </c>
      <c r="YJ3" s="1" t="str">
        <f t="shared" si="10"/>
        <v>health and social care percent</v>
      </c>
      <c r="YK3" s="1" t="str">
        <f t="shared" si="10"/>
        <v>construction percent</v>
      </c>
      <c r="YL3" s="1" t="str">
        <f t="shared" si="10"/>
        <v>information and communication percent</v>
      </c>
      <c r="YM3" s="1" t="str">
        <f t="shared" si="10"/>
        <v>administration percent</v>
      </c>
      <c r="YN3" s="1" t="str">
        <f t="shared" si="10"/>
        <v>manufacturing percent</v>
      </c>
      <c r="YO3" s="1" t="str">
        <f t="shared" si="10"/>
        <v>real estate percent</v>
      </c>
      <c r="YP3" s="1" t="str">
        <f t="shared" si="10"/>
        <v>arts percent</v>
      </c>
      <c r="YQ3" s="1" t="str">
        <f t="shared" si="10"/>
        <v>finance percent</v>
      </c>
      <c r="YR3" s="1" t="str">
        <f t="shared" si="10"/>
        <v>hospitality percent</v>
      </c>
      <c r="YS3" s="1" t="str">
        <f t="shared" si="10"/>
        <v>other activities percent</v>
      </c>
      <c r="YT3" s="1" t="str">
        <f t="shared" si="10"/>
        <v>sector information not available percent</v>
      </c>
      <c r="YU3" s="1" t="str">
        <f t="shared" si="10"/>
        <v>science mathematics percent</v>
      </c>
      <c r="YV3" s="1" t="str">
        <f t="shared" si="10"/>
        <v>retail commercial percent</v>
      </c>
      <c r="YW3" s="1" t="str">
        <f t="shared" si="10"/>
        <v>history philosophy theology percent</v>
      </c>
      <c r="YX3" s="1" t="str">
        <f t="shared" si="10"/>
        <v>Information and communications technology percent</v>
      </c>
      <c r="YY3" s="1" t="str">
        <f t="shared" si="10"/>
        <v>social sciences percent</v>
      </c>
      <c r="YZ3" s="1" t="str">
        <f t="shared" si="10"/>
        <v>leisure travel tourism percent</v>
      </c>
      <c r="ZA3" s="1" t="str">
        <f t="shared" si="10"/>
        <v>agriculture, horticulture animal care percent</v>
      </c>
      <c r="ZB3" s="1" t="str">
        <f t="shared" si="10"/>
        <v>language literature culture percent</v>
      </c>
      <c r="ZC3" s="1" t="str">
        <f t="shared" si="10"/>
        <v>business admin law percent</v>
      </c>
      <c r="ZD3" s="1" t="str">
        <f t="shared" si="10"/>
        <v>Engineering, manufacturing percent</v>
      </c>
      <c r="ZE3" s="1" t="str">
        <f t="shared" si="10"/>
        <v>arts, media, and publishing percent</v>
      </c>
      <c r="ZF3" s="1" t="str">
        <f t="shared" si="10"/>
        <v>health services care percent</v>
      </c>
      <c r="ZG3" s="1" t="str">
        <f t="shared" si="10"/>
        <v>life skills percent</v>
      </c>
      <c r="ZH3" s="1" t="str">
        <f t="shared" si="10"/>
        <v>subject information not available percent</v>
      </c>
      <c r="ZI3" s="1" t="str">
        <f t="shared" si="10"/>
        <v>sustained learning destination</v>
      </c>
      <c r="ZJ3" s="1" t="str">
        <f t="shared" si="10"/>
        <v>Sector</v>
      </c>
      <c r="ZK3" s="1" t="str">
        <f t="shared" si="10"/>
        <v>subsector</v>
      </c>
      <c r="ZL3" s="1" t="str">
        <f t="shared" si="10"/>
        <v>level group</v>
      </c>
      <c r="ZM3" s="1" t="str">
        <f t="shared" si="10"/>
        <v>qualification rank</v>
      </c>
      <c r="ZN3" s="1" t="str">
        <f t="shared" si="10"/>
        <v>Number of employees</v>
      </c>
      <c r="ZO3" s="1" t="str">
        <f t="shared" si="10"/>
        <v>pct qualification</v>
      </c>
      <c r="ZP3" s="1" t="str">
        <f t="shared" si="10"/>
        <v>pct subject</v>
      </c>
      <c r="ZQ3" s="1" t="str">
        <f t="shared" si="10"/>
        <v>pct level</v>
      </c>
      <c r="ZR3" s="1" t="str">
        <f t="shared" si="10"/>
        <v>pct subsector</v>
      </c>
      <c r="ZS3" s="1" t="str">
        <f t="shared" si="10"/>
        <v>pct sector</v>
      </c>
      <c r="ZT3" s="1" t="str">
        <f t="shared" si="10"/>
        <v>pct region</v>
      </c>
      <c r="ZU3" s="1" t="str">
        <f t="shared" si="10"/>
        <v>next qualification title</v>
      </c>
      <c r="ZV3" s="1" t="str">
        <f t="shared" si="10"/>
        <v>next level group</v>
      </c>
      <c r="ZW3" s="1" t="str">
        <f t="shared" si="10"/>
        <v>next subject</v>
      </c>
      <c r="ZX3" s="1" t="str">
        <f t="shared" si="10"/>
        <v>destination rank</v>
      </c>
      <c r="ZY3" s="1" t="str">
        <f t="shared" si="10"/>
        <v>pct employees</v>
      </c>
      <c r="ZZ3" s="1" t="str">
        <f t="shared" si="10"/>
        <v>Employer Size</v>
      </c>
      <c r="AAA3" s="1" t="str">
        <f t="shared" si="10"/>
        <v>Two Digit Sector</v>
      </c>
      <c r="AAB3" s="1" t="str">
        <f t="shared" si="10"/>
        <v>Index of Multiple deprivation</v>
      </c>
      <c r="AAC3" s="1" t="str">
        <f t="shared" si="10"/>
        <v>ents with apprenticeship starts per 1000</v>
      </c>
      <c r="AAD3" s="1" t="str">
        <f t="shared" si="10"/>
        <v>pct starts small and medium sized enterprises</v>
      </c>
      <c r="AAE3" s="1" t="str">
        <f t="shared" si="10"/>
        <v>Apprenticeship service account, levy upported</v>
      </c>
      <c r="AAF3" s="1" t="str">
        <f t="shared" si="10"/>
        <v>Size</v>
      </c>
      <c r="AAG3" s="1" t="str">
        <f t="shared" si="10"/>
        <v>Legal Status</v>
      </c>
      <c r="AAH3" s="1" t="str">
        <f t="shared" si="10"/>
        <v>Apprenticeship Service Account Levy Supported Starts</v>
      </c>
      <c r="AAI3" s="1" t="str">
        <f t="shared" ref="AAI3:ACT3" si="11">IF(OR(AAI2="No match",AAI2="multiple"),AAI1,AAI2)</f>
        <v>Number of Enterprises</v>
      </c>
      <c r="AAJ3" s="1" t="str">
        <f t="shared" si="11"/>
        <v>Apprentices Per 1k Employees</v>
      </c>
      <c r="AAK3" s="1" t="str">
        <f t="shared" si="11"/>
        <v>Enterprises With Apps Per 1k Entrants</v>
      </c>
      <c r="AAL3" s="1" t="str">
        <f t="shared" si="11"/>
        <v>number of participants reported</v>
      </c>
      <c r="AAM3" s="1" t="str">
        <f t="shared" si="11"/>
        <v>number completing</v>
      </c>
      <c r="AAN3" s="1" t="str">
        <f t="shared" si="11"/>
        <v>new opportunities</v>
      </c>
      <c r="AAO3" s="1" t="str">
        <f t="shared" si="11"/>
        <v>new responsibilities</v>
      </c>
      <c r="AAP3" s="1" t="str">
        <f t="shared" si="11"/>
        <v>new employment</v>
      </c>
      <c r="AAQ3" s="1" t="str">
        <f t="shared" si="11"/>
        <v>new role</v>
      </c>
      <c r="AAR3" s="1" t="str">
        <f t="shared" si="11"/>
        <v>no change</v>
      </c>
      <c r="AAS3" s="1" t="str">
        <f t="shared" si="11"/>
        <v>SPD</v>
      </c>
      <c r="AAT3" s="1" t="str">
        <f t="shared" si="11"/>
        <v>Employment</v>
      </c>
      <c r="AAU3" s="1" t="str">
        <f t="shared" si="11"/>
        <v>Self Employment</v>
      </c>
      <c r="AAV3" s="1" t="str">
        <f t="shared" si="11"/>
        <v>Learn</v>
      </c>
      <c r="AAW3" s="1" t="str">
        <f t="shared" si="11"/>
        <v>Learn Only</v>
      </c>
      <c r="AAX3" s="1" t="str">
        <f t="shared" si="11"/>
        <v>Below Level 2</v>
      </c>
      <c r="AAY3" s="1" t="str">
        <f t="shared" si="11"/>
        <v>English, maths</v>
      </c>
      <c r="AAZ3" s="1" t="str">
        <f t="shared" si="11"/>
        <v>Level 2</v>
      </c>
      <c r="ABA3" s="1" t="str">
        <f t="shared" si="11"/>
        <v>Full Level2</v>
      </c>
      <c r="ABB3" s="1" t="str">
        <f t="shared" si="11"/>
        <v>Full Level3</v>
      </c>
      <c r="ABC3" s="1" t="str">
        <f t="shared" si="11"/>
        <v>Level 4 Plus</v>
      </c>
      <c r="ABD3" s="1" t="str">
        <f t="shared" si="11"/>
        <v>Not Assigned</v>
      </c>
      <c r="ABE3" s="1" t="str">
        <f t="shared" si="11"/>
        <v>App</v>
      </c>
      <c r="ABF3" s="1" t="str">
        <f t="shared" si="11"/>
        <v>App Intermediate</v>
      </c>
      <c r="ABG3" s="1" t="str">
        <f t="shared" si="11"/>
        <v>App Advanced Plus</v>
      </c>
      <c r="ABH3" s="1" t="str">
        <f t="shared" si="11"/>
        <v>Any Learn</v>
      </c>
      <c r="ABI3" s="1" t="str">
        <f t="shared" si="11"/>
        <v>Not Sustained</v>
      </c>
      <c r="ABJ3" s="1" t="str">
        <f t="shared" si="11"/>
        <v>Not Sustained NB</v>
      </c>
      <c r="ABK3" s="1" t="str">
        <f t="shared" si="11"/>
        <v>Not Sustained Benefit</v>
      </c>
      <c r="ABL3" s="1" t="str">
        <f t="shared" si="11"/>
        <v>Benefits</v>
      </c>
      <c r="ABM3" s="1" t="str">
        <f t="shared" si="11"/>
        <v>No Destination</v>
      </c>
      <c r="ABN3" s="1" t="str">
        <f t="shared" si="11"/>
        <v>Single site or one of multiple sites within organisation</v>
      </c>
      <c r="ABO3" s="1" t="str">
        <f t="shared" si="11"/>
        <v>Establishment type</v>
      </c>
      <c r="ABP3" s="1" t="str">
        <f t="shared" si="11"/>
        <v>Number of establishments in population</v>
      </c>
      <c r="ABQ3" s="1" t="str">
        <f t="shared" si="11"/>
        <v>Unweighted base of establishments with vacancies</v>
      </c>
      <c r="ABR3" s="1" t="str">
        <f t="shared" si="11"/>
        <v>Number of establishments with at least one vacancy</v>
      </c>
      <c r="ABS3" s="1" t="str">
        <f t="shared" si="11"/>
        <v>Number of establishments with at least one hard-to-fill vacancy</v>
      </c>
      <c r="ABT3" s="1" t="str">
        <f t="shared" si="11"/>
        <v>Number of establishments with at least one skill-shortage vacancy</v>
      </c>
      <c r="ABU3" s="1" t="str">
        <f t="shared" si="11"/>
        <v>Number of establishments with at least one skill gap (i.e. 1+ employee not fully proficient)</v>
      </c>
      <c r="ABV3" s="1" t="str">
        <f t="shared" si="11"/>
        <v>Number of establishments that arranged or paid for any training in the past 12 months</v>
      </c>
      <c r="ABW3" s="1" t="str">
        <f t="shared" si="11"/>
        <v>Number of vacancies</v>
      </c>
      <c r="ABX3" s="1" t="str">
        <f t="shared" si="11"/>
        <v>Number of hard-to-fill vacancies</v>
      </c>
      <c r="ABY3" s="1" t="str">
        <f t="shared" si="11"/>
        <v>Number of skill-shortage vacancies</v>
      </c>
      <c r="ABZ3" s="1" t="str">
        <f t="shared" si="11"/>
        <v>Number of skill gaps (employees not fully proficient)</v>
      </c>
      <c r="ACA3" s="1" t="str">
        <f t="shared" si="11"/>
        <v>Number of employees trained in the past 12 months</v>
      </c>
      <c r="ACB3" s="1" t="str">
        <f t="shared" si="11"/>
        <v>Total number of training days for employees</v>
      </c>
      <c r="ACC3" s="1" t="str">
        <f t="shared" si="11"/>
        <v>Percentage of establishments with at least one vacancy</v>
      </c>
      <c r="ACD3" s="1" t="str">
        <f t="shared" si="11"/>
        <v>Percentage of establishments with at least one hard-to-fill vacancy</v>
      </c>
      <c r="ACE3" s="1" t="str">
        <f t="shared" si="11"/>
        <v>Percentage of establishments with at least one skill-shortage vacancy</v>
      </c>
      <c r="ACF3" s="1" t="str">
        <f t="shared" si="11"/>
        <v>Percentage of establishments with at least one  skill gap (i.e. 1+ employee not fully proficient)</v>
      </c>
      <c r="ACG3" s="1" t="str">
        <f t="shared" si="11"/>
        <v>Percentage of establishments that arranged or paid for any training in the past 12 months</v>
      </c>
      <c r="ACH3" s="1" t="str">
        <f t="shared" si="11"/>
        <v>Vacancy density (vacancies per 100 employees)</v>
      </c>
      <c r="ACI3" s="1" t="str">
        <f t="shared" si="11"/>
        <v>Hard-to-fill vacancy density (HtF vacancies as a share of vacancies)</v>
      </c>
      <c r="ACJ3" s="1" t="str">
        <f t="shared" si="11"/>
        <v>Skill-shortage vacancy density (SSVs as a share of vacancies)</v>
      </c>
      <c r="ACK3" s="1" t="str">
        <f t="shared" si="11"/>
        <v>Skill gap density (the proportion of employees judged not fully proficient)</v>
      </c>
      <c r="ACL3" s="1" t="str">
        <f t="shared" si="11"/>
        <v>Proportion of employees that received any training in the past 12 months</v>
      </c>
      <c r="ACM3" s="1" t="str">
        <f t="shared" si="11"/>
        <v>Average number of days training per employee</v>
      </c>
      <c r="ACN3" s="1" t="str">
        <f t="shared" si="11"/>
        <v>Average number of days training per trainee</v>
      </c>
      <c r="ACO3" s="1" t="str">
        <f t="shared" si="11"/>
        <v>Sample size in the Investment in Training follow-up survey</v>
      </c>
      <c r="ACP3" s="1" t="str">
        <f t="shared" si="11"/>
        <v>Investment in training per employee</v>
      </c>
      <c r="ACQ3" s="1" t="str">
        <f t="shared" si="11"/>
        <v>Investment in training per trainee</v>
      </c>
      <c r="ACR3" s="1" t="str">
        <f t="shared" si="11"/>
        <v>Total investment through off-the-job training</v>
      </c>
      <c r="ACS3" s="1" t="str">
        <f t="shared" si="11"/>
        <v>Total investment through on-the-job training</v>
      </c>
      <c r="ACT3" s="1" t="str">
        <f t="shared" si="11"/>
        <v>Total investment through all training</v>
      </c>
      <c r="ACU3" s="1" t="str">
        <f t="shared" ref="ACU3:ADV3" si="12">IF(OR(ACU2="No match",ACU2="multiple"),ACU1,ACU2)</f>
        <v>4 digit Standard Occupational Classification code and name  (SOC2010)</v>
      </c>
      <c r="ACV3" s="1" t="str">
        <f t="shared" si="12"/>
        <v>3 digit Standard Occupational Classification code and name  (SOC2010)</v>
      </c>
      <c r="ACW3" s="1" t="str">
        <f t="shared" si="12"/>
        <v>2 digit Standard Occupational Classification code and name (SOC2010)</v>
      </c>
      <c r="ACX3" s="1" t="str">
        <f t="shared" si="12"/>
        <v>1 digit Standard Occupational Classification code and name (SOC2010)</v>
      </c>
      <c r="ACY3" s="1" t="str">
        <f t="shared" si="12"/>
        <v>Number of establishments with at least one vacancy at the 4 digit Standard Occupational Classification level</v>
      </c>
      <c r="ACZ3" s="1" t="str">
        <f t="shared" si="12"/>
        <v>Phase of education (UKEdTraining)</v>
      </c>
      <c r="ADA3" s="1" t="str">
        <f t="shared" si="12"/>
        <v>Number of schools</v>
      </c>
      <c r="ADB3" s="1" t="str">
        <f t="shared" si="12"/>
        <v>Full-time equivalent number of teachers</v>
      </c>
      <c r="ADC3" s="1" t="str">
        <f t="shared" si="12"/>
        <v>Pupil-teacher ratio</v>
      </c>
      <c r="ADD3" s="1" t="str">
        <f t="shared" si="12"/>
        <v>Number of FE students</v>
      </c>
      <c r="ADE3" s="1" t="str">
        <f t="shared" si="12"/>
        <v>Number of institutions (UKEdTraining)</v>
      </c>
      <c r="ADF3" s="1" t="str">
        <f t="shared" si="12"/>
        <v>Total unemployed</v>
      </c>
      <c r="ADG3" s="1" t="str">
        <f t="shared" si="12"/>
        <v>Total economically inactive</v>
      </c>
      <c r="ADH3" s="1" t="str">
        <f t="shared" si="12"/>
        <v>Total people in relevant population group</v>
      </c>
      <c r="ADI3" s="1" t="str">
        <f t="shared" si="12"/>
        <v>People who were not in employment, education or training as a percentage of people in relevant population group</v>
      </c>
      <c r="ADJ3" s="1" t="str">
        <f t="shared" si="12"/>
        <v>Total 19-64 year olds in the population (thousands)</v>
      </c>
      <c r="ADK3" s="1" t="str">
        <f t="shared" si="12"/>
        <v>Percentage of population with their highest qualification as national qualification framework level 4 or above</v>
      </c>
      <c r="ADL3" s="1" t="str">
        <f t="shared" si="12"/>
        <v>Percentage of population with their highest qualification as national qualification framework level 3 or above</v>
      </c>
      <c r="ADM3" s="1" t="str">
        <f t="shared" si="12"/>
        <v>Percentage of population with their highest qualification as national qualification framework level 2 or above</v>
      </c>
      <c r="ADN3" s="1" t="str">
        <f t="shared" si="12"/>
        <v>Percentage of population with their highest qualification as Scottish Credit and Qualifications Framework level 7 or above</v>
      </c>
      <c r="ADO3" s="1" t="str">
        <f t="shared" si="12"/>
        <v>Percentage of population with their highest qualification as Scottish Credit and Qualifications Framework level 6 or above</v>
      </c>
      <c r="ADP3" s="1" t="str">
        <f t="shared" si="12"/>
        <v>Percentage of population with their highest qualification as Scottish Credit and Qualifications Framework level 5 or above</v>
      </c>
      <c r="ADQ3" s="1" t="str">
        <f t="shared" si="12"/>
        <v>Education function</v>
      </c>
      <c r="ADR3" s="1" t="str">
        <f t="shared" si="12"/>
        <v>Expenditure type</v>
      </c>
      <c r="ADS3" s="1" t="str">
        <f t="shared" si="12"/>
        <v>Expenditure level</v>
      </c>
      <c r="ADT3" s="1" t="str">
        <f t="shared" si="12"/>
        <v>Total expenditure (millions)</v>
      </c>
      <c r="ADU3" s="1" t="str">
        <f t="shared" si="12"/>
        <v>Total expenditure in real terms (millions)</v>
      </c>
      <c r="ADV3" s="1" t="str">
        <f t="shared" si="12"/>
        <v>Total expenditure as a percentage of GDP</v>
      </c>
    </row>
    <row r="4" spans="1:802" ht="43.5" hidden="1" x14ac:dyDescent="0.35">
      <c r="A4" s="1" t="s">
        <v>776</v>
      </c>
      <c r="B4" s="14" t="s">
        <v>24</v>
      </c>
      <c r="C4" s="1" t="str" cm="1">
        <f t="array" ref="C4">GetURL(B4)</f>
        <v>https://explore-education-statistics.service.gov.uk/find-statistics/apprenticeships-and-traineeships</v>
      </c>
      <c r="D4" s="1" t="s">
        <v>2589</v>
      </c>
      <c r="E4" s="1" t="s">
        <v>777</v>
      </c>
      <c r="F4" s="1" t="s">
        <v>778</v>
      </c>
      <c r="G4" s="1" t="s">
        <v>778</v>
      </c>
      <c r="H4" s="1" t="s">
        <v>778</v>
      </c>
      <c r="I4" s="1" t="s">
        <v>778</v>
      </c>
      <c r="J4" s="1" t="s">
        <v>778</v>
      </c>
      <c r="AL4" s="1" t="s">
        <v>778</v>
      </c>
      <c r="AS4" s="1" t="s">
        <v>778</v>
      </c>
      <c r="AU4" s="1" t="s">
        <v>778</v>
      </c>
      <c r="AZ4" s="1" t="s">
        <v>778</v>
      </c>
      <c r="BA4"/>
      <c r="BB4"/>
      <c r="BC4"/>
      <c r="BD4"/>
      <c r="BE4"/>
      <c r="BL4" s="1" t="s">
        <v>778</v>
      </c>
      <c r="BT4" s="1" t="s">
        <v>778</v>
      </c>
      <c r="BU4" s="1" t="s">
        <v>778</v>
      </c>
      <c r="CB4" s="1" t="s">
        <v>778</v>
      </c>
      <c r="CC4" s="1" t="s">
        <v>778</v>
      </c>
      <c r="CD4" s="1" t="s">
        <v>778</v>
      </c>
      <c r="CE4" s="1" t="s">
        <v>778</v>
      </c>
      <c r="CF4" s="1" t="s">
        <v>778</v>
      </c>
      <c r="CG4" s="1" t="s">
        <v>778</v>
      </c>
      <c r="FG4"/>
      <c r="FL4"/>
    </row>
    <row r="5" spans="1:802" ht="72.5" hidden="1" x14ac:dyDescent="0.35">
      <c r="A5" s="1" t="s">
        <v>776</v>
      </c>
      <c r="B5" s="14" t="s">
        <v>24</v>
      </c>
      <c r="C5" s="1" t="str" cm="1">
        <f t="array" ref="C5">GetURL(B5)</f>
        <v>https://explore-education-statistics.service.gov.uk/find-statistics/apprenticeships-and-traineeships</v>
      </c>
      <c r="D5" s="1" t="s">
        <v>2589</v>
      </c>
      <c r="E5" s="1" t="s">
        <v>779</v>
      </c>
      <c r="F5" s="1" t="s">
        <v>778</v>
      </c>
      <c r="G5" s="1" t="s">
        <v>778</v>
      </c>
      <c r="H5" s="1" t="s">
        <v>778</v>
      </c>
      <c r="I5" s="1" t="s">
        <v>778</v>
      </c>
      <c r="J5" s="1" t="s">
        <v>778</v>
      </c>
      <c r="AD5" s="1" t="s">
        <v>778</v>
      </c>
      <c r="AL5" s="1" t="s">
        <v>778</v>
      </c>
      <c r="AQ5" s="1" t="s">
        <v>778</v>
      </c>
      <c r="AS5" s="1" t="s">
        <v>778</v>
      </c>
      <c r="AU5" s="1" t="s">
        <v>778</v>
      </c>
      <c r="BA5" t="s">
        <v>778</v>
      </c>
      <c r="BB5"/>
      <c r="BC5"/>
      <c r="BD5"/>
      <c r="BE5" t="s">
        <v>778</v>
      </c>
      <c r="BP5" s="1" t="s">
        <v>778</v>
      </c>
      <c r="CB5" s="1" t="s">
        <v>778</v>
      </c>
      <c r="CC5" s="1" t="s">
        <v>778</v>
      </c>
      <c r="CD5" s="1" t="s">
        <v>778</v>
      </c>
      <c r="CE5" s="1" t="s">
        <v>778</v>
      </c>
      <c r="CF5" s="1" t="s">
        <v>778</v>
      </c>
      <c r="CG5" s="1" t="s">
        <v>778</v>
      </c>
      <c r="FG5"/>
      <c r="FL5"/>
    </row>
    <row r="6" spans="1:802" ht="58" hidden="1" x14ac:dyDescent="0.35">
      <c r="A6" s="1" t="s">
        <v>776</v>
      </c>
      <c r="B6" s="14" t="s">
        <v>24</v>
      </c>
      <c r="C6" s="1" t="str" cm="1">
        <f t="array" ref="C6">GetURL(B6)</f>
        <v>https://explore-education-statistics.service.gov.uk/find-statistics/apprenticeships-and-traineeships</v>
      </c>
      <c r="D6" s="1" t="s">
        <v>2589</v>
      </c>
      <c r="E6" s="1" t="s">
        <v>780</v>
      </c>
      <c r="F6" s="1" t="s">
        <v>778</v>
      </c>
      <c r="G6" s="1" t="s">
        <v>778</v>
      </c>
      <c r="H6" s="1" t="s">
        <v>778</v>
      </c>
      <c r="I6" s="1" t="s">
        <v>778</v>
      </c>
      <c r="J6" s="1" t="s">
        <v>778</v>
      </c>
      <c r="AL6" s="1" t="s">
        <v>778</v>
      </c>
      <c r="AS6" s="1" t="s">
        <v>778</v>
      </c>
      <c r="AU6" s="1" t="s">
        <v>778</v>
      </c>
      <c r="BA6"/>
      <c r="BB6"/>
      <c r="BC6"/>
      <c r="BD6"/>
      <c r="BE6" t="s">
        <v>778</v>
      </c>
      <c r="CB6" s="1" t="s">
        <v>778</v>
      </c>
      <c r="CC6" s="1" t="s">
        <v>778</v>
      </c>
      <c r="CD6" s="1" t="s">
        <v>778</v>
      </c>
      <c r="CE6" s="1" t="s">
        <v>778</v>
      </c>
      <c r="CF6" s="1" t="s">
        <v>778</v>
      </c>
      <c r="CG6" s="1" t="s">
        <v>778</v>
      </c>
      <c r="FG6" t="s">
        <v>778</v>
      </c>
      <c r="FL6"/>
    </row>
    <row r="7" spans="1:802" ht="159.5" hidden="1" x14ac:dyDescent="0.35">
      <c r="A7" s="1" t="s">
        <v>776</v>
      </c>
      <c r="B7" s="14" t="s">
        <v>24</v>
      </c>
      <c r="C7" s="1" t="str" cm="1">
        <f t="array" ref="C7">GetURL(B7)</f>
        <v>https://explore-education-statistics.service.gov.uk/find-statistics/apprenticeships-and-traineeships</v>
      </c>
      <c r="D7" s="1" t="s">
        <v>2589</v>
      </c>
      <c r="E7" s="1" t="s">
        <v>781</v>
      </c>
      <c r="F7" s="1" t="s">
        <v>778</v>
      </c>
      <c r="G7" s="1" t="s">
        <v>778</v>
      </c>
      <c r="H7" s="1" t="s">
        <v>778</v>
      </c>
      <c r="I7" s="1" t="s">
        <v>778</v>
      </c>
      <c r="J7" s="1" t="s">
        <v>778</v>
      </c>
      <c r="AL7" s="1" t="s">
        <v>778</v>
      </c>
      <c r="AS7" s="1" t="s">
        <v>778</v>
      </c>
      <c r="AU7" s="1" t="s">
        <v>778</v>
      </c>
      <c r="AZ7" s="1" t="s">
        <v>778</v>
      </c>
      <c r="BL7" s="1" t="s">
        <v>778</v>
      </c>
      <c r="BT7" s="1" t="s">
        <v>778</v>
      </c>
      <c r="BU7" s="1" t="s">
        <v>778</v>
      </c>
      <c r="CB7" s="1" t="s">
        <v>778</v>
      </c>
      <c r="CC7" s="1" t="s">
        <v>778</v>
      </c>
    </row>
    <row r="8" spans="1:802" ht="159.5" hidden="1" x14ac:dyDescent="0.35">
      <c r="A8" s="1" t="s">
        <v>776</v>
      </c>
      <c r="B8" s="14" t="s">
        <v>24</v>
      </c>
      <c r="C8" s="1" t="str" cm="1">
        <f t="array" ref="C8">GetURL(B8)</f>
        <v>https://explore-education-statistics.service.gov.uk/find-statistics/apprenticeships-and-traineeships</v>
      </c>
      <c r="D8" s="1" t="s">
        <v>2589</v>
      </c>
      <c r="E8" s="1" t="s">
        <v>782</v>
      </c>
      <c r="F8" s="1" t="s">
        <v>778</v>
      </c>
      <c r="G8" s="1" t="s">
        <v>778</v>
      </c>
      <c r="H8" s="1" t="s">
        <v>778</v>
      </c>
      <c r="I8" s="1" t="s">
        <v>778</v>
      </c>
      <c r="AD8" s="1" t="s">
        <v>778</v>
      </c>
      <c r="AL8" s="1" t="s">
        <v>778</v>
      </c>
      <c r="AQ8" s="1" t="s">
        <v>778</v>
      </c>
      <c r="AS8" s="1" t="s">
        <v>778</v>
      </c>
      <c r="AU8" s="1" t="s">
        <v>778</v>
      </c>
      <c r="BA8" s="1" t="s">
        <v>778</v>
      </c>
      <c r="BE8" s="1" t="s">
        <v>778</v>
      </c>
      <c r="BP8" s="1" t="s">
        <v>778</v>
      </c>
      <c r="CB8" s="1" t="s">
        <v>778</v>
      </c>
      <c r="CC8" s="1" t="s">
        <v>778</v>
      </c>
      <c r="CD8" s="1" t="s">
        <v>778</v>
      </c>
      <c r="CE8" s="1" t="s">
        <v>778</v>
      </c>
      <c r="CF8" s="1" t="s">
        <v>778</v>
      </c>
      <c r="CG8" s="1" t="s">
        <v>778</v>
      </c>
    </row>
    <row r="9" spans="1:802" ht="159.5" hidden="1" x14ac:dyDescent="0.35">
      <c r="A9" s="1" t="s">
        <v>776</v>
      </c>
      <c r="B9" s="14" t="s">
        <v>24</v>
      </c>
      <c r="C9" s="1" t="str" cm="1">
        <f t="array" ref="C9">GetURL(B9)</f>
        <v>https://explore-education-statistics.service.gov.uk/find-statistics/apprenticeships-and-traineeships</v>
      </c>
      <c r="D9" s="1" t="s">
        <v>2589</v>
      </c>
      <c r="E9" s="1" t="s">
        <v>783</v>
      </c>
      <c r="F9" s="1" t="s">
        <v>778</v>
      </c>
      <c r="G9" s="1" t="s">
        <v>778</v>
      </c>
      <c r="H9" s="1" t="s">
        <v>778</v>
      </c>
      <c r="I9" s="1" t="s">
        <v>778</v>
      </c>
      <c r="J9" s="1" t="s">
        <v>778</v>
      </c>
      <c r="AL9" s="1" t="s">
        <v>778</v>
      </c>
      <c r="AS9" s="1" t="s">
        <v>778</v>
      </c>
      <c r="AU9" s="1" t="s">
        <v>778</v>
      </c>
      <c r="BE9" s="1" t="s">
        <v>778</v>
      </c>
      <c r="CB9" s="1" t="s">
        <v>778</v>
      </c>
      <c r="CC9" s="1" t="s">
        <v>778</v>
      </c>
      <c r="CD9" s="1" t="s">
        <v>778</v>
      </c>
      <c r="CE9" s="1" t="s">
        <v>778</v>
      </c>
      <c r="CF9" s="1" t="s">
        <v>778</v>
      </c>
      <c r="CG9" s="1" t="s">
        <v>778</v>
      </c>
      <c r="FG9" s="1" t="s">
        <v>778</v>
      </c>
    </row>
    <row r="10" spans="1:802" ht="159.5" hidden="1" x14ac:dyDescent="0.35">
      <c r="A10" s="1" t="s">
        <v>776</v>
      </c>
      <c r="B10" s="14" t="s">
        <v>24</v>
      </c>
      <c r="C10" s="1" t="str" cm="1">
        <f t="array" ref="C10">GetURL(B10)</f>
        <v>https://explore-education-statistics.service.gov.uk/find-statistics/apprenticeships-and-traineeships</v>
      </c>
      <c r="D10" s="1" t="s">
        <v>2589</v>
      </c>
      <c r="E10" s="1" t="s">
        <v>784</v>
      </c>
      <c r="F10" s="1" t="s">
        <v>778</v>
      </c>
      <c r="G10" s="1" t="s">
        <v>778</v>
      </c>
      <c r="H10" s="1" t="s">
        <v>778</v>
      </c>
      <c r="I10" s="1" t="s">
        <v>778</v>
      </c>
      <c r="J10" s="1" t="s">
        <v>778</v>
      </c>
      <c r="AD10" s="1" t="s">
        <v>778</v>
      </c>
      <c r="AL10" s="1" t="s">
        <v>778</v>
      </c>
      <c r="AS10" s="1" t="s">
        <v>778</v>
      </c>
      <c r="AU10" s="1" t="s">
        <v>778</v>
      </c>
      <c r="BE10" s="1" t="s">
        <v>778</v>
      </c>
      <c r="CB10" s="1" t="s">
        <v>778</v>
      </c>
      <c r="CC10" s="1" t="s">
        <v>778</v>
      </c>
      <c r="CD10" s="1" t="s">
        <v>778</v>
      </c>
      <c r="CE10" s="1" t="s">
        <v>778</v>
      </c>
      <c r="CF10" s="1" t="s">
        <v>778</v>
      </c>
      <c r="CG10" s="1" t="s">
        <v>778</v>
      </c>
      <c r="FH10" s="1" t="s">
        <v>778</v>
      </c>
      <c r="FI10" s="1" t="s">
        <v>778</v>
      </c>
    </row>
    <row r="11" spans="1:802" ht="159.5" hidden="1" x14ac:dyDescent="0.35">
      <c r="A11" s="1" t="s">
        <v>776</v>
      </c>
      <c r="B11" s="14" t="s">
        <v>24</v>
      </c>
      <c r="C11" s="1" t="str" cm="1">
        <f t="array" ref="C11">GetURL(B11)</f>
        <v>https://explore-education-statistics.service.gov.uk/find-statistics/apprenticeships-and-traineeships</v>
      </c>
      <c r="D11" s="1" t="s">
        <v>2589</v>
      </c>
      <c r="E11" s="1" t="s">
        <v>785</v>
      </c>
      <c r="F11" s="1" t="s">
        <v>778</v>
      </c>
      <c r="G11" s="1" t="s">
        <v>778</v>
      </c>
      <c r="H11" s="1" t="s">
        <v>778</v>
      </c>
      <c r="I11" s="1" t="s">
        <v>778</v>
      </c>
      <c r="J11" s="1" t="s">
        <v>778</v>
      </c>
      <c r="AD11" s="1" t="s">
        <v>778</v>
      </c>
      <c r="AE11" s="1" t="s">
        <v>778</v>
      </c>
      <c r="AL11" s="1" t="s">
        <v>778</v>
      </c>
      <c r="AQ11" s="1" t="s">
        <v>778</v>
      </c>
      <c r="AS11" s="1" t="s">
        <v>778</v>
      </c>
      <c r="AU11" s="1" t="s">
        <v>778</v>
      </c>
      <c r="BA11" s="1" t="s">
        <v>786</v>
      </c>
      <c r="BE11" s="1" t="s">
        <v>786</v>
      </c>
      <c r="BF11" s="1" t="s">
        <v>778</v>
      </c>
      <c r="CB11" s="1" t="s">
        <v>778</v>
      </c>
      <c r="CC11" s="1" t="s">
        <v>778</v>
      </c>
      <c r="CD11" s="1" t="s">
        <v>778</v>
      </c>
      <c r="CE11" s="1" t="s">
        <v>778</v>
      </c>
      <c r="CF11" s="1" t="s">
        <v>778</v>
      </c>
      <c r="CG11" s="1" t="s">
        <v>778</v>
      </c>
      <c r="FK11" s="1" t="s">
        <v>778</v>
      </c>
    </row>
    <row r="12" spans="1:802" ht="159.5" hidden="1" x14ac:dyDescent="0.35">
      <c r="A12" s="1" t="s">
        <v>776</v>
      </c>
      <c r="B12" s="14" t="s">
        <v>24</v>
      </c>
      <c r="C12" s="1" t="str" cm="1">
        <f t="array" ref="C12">GetURL(B12)</f>
        <v>https://explore-education-statistics.service.gov.uk/find-statistics/apprenticeships-and-traineeships</v>
      </c>
      <c r="D12" s="1" t="s">
        <v>2589</v>
      </c>
      <c r="E12" s="1" t="s">
        <v>787</v>
      </c>
      <c r="F12" s="1" t="s">
        <v>778</v>
      </c>
      <c r="G12" s="1" t="s">
        <v>778</v>
      </c>
      <c r="H12" s="1" t="s">
        <v>778</v>
      </c>
      <c r="I12" s="1" t="s">
        <v>778</v>
      </c>
      <c r="J12" s="1" t="s">
        <v>778</v>
      </c>
      <c r="AL12" s="1" t="s">
        <v>778</v>
      </c>
      <c r="AQ12" s="1" t="s">
        <v>778</v>
      </c>
      <c r="BA12" s="1" t="s">
        <v>778</v>
      </c>
      <c r="BE12" s="1" t="s">
        <v>778</v>
      </c>
      <c r="CB12" s="1" t="s">
        <v>778</v>
      </c>
      <c r="CC12" s="1" t="s">
        <v>778</v>
      </c>
      <c r="CD12" s="1" t="s">
        <v>778</v>
      </c>
      <c r="CE12" s="1" t="s">
        <v>778</v>
      </c>
      <c r="CF12" s="1" t="s">
        <v>778</v>
      </c>
      <c r="CG12" s="1" t="s">
        <v>778</v>
      </c>
    </row>
    <row r="13" spans="1:802" ht="159.5" hidden="1" x14ac:dyDescent="0.35">
      <c r="A13" s="1" t="s">
        <v>776</v>
      </c>
      <c r="B13" s="14" t="s">
        <v>24</v>
      </c>
      <c r="C13" s="1" t="str" cm="1">
        <f t="array" ref="C13">GetURL(B13)</f>
        <v>https://explore-education-statistics.service.gov.uk/find-statistics/apprenticeships-and-traineeships</v>
      </c>
      <c r="D13" s="1" t="s">
        <v>2589</v>
      </c>
      <c r="E13" s="1" t="s">
        <v>788</v>
      </c>
      <c r="F13" s="1" t="s">
        <v>778</v>
      </c>
      <c r="G13" s="1" t="s">
        <v>778</v>
      </c>
      <c r="H13" s="1" t="s">
        <v>778</v>
      </c>
      <c r="I13" s="1" t="s">
        <v>778</v>
      </c>
      <c r="J13" s="1" t="s">
        <v>778</v>
      </c>
      <c r="AL13" s="1" t="s">
        <v>778</v>
      </c>
      <c r="CH13" s="1" t="s">
        <v>778</v>
      </c>
      <c r="CI13" s="1" t="s">
        <v>778</v>
      </c>
      <c r="CJ13" s="1" t="s">
        <v>778</v>
      </c>
    </row>
    <row r="14" spans="1:802" ht="159.5" hidden="1" x14ac:dyDescent="0.35">
      <c r="A14" s="1" t="s">
        <v>776</v>
      </c>
      <c r="B14" s="14" t="s">
        <v>24</v>
      </c>
      <c r="C14" s="1" t="str" cm="1">
        <f t="array" ref="C14">GetURL(B14)</f>
        <v>https://explore-education-statistics.service.gov.uk/find-statistics/apprenticeships-and-traineeships</v>
      </c>
      <c r="D14" s="1" t="s">
        <v>2589</v>
      </c>
      <c r="E14" s="1" t="s">
        <v>789</v>
      </c>
      <c r="F14" s="1" t="s">
        <v>778</v>
      </c>
      <c r="G14" s="1" t="s">
        <v>778</v>
      </c>
      <c r="H14" s="1" t="s">
        <v>778</v>
      </c>
      <c r="I14" s="1" t="s">
        <v>778</v>
      </c>
      <c r="J14" s="1" t="s">
        <v>778</v>
      </c>
      <c r="AL14" s="1" t="s">
        <v>778</v>
      </c>
      <c r="AU14" s="1" t="s">
        <v>778</v>
      </c>
      <c r="CK14" s="1" t="s">
        <v>778</v>
      </c>
      <c r="CL14" s="1" t="s">
        <v>778</v>
      </c>
      <c r="CS14" s="1" t="s">
        <v>778</v>
      </c>
      <c r="CT14" s="1" t="s">
        <v>778</v>
      </c>
      <c r="CU14" s="1" t="s">
        <v>778</v>
      </c>
      <c r="CV14" s="1" t="s">
        <v>778</v>
      </c>
    </row>
    <row r="15" spans="1:802" ht="159.5" hidden="1" x14ac:dyDescent="0.35">
      <c r="A15" s="1" t="s">
        <v>776</v>
      </c>
      <c r="B15" s="14" t="s">
        <v>24</v>
      </c>
      <c r="C15" s="1" t="str" cm="1">
        <f t="array" ref="C15">GetURL(B15)</f>
        <v>https://explore-education-statistics.service.gov.uk/find-statistics/apprenticeships-and-traineeships</v>
      </c>
      <c r="D15" s="1" t="s">
        <v>2589</v>
      </c>
      <c r="E15" s="1" t="s">
        <v>790</v>
      </c>
      <c r="F15" s="1" t="s">
        <v>778</v>
      </c>
      <c r="G15" s="1" t="s">
        <v>778</v>
      </c>
      <c r="H15" s="1" t="s">
        <v>778</v>
      </c>
      <c r="I15" s="1" t="s">
        <v>778</v>
      </c>
      <c r="J15" s="1" t="s">
        <v>778</v>
      </c>
      <c r="AV15" s="1" t="s">
        <v>778</v>
      </c>
      <c r="CW15" s="1" t="s">
        <v>778</v>
      </c>
      <c r="CX15" s="1" t="s">
        <v>778</v>
      </c>
      <c r="CY15" s="1" t="s">
        <v>778</v>
      </c>
      <c r="CZ15" s="1" t="s">
        <v>778</v>
      </c>
      <c r="DA15" s="1" t="s">
        <v>778</v>
      </c>
      <c r="EI15" s="1" t="s">
        <v>778</v>
      </c>
    </row>
    <row r="16" spans="1:802" ht="159.5" hidden="1" x14ac:dyDescent="0.35">
      <c r="A16" s="1" t="s">
        <v>776</v>
      </c>
      <c r="B16" s="14" t="s">
        <v>24</v>
      </c>
      <c r="C16" s="1" t="str" cm="1">
        <f t="array" ref="C16">GetURL(B16)</f>
        <v>https://explore-education-statistics.service.gov.uk/find-statistics/apprenticeships-and-traineeships</v>
      </c>
      <c r="D16" s="1" t="s">
        <v>2589</v>
      </c>
      <c r="E16" s="1" t="s">
        <v>791</v>
      </c>
      <c r="F16" s="1" t="s">
        <v>778</v>
      </c>
      <c r="G16" s="1" t="s">
        <v>778</v>
      </c>
      <c r="H16" s="1" t="s">
        <v>778</v>
      </c>
      <c r="I16" s="1" t="s">
        <v>778</v>
      </c>
      <c r="J16" s="1" t="s">
        <v>778</v>
      </c>
      <c r="K16" s="1" t="s">
        <v>778</v>
      </c>
      <c r="L16" s="1" t="s">
        <v>778</v>
      </c>
      <c r="M16" s="1" t="s">
        <v>778</v>
      </c>
      <c r="N16" s="1" t="s">
        <v>778</v>
      </c>
      <c r="O16" s="1" t="s">
        <v>778</v>
      </c>
      <c r="R16" s="1" t="s">
        <v>778</v>
      </c>
      <c r="S16" s="1" t="s">
        <v>778</v>
      </c>
      <c r="AK16" s="1" t="s">
        <v>778</v>
      </c>
      <c r="DA16" s="1" t="s">
        <v>778</v>
      </c>
    </row>
    <row r="17" spans="1:186" ht="159.5" hidden="1" x14ac:dyDescent="0.35">
      <c r="A17" s="1" t="s">
        <v>776</v>
      </c>
      <c r="B17" s="14" t="s">
        <v>24</v>
      </c>
      <c r="C17" s="1" t="str" cm="1">
        <f t="array" ref="C17">GetURL(B17)</f>
        <v>https://explore-education-statistics.service.gov.uk/find-statistics/apprenticeships-and-traineeships</v>
      </c>
      <c r="D17" s="1" t="s">
        <v>2589</v>
      </c>
      <c r="E17" s="1" t="s">
        <v>792</v>
      </c>
      <c r="F17" s="1" t="s">
        <v>778</v>
      </c>
      <c r="G17" s="1" t="s">
        <v>778</v>
      </c>
      <c r="H17" s="1" t="s">
        <v>778</v>
      </c>
      <c r="I17" s="1" t="s">
        <v>778</v>
      </c>
      <c r="J17" s="1" t="s">
        <v>778</v>
      </c>
      <c r="P17" s="1" t="s">
        <v>778</v>
      </c>
      <c r="Q17" s="1" t="s">
        <v>778</v>
      </c>
      <c r="R17" s="1" t="s">
        <v>778</v>
      </c>
      <c r="S17" s="1" t="s">
        <v>778</v>
      </c>
      <c r="AU17" s="1" t="s">
        <v>778</v>
      </c>
      <c r="AZ17" s="1" t="s">
        <v>778</v>
      </c>
      <c r="DA17" s="1" t="s">
        <v>778</v>
      </c>
      <c r="DG17" s="1" t="s">
        <v>778</v>
      </c>
      <c r="DQ17" s="1" t="s">
        <v>778</v>
      </c>
      <c r="EH17" s="1" t="s">
        <v>778</v>
      </c>
    </row>
    <row r="18" spans="1:186" ht="159.5" hidden="1" x14ac:dyDescent="0.35">
      <c r="A18" s="1" t="s">
        <v>776</v>
      </c>
      <c r="B18" s="14" t="s">
        <v>24</v>
      </c>
      <c r="C18" s="1" t="str" cm="1">
        <f t="array" ref="C18">GetURL(B18)</f>
        <v>https://explore-education-statistics.service.gov.uk/find-statistics/apprenticeships-and-traineeships</v>
      </c>
      <c r="D18" s="1" t="s">
        <v>2589</v>
      </c>
      <c r="E18" s="1" t="s">
        <v>793</v>
      </c>
      <c r="F18" s="1" t="s">
        <v>778</v>
      </c>
      <c r="G18" s="1" t="s">
        <v>778</v>
      </c>
      <c r="H18" s="1" t="s">
        <v>778</v>
      </c>
      <c r="I18" s="1" t="s">
        <v>778</v>
      </c>
      <c r="J18" s="1" t="s">
        <v>778</v>
      </c>
      <c r="Z18" s="1" t="s">
        <v>778</v>
      </c>
      <c r="AA18" s="1" t="s">
        <v>778</v>
      </c>
      <c r="AB18" s="1" t="s">
        <v>778</v>
      </c>
      <c r="AC18" s="1" t="s">
        <v>778</v>
      </c>
      <c r="AV18" s="1" t="s">
        <v>778</v>
      </c>
      <c r="AZ18" s="1" t="s">
        <v>778</v>
      </c>
      <c r="BG18" s="1" t="s">
        <v>778</v>
      </c>
      <c r="BU18" s="1" t="s">
        <v>778</v>
      </c>
      <c r="DA18" s="1" t="s">
        <v>778</v>
      </c>
      <c r="DG18" s="1" t="s">
        <v>778</v>
      </c>
      <c r="EH18" s="1" t="s">
        <v>778</v>
      </c>
    </row>
    <row r="19" spans="1:186" ht="159.5" hidden="1" x14ac:dyDescent="0.35">
      <c r="A19" s="1" t="s">
        <v>776</v>
      </c>
      <c r="B19" s="14" t="s">
        <v>24</v>
      </c>
      <c r="C19" s="1" t="str" cm="1">
        <f t="array" ref="C19">GetURL(B19)</f>
        <v>https://explore-education-statistics.service.gov.uk/find-statistics/apprenticeships-and-traineeships</v>
      </c>
      <c r="D19" s="1" t="s">
        <v>2589</v>
      </c>
      <c r="E19" s="1" t="s">
        <v>794</v>
      </c>
      <c r="F19" s="1" t="s">
        <v>778</v>
      </c>
      <c r="G19" s="1" t="s">
        <v>778</v>
      </c>
      <c r="H19" s="1" t="s">
        <v>778</v>
      </c>
      <c r="I19" s="1" t="s">
        <v>778</v>
      </c>
      <c r="J19" s="1" t="s">
        <v>778</v>
      </c>
      <c r="K19" s="1" t="s">
        <v>778</v>
      </c>
      <c r="L19" s="1" t="s">
        <v>778</v>
      </c>
      <c r="M19" s="1" t="s">
        <v>778</v>
      </c>
      <c r="N19" s="1" t="s">
        <v>778</v>
      </c>
      <c r="O19" s="1" t="s">
        <v>778</v>
      </c>
      <c r="P19" s="1" t="s">
        <v>778</v>
      </c>
      <c r="R19" s="1" t="s">
        <v>778</v>
      </c>
      <c r="S19" s="1" t="s">
        <v>778</v>
      </c>
      <c r="AU19" s="1" t="s">
        <v>778</v>
      </c>
      <c r="DA19" s="1" t="s">
        <v>778</v>
      </c>
      <c r="DC19" s="1" t="s">
        <v>778</v>
      </c>
      <c r="DG19" s="1" t="s">
        <v>778</v>
      </c>
      <c r="DI19" s="1" t="s">
        <v>778</v>
      </c>
      <c r="DQ19" s="1" t="s">
        <v>778</v>
      </c>
      <c r="DW19" s="1" t="s">
        <v>778</v>
      </c>
      <c r="EH19" s="1" t="s">
        <v>778</v>
      </c>
    </row>
    <row r="20" spans="1:186" ht="159.5" hidden="1" x14ac:dyDescent="0.35">
      <c r="A20" s="1" t="s">
        <v>776</v>
      </c>
      <c r="B20" s="14" t="s">
        <v>24</v>
      </c>
      <c r="C20" s="1" t="str" cm="1">
        <f t="array" ref="C20">GetURL(B20)</f>
        <v>https://explore-education-statistics.service.gov.uk/find-statistics/apprenticeships-and-traineeships</v>
      </c>
      <c r="D20" s="1" t="s">
        <v>2589</v>
      </c>
      <c r="E20" s="1" t="s">
        <v>795</v>
      </c>
      <c r="F20" s="1" t="s">
        <v>778</v>
      </c>
      <c r="G20" s="1" t="s">
        <v>778</v>
      </c>
      <c r="H20" s="1" t="s">
        <v>778</v>
      </c>
      <c r="I20" s="1" t="s">
        <v>778</v>
      </c>
      <c r="J20" s="1" t="s">
        <v>778</v>
      </c>
      <c r="K20" s="1" t="s">
        <v>778</v>
      </c>
      <c r="L20" s="1" t="s">
        <v>778</v>
      </c>
      <c r="P20" s="1" t="s">
        <v>778</v>
      </c>
      <c r="Q20" s="1" t="s">
        <v>778</v>
      </c>
      <c r="AZ20" s="1" t="s">
        <v>778</v>
      </c>
      <c r="BG20" s="1" t="s">
        <v>778</v>
      </c>
      <c r="BU20" s="1" t="s">
        <v>778</v>
      </c>
      <c r="DA20" s="1" t="s">
        <v>778</v>
      </c>
      <c r="DG20" s="1" t="s">
        <v>778</v>
      </c>
      <c r="EH20" s="1" t="s">
        <v>778</v>
      </c>
    </row>
    <row r="21" spans="1:186" ht="159.5" hidden="1" x14ac:dyDescent="0.35">
      <c r="A21" s="1" t="s">
        <v>776</v>
      </c>
      <c r="B21" s="14" t="s">
        <v>24</v>
      </c>
      <c r="C21" s="1" t="str" cm="1">
        <f t="array" ref="C21">GetURL(B21)</f>
        <v>https://explore-education-statistics.service.gov.uk/find-statistics/apprenticeships-and-traineeships</v>
      </c>
      <c r="D21" s="1" t="s">
        <v>2589</v>
      </c>
      <c r="E21" s="1" t="s">
        <v>796</v>
      </c>
      <c r="F21" s="1" t="s">
        <v>778</v>
      </c>
      <c r="G21" s="1" t="s">
        <v>778</v>
      </c>
      <c r="H21" s="1" t="s">
        <v>778</v>
      </c>
      <c r="I21" s="1" t="s">
        <v>778</v>
      </c>
      <c r="J21" s="1" t="s">
        <v>778</v>
      </c>
      <c r="K21" s="1" t="s">
        <v>778</v>
      </c>
      <c r="L21" s="1" t="s">
        <v>778</v>
      </c>
      <c r="AL21" s="1" t="s">
        <v>778</v>
      </c>
      <c r="AS21" s="1" t="s">
        <v>778</v>
      </c>
      <c r="AU21" s="1" t="s">
        <v>778</v>
      </c>
      <c r="DA21" s="1" t="s">
        <v>778</v>
      </c>
      <c r="DD21" s="1" t="s">
        <v>778</v>
      </c>
      <c r="DE21" s="1" t="s">
        <v>778</v>
      </c>
      <c r="DG21" s="1" t="s">
        <v>778</v>
      </c>
      <c r="DK21" s="1" t="s">
        <v>778</v>
      </c>
      <c r="DL21" s="1" t="s">
        <v>778</v>
      </c>
      <c r="DQ21" s="1" t="s">
        <v>778</v>
      </c>
      <c r="FG21" s="1" t="s">
        <v>778</v>
      </c>
      <c r="FK21" s="1" t="s">
        <v>778</v>
      </c>
    </row>
    <row r="22" spans="1:186" ht="159.5" hidden="1" x14ac:dyDescent="0.35">
      <c r="A22" s="1" t="s">
        <v>776</v>
      </c>
      <c r="B22" s="14" t="s">
        <v>24</v>
      </c>
      <c r="C22" s="1" t="str" cm="1">
        <f t="array" ref="C22">GetURL(B22)</f>
        <v>https://explore-education-statistics.service.gov.uk/find-statistics/apprenticeships-and-traineeships</v>
      </c>
      <c r="D22" s="1" t="s">
        <v>2589</v>
      </c>
      <c r="E22" s="1" t="s">
        <v>797</v>
      </c>
      <c r="F22" s="1" t="s">
        <v>778</v>
      </c>
      <c r="G22" s="1" t="s">
        <v>778</v>
      </c>
      <c r="H22" s="1" t="s">
        <v>778</v>
      </c>
      <c r="I22" s="1" t="s">
        <v>778</v>
      </c>
      <c r="J22" s="1" t="s">
        <v>778</v>
      </c>
      <c r="K22" s="1" t="s">
        <v>778</v>
      </c>
      <c r="L22" s="1" t="s">
        <v>778</v>
      </c>
      <c r="AL22" s="1" t="s">
        <v>778</v>
      </c>
      <c r="AS22" s="1" t="s">
        <v>778</v>
      </c>
      <c r="AU22" s="1" t="s">
        <v>778</v>
      </c>
      <c r="DA22" s="1" t="s">
        <v>778</v>
      </c>
      <c r="DD22" s="1" t="s">
        <v>778</v>
      </c>
      <c r="DE22" s="1" t="s">
        <v>778</v>
      </c>
      <c r="DG22" s="1" t="s">
        <v>778</v>
      </c>
      <c r="DK22" s="1" t="s">
        <v>778</v>
      </c>
      <c r="DL22" s="1" t="s">
        <v>778</v>
      </c>
      <c r="DQ22" s="1" t="s">
        <v>778</v>
      </c>
      <c r="FG22" s="1" t="s">
        <v>778</v>
      </c>
      <c r="FK22" s="1" t="s">
        <v>778</v>
      </c>
    </row>
    <row r="23" spans="1:186" ht="159.5" hidden="1" x14ac:dyDescent="0.35">
      <c r="A23" s="1" t="s">
        <v>776</v>
      </c>
      <c r="B23" s="14" t="s">
        <v>24</v>
      </c>
      <c r="C23" s="1" t="str" cm="1">
        <f t="array" ref="C23">GetURL(B23)</f>
        <v>https://explore-education-statistics.service.gov.uk/find-statistics/apprenticeships-and-traineeships</v>
      </c>
      <c r="D23" s="1" t="s">
        <v>2589</v>
      </c>
      <c r="E23" s="1" t="s">
        <v>798</v>
      </c>
      <c r="F23" s="1" t="s">
        <v>778</v>
      </c>
      <c r="G23" s="1" t="s">
        <v>778</v>
      </c>
      <c r="H23" s="1" t="s">
        <v>778</v>
      </c>
      <c r="I23" s="1" t="s">
        <v>778</v>
      </c>
      <c r="J23" s="1" t="s">
        <v>778</v>
      </c>
      <c r="AS23" s="1" t="s">
        <v>778</v>
      </c>
      <c r="AV23" s="1" t="s">
        <v>778</v>
      </c>
      <c r="BP23" s="1" t="s">
        <v>778</v>
      </c>
      <c r="DQ23" s="1" t="s">
        <v>778</v>
      </c>
      <c r="EP23" s="1" t="s">
        <v>778</v>
      </c>
      <c r="EQ23" s="1" t="s">
        <v>778</v>
      </c>
      <c r="FF23" s="1" t="s">
        <v>778</v>
      </c>
    </row>
    <row r="24" spans="1:186" ht="159.5" hidden="1" x14ac:dyDescent="0.35">
      <c r="A24" s="1" t="s">
        <v>776</v>
      </c>
      <c r="B24" s="14" t="s">
        <v>24</v>
      </c>
      <c r="C24" s="1" t="str" cm="1">
        <f t="array" ref="C24">GetURL(B24)</f>
        <v>https://explore-education-statistics.service.gov.uk/find-statistics/apprenticeships-and-traineeships</v>
      </c>
      <c r="D24" s="1" t="s">
        <v>2589</v>
      </c>
      <c r="E24" s="1" t="s">
        <v>799</v>
      </c>
      <c r="F24" s="1" t="s">
        <v>778</v>
      </c>
      <c r="G24" s="1" t="s">
        <v>778</v>
      </c>
      <c r="H24" s="1" t="s">
        <v>778</v>
      </c>
      <c r="I24" s="1" t="s">
        <v>778</v>
      </c>
      <c r="J24" s="1" t="s">
        <v>778</v>
      </c>
      <c r="AS24" s="1" t="s">
        <v>778</v>
      </c>
      <c r="AV24" s="1" t="s">
        <v>778</v>
      </c>
      <c r="BG24" s="1" t="s">
        <v>778</v>
      </c>
      <c r="BP24" s="1" t="s">
        <v>778</v>
      </c>
      <c r="DA24" s="1" t="s">
        <v>778</v>
      </c>
      <c r="DG24" s="1" t="s">
        <v>778</v>
      </c>
      <c r="EI24" s="1" t="s">
        <v>778</v>
      </c>
    </row>
    <row r="25" spans="1:186" ht="159.5" hidden="1" x14ac:dyDescent="0.35">
      <c r="A25" s="1" t="s">
        <v>776</v>
      </c>
      <c r="B25" s="14" t="s">
        <v>24</v>
      </c>
      <c r="C25" s="1" t="str" cm="1">
        <f t="array" ref="C25">GetURL(B25)</f>
        <v>https://explore-education-statistics.service.gov.uk/find-statistics/apprenticeships-and-traineeships</v>
      </c>
      <c r="D25" s="1" t="s">
        <v>2589</v>
      </c>
      <c r="E25" s="2" t="s">
        <v>800</v>
      </c>
      <c r="F25" s="1" t="s">
        <v>778</v>
      </c>
      <c r="G25" s="1" t="s">
        <v>778</v>
      </c>
      <c r="H25" s="1" t="s">
        <v>778</v>
      </c>
      <c r="I25" s="1" t="s">
        <v>778</v>
      </c>
      <c r="J25" s="1" t="s">
        <v>778</v>
      </c>
      <c r="K25" s="1" t="s">
        <v>778</v>
      </c>
      <c r="L25" s="1" t="s">
        <v>778</v>
      </c>
      <c r="AL25" s="1" t="s">
        <v>778</v>
      </c>
      <c r="AS25" s="1" t="s">
        <v>778</v>
      </c>
      <c r="AU25" s="1" t="s">
        <v>778</v>
      </c>
      <c r="DA25" s="1" t="s">
        <v>778</v>
      </c>
      <c r="DD25" s="1" t="s">
        <v>778</v>
      </c>
      <c r="DE25" s="1" t="s">
        <v>778</v>
      </c>
      <c r="DG25" s="1" t="s">
        <v>778</v>
      </c>
      <c r="DK25" s="1" t="s">
        <v>778</v>
      </c>
      <c r="DL25" s="1" t="s">
        <v>778</v>
      </c>
      <c r="DQ25" s="1" t="s">
        <v>778</v>
      </c>
      <c r="FG25" s="1" t="s">
        <v>778</v>
      </c>
      <c r="FK25" s="1" t="s">
        <v>778</v>
      </c>
    </row>
    <row r="26" spans="1:186" ht="159.5" hidden="1" x14ac:dyDescent="0.35">
      <c r="A26" s="1" t="s">
        <v>776</v>
      </c>
      <c r="B26" s="14" t="s">
        <v>24</v>
      </c>
      <c r="C26" s="1" t="str" cm="1">
        <f t="array" ref="C26">GetURL(B26)</f>
        <v>https://explore-education-statistics.service.gov.uk/find-statistics/apprenticeships-and-traineeships</v>
      </c>
      <c r="D26" s="1" t="s">
        <v>2589</v>
      </c>
      <c r="E26" s="1" t="s">
        <v>801</v>
      </c>
      <c r="F26" s="1" t="s">
        <v>778</v>
      </c>
      <c r="G26" s="1" t="s">
        <v>778</v>
      </c>
      <c r="H26" s="1" t="s">
        <v>778</v>
      </c>
      <c r="I26" s="1" t="s">
        <v>778</v>
      </c>
      <c r="J26" s="1" t="s">
        <v>778</v>
      </c>
      <c r="AS26" s="1" t="s">
        <v>778</v>
      </c>
      <c r="AV26" s="1" t="s">
        <v>778</v>
      </c>
      <c r="BP26" s="1" t="s">
        <v>778</v>
      </c>
      <c r="DQ26" s="1" t="s">
        <v>778</v>
      </c>
      <c r="EP26" s="1" t="s">
        <v>778</v>
      </c>
      <c r="EQ26" s="1" t="s">
        <v>778</v>
      </c>
      <c r="FF26" s="1" t="s">
        <v>778</v>
      </c>
    </row>
    <row r="27" spans="1:186" ht="159.5" hidden="1" x14ac:dyDescent="0.35">
      <c r="A27" s="1" t="s">
        <v>776</v>
      </c>
      <c r="B27" s="14" t="s">
        <v>24</v>
      </c>
      <c r="C27" s="1" t="str" cm="1">
        <f t="array" ref="C27">GetURL(B27)</f>
        <v>https://explore-education-statistics.service.gov.uk/find-statistics/apprenticeships-and-traineeships</v>
      </c>
      <c r="D27" s="1" t="s">
        <v>2589</v>
      </c>
      <c r="E27" s="1" t="s">
        <v>802</v>
      </c>
      <c r="F27" s="1" t="s">
        <v>778</v>
      </c>
      <c r="G27" s="1" t="s">
        <v>778</v>
      </c>
      <c r="H27" s="1" t="s">
        <v>778</v>
      </c>
      <c r="I27" s="1" t="s">
        <v>778</v>
      </c>
      <c r="J27" s="1" t="s">
        <v>778</v>
      </c>
      <c r="AL27" s="1" t="s">
        <v>778</v>
      </c>
      <c r="AS27" s="1" t="s">
        <v>778</v>
      </c>
      <c r="AV27" s="1" t="s">
        <v>778</v>
      </c>
      <c r="AZ27" s="1" t="s">
        <v>778</v>
      </c>
      <c r="BL27" s="1" t="s">
        <v>778</v>
      </c>
      <c r="BT27" s="1" t="s">
        <v>778</v>
      </c>
      <c r="BU27" s="1" t="s">
        <v>778</v>
      </c>
      <c r="BV27" s="1" t="s">
        <v>778</v>
      </c>
      <c r="DA27" s="1" t="s">
        <v>778</v>
      </c>
      <c r="DG27" s="1" t="s">
        <v>778</v>
      </c>
      <c r="DQ27" s="1" t="s">
        <v>778</v>
      </c>
    </row>
    <row r="28" spans="1:186" ht="159.5" hidden="1" x14ac:dyDescent="0.35">
      <c r="A28" s="1" t="s">
        <v>776</v>
      </c>
      <c r="B28" s="14" t="s">
        <v>24</v>
      </c>
      <c r="C28" s="1" t="str" cm="1">
        <f t="array" ref="C28">GetURL(B28)</f>
        <v>https://explore-education-statistics.service.gov.uk/find-statistics/apprenticeships-and-traineeships</v>
      </c>
      <c r="D28" s="1" t="s">
        <v>2589</v>
      </c>
      <c r="E28" s="1" t="s">
        <v>803</v>
      </c>
      <c r="F28" s="1" t="s">
        <v>778</v>
      </c>
      <c r="G28" s="1" t="s">
        <v>778</v>
      </c>
      <c r="H28" s="1" t="s">
        <v>778</v>
      </c>
      <c r="I28" s="1" t="s">
        <v>778</v>
      </c>
      <c r="J28" s="1" t="s">
        <v>778</v>
      </c>
      <c r="AO28" s="1" t="s">
        <v>778</v>
      </c>
      <c r="AP28" s="1" t="s">
        <v>778</v>
      </c>
      <c r="DA28" s="1" t="s">
        <v>778</v>
      </c>
      <c r="DB28" s="1" t="s">
        <v>778</v>
      </c>
      <c r="DG28" s="1" t="s">
        <v>778</v>
      </c>
      <c r="DJ28" s="1" t="s">
        <v>778</v>
      </c>
    </row>
    <row r="29" spans="1:186" ht="159.5" hidden="1" x14ac:dyDescent="0.35">
      <c r="A29" s="1" t="s">
        <v>776</v>
      </c>
      <c r="B29" s="14" t="s">
        <v>24</v>
      </c>
      <c r="C29" s="1" t="str" cm="1">
        <f t="array" ref="C29">GetURL(B29)</f>
        <v>https://explore-education-statistics.service.gov.uk/find-statistics/apprenticeships-and-traineeships</v>
      </c>
      <c r="D29" s="1" t="s">
        <v>2589</v>
      </c>
      <c r="E29" s="1" t="s">
        <v>804</v>
      </c>
      <c r="F29" s="1" t="s">
        <v>778</v>
      </c>
      <c r="G29" s="1" t="s">
        <v>778</v>
      </c>
      <c r="H29" s="1" t="s">
        <v>778</v>
      </c>
      <c r="I29" s="1" t="s">
        <v>778</v>
      </c>
      <c r="J29" s="1" t="s">
        <v>778</v>
      </c>
      <c r="AL29" s="1" t="s">
        <v>778</v>
      </c>
      <c r="AS29" s="1" t="s">
        <v>778</v>
      </c>
      <c r="AV29" s="1" t="s">
        <v>778</v>
      </c>
      <c r="BL29" s="1" t="s">
        <v>778</v>
      </c>
      <c r="BM29" s="1" t="s">
        <v>778</v>
      </c>
      <c r="BT29" s="1" t="s">
        <v>778</v>
      </c>
      <c r="DA29" s="1" t="s">
        <v>778</v>
      </c>
      <c r="DG29" s="1" t="s">
        <v>778</v>
      </c>
      <c r="DQ29" s="1" t="s">
        <v>778</v>
      </c>
    </row>
    <row r="30" spans="1:186" ht="159.5" hidden="1" x14ac:dyDescent="0.35">
      <c r="A30" s="1" t="s">
        <v>776</v>
      </c>
      <c r="B30" s="14" t="s">
        <v>24</v>
      </c>
      <c r="C30" s="1" t="str" cm="1">
        <f t="array" ref="C30">GetURL(B30)</f>
        <v>https://explore-education-statistics.service.gov.uk/find-statistics/apprenticeships-and-traineeships</v>
      </c>
      <c r="D30" s="1" t="s">
        <v>2589</v>
      </c>
      <c r="E30" s="1" t="s">
        <v>805</v>
      </c>
      <c r="F30" s="1" t="s">
        <v>778</v>
      </c>
      <c r="G30" s="1" t="s">
        <v>778</v>
      </c>
      <c r="H30" s="1" t="s">
        <v>778</v>
      </c>
      <c r="I30" s="1" t="s">
        <v>778</v>
      </c>
      <c r="J30" s="1" t="s">
        <v>778</v>
      </c>
      <c r="AD30" s="1" t="s">
        <v>778</v>
      </c>
      <c r="AL30" s="1" t="s">
        <v>778</v>
      </c>
      <c r="AV30" s="1" t="s">
        <v>778</v>
      </c>
      <c r="CL30" s="1" t="s">
        <v>778</v>
      </c>
      <c r="DA30" s="1" t="s">
        <v>778</v>
      </c>
      <c r="FK30" s="1" t="s">
        <v>778</v>
      </c>
    </row>
    <row r="31" spans="1:186" ht="159.5" hidden="1" x14ac:dyDescent="0.35">
      <c r="A31" s="1" t="s">
        <v>776</v>
      </c>
      <c r="B31" s="14" t="s">
        <v>24</v>
      </c>
      <c r="C31" s="1" t="str" cm="1">
        <f t="array" ref="C31">GetURL(B31)</f>
        <v>https://explore-education-statistics.service.gov.uk/find-statistics/apprenticeships-and-traineeships</v>
      </c>
      <c r="D31" s="1" t="s">
        <v>2589</v>
      </c>
      <c r="E31" s="1" t="s">
        <v>806</v>
      </c>
      <c r="F31" s="1" t="s">
        <v>778</v>
      </c>
      <c r="G31" s="1" t="s">
        <v>778</v>
      </c>
      <c r="H31" s="1" t="s">
        <v>778</v>
      </c>
      <c r="I31" s="1" t="s">
        <v>778</v>
      </c>
      <c r="J31" s="1" t="s">
        <v>778</v>
      </c>
      <c r="BG31" s="1" t="s">
        <v>778</v>
      </c>
      <c r="DA31" s="1" t="s">
        <v>778</v>
      </c>
      <c r="DG31" s="1" t="s">
        <v>778</v>
      </c>
      <c r="EH31" s="1" t="s">
        <v>778</v>
      </c>
      <c r="FH31" s="1" t="s">
        <v>778</v>
      </c>
      <c r="FI31" s="1" t="s">
        <v>778</v>
      </c>
    </row>
    <row r="32" spans="1:186" ht="159.5" hidden="1" x14ac:dyDescent="0.35">
      <c r="A32" s="1" t="s">
        <v>776</v>
      </c>
      <c r="B32" s="14" t="s">
        <v>24</v>
      </c>
      <c r="C32" s="1" t="str" cm="1">
        <f t="array" ref="C32">GetURL(B32)</f>
        <v>https://explore-education-statistics.service.gov.uk/find-statistics/apprenticeships-and-traineeships</v>
      </c>
      <c r="D32" s="1" t="s">
        <v>2589</v>
      </c>
      <c r="E32" s="1" t="s">
        <v>807</v>
      </c>
      <c r="F32" s="1" t="s">
        <v>778</v>
      </c>
      <c r="G32" s="1" t="s">
        <v>778</v>
      </c>
      <c r="H32" s="1" t="s">
        <v>778</v>
      </c>
      <c r="I32" s="1" t="s">
        <v>778</v>
      </c>
      <c r="J32" s="1" t="s">
        <v>778</v>
      </c>
      <c r="FL32" s="1" t="s">
        <v>778</v>
      </c>
      <c r="FM32" s="1" t="s">
        <v>778</v>
      </c>
      <c r="FN32" s="1" t="s">
        <v>778</v>
      </c>
      <c r="FS32" s="1" t="s">
        <v>778</v>
      </c>
      <c r="FT32" s="1" t="s">
        <v>778</v>
      </c>
      <c r="FU32" s="1" t="s">
        <v>778</v>
      </c>
      <c r="FV32" s="1" t="s">
        <v>778</v>
      </c>
      <c r="FW32" s="1" t="s">
        <v>778</v>
      </c>
      <c r="FX32" s="1" t="s">
        <v>778</v>
      </c>
      <c r="FY32" s="1" t="s">
        <v>778</v>
      </c>
      <c r="FZ32" s="1" t="s">
        <v>778</v>
      </c>
      <c r="GA32" s="1" t="s">
        <v>778</v>
      </c>
      <c r="GB32" s="1" t="s">
        <v>778</v>
      </c>
      <c r="GC32" s="1" t="s">
        <v>778</v>
      </c>
      <c r="GD32" s="1" t="s">
        <v>778</v>
      </c>
    </row>
    <row r="33" spans="1:202" ht="159.5" hidden="1" x14ac:dyDescent="0.35">
      <c r="A33" s="1" t="s">
        <v>776</v>
      </c>
      <c r="B33" s="14" t="s">
        <v>24</v>
      </c>
      <c r="C33" s="1" t="str" cm="1">
        <f t="array" ref="C33">GetURL(B33)</f>
        <v>https://explore-education-statistics.service.gov.uk/find-statistics/apprenticeships-and-traineeships</v>
      </c>
      <c r="D33" s="1" t="s">
        <v>2589</v>
      </c>
      <c r="E33" s="1" t="s">
        <v>808</v>
      </c>
      <c r="F33" s="1" t="s">
        <v>778</v>
      </c>
      <c r="G33" s="1" t="s">
        <v>778</v>
      </c>
      <c r="H33" s="1" t="s">
        <v>778</v>
      </c>
      <c r="I33" s="1" t="s">
        <v>778</v>
      </c>
      <c r="J33" s="1" t="s">
        <v>778</v>
      </c>
      <c r="AK33" s="1" t="s">
        <v>778</v>
      </c>
      <c r="AU33" s="1" t="s">
        <v>778</v>
      </c>
      <c r="CH33" s="1" t="s">
        <v>778</v>
      </c>
      <c r="EH33" s="1" t="s">
        <v>778</v>
      </c>
      <c r="GE33" s="1" t="s">
        <v>778</v>
      </c>
    </row>
    <row r="34" spans="1:202" ht="159.5" hidden="1" x14ac:dyDescent="0.35">
      <c r="A34" s="1" t="s">
        <v>776</v>
      </c>
      <c r="B34" s="14" t="s">
        <v>24</v>
      </c>
      <c r="C34" s="1" t="str" cm="1">
        <f t="array" ref="C34">GetURL(B34)</f>
        <v>https://explore-education-statistics.service.gov.uk/find-statistics/apprenticeships-and-traineeships</v>
      </c>
      <c r="D34" s="1" t="s">
        <v>2589</v>
      </c>
      <c r="E34" s="1" t="s">
        <v>809</v>
      </c>
      <c r="F34" s="1" t="s">
        <v>778</v>
      </c>
      <c r="G34" s="1" t="s">
        <v>778</v>
      </c>
      <c r="H34" s="1" t="s">
        <v>778</v>
      </c>
      <c r="I34" s="1" t="s">
        <v>778</v>
      </c>
      <c r="J34" s="1" t="s">
        <v>778</v>
      </c>
      <c r="AD34" s="1" t="s">
        <v>778</v>
      </c>
      <c r="BG34" s="1" t="s">
        <v>778</v>
      </c>
      <c r="BH34" s="1" t="s">
        <v>778</v>
      </c>
      <c r="DA34" s="1" t="s">
        <v>778</v>
      </c>
      <c r="DB34" s="1" t="s">
        <v>778</v>
      </c>
      <c r="DG34" s="1" t="s">
        <v>778</v>
      </c>
      <c r="DJ34" s="1" t="s">
        <v>778</v>
      </c>
    </row>
    <row r="35" spans="1:202" ht="159.5" hidden="1" x14ac:dyDescent="0.35">
      <c r="A35" s="1" t="s">
        <v>776</v>
      </c>
      <c r="B35" s="14" t="s">
        <v>24</v>
      </c>
      <c r="C35" s="1" t="str" cm="1">
        <f t="array" ref="C35">GetURL(B35)</f>
        <v>https://explore-education-statistics.service.gov.uk/find-statistics/apprenticeships-and-traineeships</v>
      </c>
      <c r="D35" s="1" t="s">
        <v>2589</v>
      </c>
      <c r="E35" s="1" t="s">
        <v>810</v>
      </c>
      <c r="F35" s="1" t="s">
        <v>778</v>
      </c>
      <c r="G35" s="1" t="s">
        <v>778</v>
      </c>
      <c r="H35" s="1" t="s">
        <v>778</v>
      </c>
      <c r="I35" s="1" t="s">
        <v>778</v>
      </c>
      <c r="J35" s="1" t="s">
        <v>778</v>
      </c>
      <c r="AS35" s="1" t="s">
        <v>778</v>
      </c>
      <c r="AV35" s="1" t="s">
        <v>778</v>
      </c>
      <c r="AZ35" s="1" t="s">
        <v>778</v>
      </c>
      <c r="BL35" s="1" t="s">
        <v>778</v>
      </c>
      <c r="DA35" s="1" t="s">
        <v>778</v>
      </c>
      <c r="DG35" s="1" t="s">
        <v>778</v>
      </c>
      <c r="EH35" s="1" t="s">
        <v>778</v>
      </c>
      <c r="FK35" s="1" t="s">
        <v>778</v>
      </c>
    </row>
    <row r="36" spans="1:202" ht="159.5" hidden="1" x14ac:dyDescent="0.35">
      <c r="A36" s="1" t="s">
        <v>776</v>
      </c>
      <c r="B36" s="14" t="s">
        <v>24</v>
      </c>
      <c r="C36" s="1" t="str" cm="1">
        <f t="array" ref="C36">GetURL(B36)</f>
        <v>https://explore-education-statistics.service.gov.uk/find-statistics/apprenticeships-and-traineeships</v>
      </c>
      <c r="D36" s="1" t="s">
        <v>2589</v>
      </c>
      <c r="E36" s="1" t="s">
        <v>811</v>
      </c>
      <c r="F36" s="1" t="s">
        <v>778</v>
      </c>
      <c r="G36" s="1" t="s">
        <v>778</v>
      </c>
      <c r="H36" s="1" t="s">
        <v>778</v>
      </c>
      <c r="I36" s="1" t="s">
        <v>778</v>
      </c>
      <c r="J36" s="1" t="s">
        <v>778</v>
      </c>
      <c r="AD36" s="1" t="s">
        <v>778</v>
      </c>
      <c r="AH36" s="1" t="s">
        <v>778</v>
      </c>
      <c r="AJ36" s="1" t="s">
        <v>778</v>
      </c>
      <c r="BG36" s="1" t="s">
        <v>778</v>
      </c>
      <c r="DA36" s="1" t="s">
        <v>778</v>
      </c>
      <c r="DG36" s="1" t="s">
        <v>778</v>
      </c>
      <c r="EI36" s="1" t="s">
        <v>778</v>
      </c>
      <c r="GJ36" s="1" t="s">
        <v>778</v>
      </c>
    </row>
    <row r="37" spans="1:202" ht="159.5" hidden="1" x14ac:dyDescent="0.35">
      <c r="A37" s="1" t="s">
        <v>776</v>
      </c>
      <c r="B37" s="14" t="s">
        <v>24</v>
      </c>
      <c r="C37" s="1" t="str" cm="1">
        <f t="array" ref="C37">GetURL(B37)</f>
        <v>https://explore-education-statistics.service.gov.uk/find-statistics/apprenticeships-and-traineeships</v>
      </c>
      <c r="D37" s="1" t="s">
        <v>2589</v>
      </c>
      <c r="E37" s="1" t="s">
        <v>812</v>
      </c>
      <c r="F37" s="1" t="s">
        <v>778</v>
      </c>
      <c r="G37" s="1" t="s">
        <v>778</v>
      </c>
      <c r="H37" s="1" t="s">
        <v>778</v>
      </c>
      <c r="I37" s="1" t="s">
        <v>778</v>
      </c>
      <c r="J37" s="1" t="s">
        <v>778</v>
      </c>
      <c r="AD37" s="1" t="s">
        <v>778</v>
      </c>
      <c r="BA37" s="1" t="s">
        <v>778</v>
      </c>
      <c r="BG37" s="1" t="s">
        <v>778</v>
      </c>
      <c r="BH37" s="1" t="s">
        <v>778</v>
      </c>
      <c r="DA37" s="1" t="s">
        <v>778</v>
      </c>
      <c r="DG37" s="1" t="s">
        <v>778</v>
      </c>
      <c r="EG37" s="1" t="s">
        <v>778</v>
      </c>
      <c r="EH37" s="1" t="s">
        <v>778</v>
      </c>
      <c r="EI37" s="1" t="s">
        <v>778</v>
      </c>
      <c r="EN37" s="1" t="s">
        <v>778</v>
      </c>
      <c r="EO37" s="1" t="s">
        <v>778</v>
      </c>
    </row>
    <row r="38" spans="1:202" ht="159.5" hidden="1" x14ac:dyDescent="0.35">
      <c r="A38" s="1" t="s">
        <v>776</v>
      </c>
      <c r="B38" s="14" t="s">
        <v>24</v>
      </c>
      <c r="C38" s="1" t="str" cm="1">
        <f t="array" ref="C38">GetURL(B38)</f>
        <v>https://explore-education-statistics.service.gov.uk/find-statistics/apprenticeships-and-traineeships</v>
      </c>
      <c r="D38" s="1" t="s">
        <v>2589</v>
      </c>
      <c r="E38" s="1" t="s">
        <v>813</v>
      </c>
      <c r="F38" s="1" t="s">
        <v>778</v>
      </c>
      <c r="G38" s="1" t="s">
        <v>778</v>
      </c>
      <c r="H38" s="1" t="s">
        <v>778</v>
      </c>
      <c r="I38" s="1" t="s">
        <v>778</v>
      </c>
      <c r="J38" s="1" t="s">
        <v>778</v>
      </c>
      <c r="AG38" s="1" t="s">
        <v>778</v>
      </c>
      <c r="AJ38" s="1" t="s">
        <v>778</v>
      </c>
      <c r="DA38" s="1" t="s">
        <v>778</v>
      </c>
    </row>
    <row r="39" spans="1:202" ht="159.5" x14ac:dyDescent="0.35">
      <c r="A39" s="1" t="s">
        <v>776</v>
      </c>
      <c r="B39" s="14" t="s">
        <v>24</v>
      </c>
      <c r="C39" s="1" t="str" cm="1">
        <f t="array" ref="C39">GetURL(B39)</f>
        <v>https://explore-education-statistics.service.gov.uk/find-statistics/apprenticeships-and-traineeships</v>
      </c>
      <c r="D39" s="1" t="s">
        <v>2589</v>
      </c>
      <c r="E39" s="1" t="s">
        <v>1151</v>
      </c>
      <c r="F39" s="1" t="s">
        <v>778</v>
      </c>
      <c r="G39" s="1" t="s">
        <v>778</v>
      </c>
      <c r="H39" s="1" t="s">
        <v>778</v>
      </c>
      <c r="I39" s="1" t="s">
        <v>778</v>
      </c>
      <c r="J39" s="1" t="s">
        <v>778</v>
      </c>
      <c r="K39" s="1" t="s">
        <v>778</v>
      </c>
      <c r="L39" s="1" t="s">
        <v>778</v>
      </c>
      <c r="DF39" s="1" t="s">
        <v>778</v>
      </c>
    </row>
    <row r="40" spans="1:202" ht="159.5" hidden="1" x14ac:dyDescent="0.35">
      <c r="A40" s="1" t="s">
        <v>776</v>
      </c>
      <c r="B40" s="14" t="s">
        <v>24</v>
      </c>
      <c r="C40" s="1" t="str" cm="1">
        <f t="array" ref="C40">GetURL(B40)</f>
        <v>https://explore-education-statistics.service.gov.uk/find-statistics/apprenticeships-and-traineeships</v>
      </c>
      <c r="D40" s="1" t="s">
        <v>2589</v>
      </c>
      <c r="E40" s="1" t="s">
        <v>1152</v>
      </c>
      <c r="F40" s="1" t="s">
        <v>778</v>
      </c>
      <c r="G40" s="1" t="s">
        <v>778</v>
      </c>
      <c r="H40" s="1" t="s">
        <v>778</v>
      </c>
      <c r="I40" s="1" t="s">
        <v>778</v>
      </c>
      <c r="J40" s="1" t="s">
        <v>778</v>
      </c>
      <c r="AX40" s="1" t="s">
        <v>778</v>
      </c>
      <c r="AZ40" s="1" t="s">
        <v>778</v>
      </c>
      <c r="BA40" s="1" t="s">
        <v>778</v>
      </c>
      <c r="BG40" s="1" t="s">
        <v>778</v>
      </c>
      <c r="BL40" s="1" t="s">
        <v>778</v>
      </c>
      <c r="BT40" s="1" t="s">
        <v>778</v>
      </c>
      <c r="DA40" s="1" t="s">
        <v>778</v>
      </c>
      <c r="EI40" s="1" t="s">
        <v>778</v>
      </c>
      <c r="GJ40" s="1" t="s">
        <v>778</v>
      </c>
    </row>
    <row r="41" spans="1:202" ht="159.5" hidden="1" x14ac:dyDescent="0.35">
      <c r="A41" s="1" t="s">
        <v>776</v>
      </c>
      <c r="B41" s="14" t="s">
        <v>24</v>
      </c>
      <c r="C41" s="1" t="str" cm="1">
        <f t="array" ref="C41">GetURL(B41)</f>
        <v>https://explore-education-statistics.service.gov.uk/find-statistics/apprenticeships-and-traineeships</v>
      </c>
      <c r="D41" s="1" t="s">
        <v>2589</v>
      </c>
      <c r="E41" s="1" t="s">
        <v>815</v>
      </c>
      <c r="F41" s="1" t="s">
        <v>778</v>
      </c>
      <c r="G41" s="1" t="s">
        <v>778</v>
      </c>
      <c r="H41" s="1" t="s">
        <v>778</v>
      </c>
      <c r="I41" s="1" t="s">
        <v>778</v>
      </c>
      <c r="J41" s="1" t="s">
        <v>778</v>
      </c>
      <c r="AG41" s="1" t="s">
        <v>778</v>
      </c>
      <c r="AJ41" s="1" t="s">
        <v>778</v>
      </c>
      <c r="DA41" s="1" t="s">
        <v>778</v>
      </c>
    </row>
    <row r="42" spans="1:202" ht="159.5" hidden="1" x14ac:dyDescent="0.35">
      <c r="A42" s="1" t="s">
        <v>776</v>
      </c>
      <c r="B42" s="14" t="s">
        <v>24</v>
      </c>
      <c r="C42" s="1" t="str" cm="1">
        <f t="array" ref="C42">GetURL(B42)</f>
        <v>https://explore-education-statistics.service.gov.uk/find-statistics/apprenticeships-and-traineeships</v>
      </c>
      <c r="D42" s="1" t="s">
        <v>2589</v>
      </c>
      <c r="E42" s="1" t="s">
        <v>1153</v>
      </c>
      <c r="F42" s="1" t="s">
        <v>778</v>
      </c>
      <c r="G42" s="1" t="s">
        <v>778</v>
      </c>
      <c r="H42" s="1" t="s">
        <v>778</v>
      </c>
      <c r="I42" s="1" t="s">
        <v>778</v>
      </c>
      <c r="J42" s="1" t="s">
        <v>778</v>
      </c>
      <c r="AY42" s="1" t="s">
        <v>778</v>
      </c>
      <c r="AZ42" s="1" t="s">
        <v>778</v>
      </c>
      <c r="BN42" s="1" t="s">
        <v>778</v>
      </c>
      <c r="BT42" s="1" t="s">
        <v>778</v>
      </c>
      <c r="BU42" s="1" t="s">
        <v>778</v>
      </c>
      <c r="CB42" s="1" t="s">
        <v>778</v>
      </c>
      <c r="CC42" s="1" t="s">
        <v>778</v>
      </c>
      <c r="CE42" s="1" t="s">
        <v>778</v>
      </c>
      <c r="GF42" s="1" t="s">
        <v>778</v>
      </c>
      <c r="GG42" s="1" t="s">
        <v>778</v>
      </c>
    </row>
    <row r="43" spans="1:202" ht="159.5" hidden="1" x14ac:dyDescent="0.35">
      <c r="A43" s="1" t="s">
        <v>776</v>
      </c>
      <c r="B43" s="14" t="s">
        <v>24</v>
      </c>
      <c r="C43" s="1" t="str" cm="1">
        <f t="array" ref="C43">GetURL(B43)</f>
        <v>https://explore-education-statistics.service.gov.uk/find-statistics/apprenticeships-and-traineeships</v>
      </c>
      <c r="D43" s="1" t="s">
        <v>2589</v>
      </c>
      <c r="E43" s="1" t="s">
        <v>1154</v>
      </c>
      <c r="F43" s="1" t="s">
        <v>778</v>
      </c>
      <c r="G43" s="1" t="s">
        <v>778</v>
      </c>
      <c r="H43" s="1" t="s">
        <v>778</v>
      </c>
      <c r="I43" s="1" t="s">
        <v>778</v>
      </c>
      <c r="J43" s="1" t="s">
        <v>778</v>
      </c>
      <c r="AY43" s="1" t="s">
        <v>778</v>
      </c>
      <c r="CB43" s="1" t="s">
        <v>778</v>
      </c>
      <c r="CC43" s="1" t="s">
        <v>778</v>
      </c>
      <c r="CE43" s="1" t="s">
        <v>778</v>
      </c>
      <c r="FH43" s="1" t="s">
        <v>778</v>
      </c>
      <c r="FI43" s="1" t="s">
        <v>778</v>
      </c>
      <c r="GF43" s="1" t="s">
        <v>778</v>
      </c>
      <c r="GG43" s="1" t="s">
        <v>778</v>
      </c>
    </row>
    <row r="44" spans="1:202" ht="159.5" hidden="1" x14ac:dyDescent="0.35">
      <c r="A44" s="1" t="s">
        <v>776</v>
      </c>
      <c r="B44" s="14" t="s">
        <v>24</v>
      </c>
      <c r="C44" s="1" t="str" cm="1">
        <f t="array" ref="C44">GetURL(B44)</f>
        <v>https://explore-education-statistics.service.gov.uk/find-statistics/apprenticeships-and-traineeships</v>
      </c>
      <c r="D44" s="1" t="s">
        <v>2589</v>
      </c>
      <c r="E44" s="1" t="s">
        <v>817</v>
      </c>
      <c r="F44" s="1" t="s">
        <v>778</v>
      </c>
      <c r="G44" s="1" t="s">
        <v>778</v>
      </c>
      <c r="H44" s="1" t="s">
        <v>778</v>
      </c>
      <c r="I44" s="1" t="s">
        <v>778</v>
      </c>
      <c r="J44" s="1" t="s">
        <v>778</v>
      </c>
      <c r="FH44" s="1" t="s">
        <v>778</v>
      </c>
      <c r="FI44" s="1" t="s">
        <v>778</v>
      </c>
    </row>
    <row r="45" spans="1:202" ht="159.5" x14ac:dyDescent="0.35">
      <c r="A45" s="1" t="s">
        <v>776</v>
      </c>
      <c r="B45" s="14" t="s">
        <v>24</v>
      </c>
      <c r="C45" s="1" t="str" cm="1">
        <f t="array" ref="C45">GetURL(B45)</f>
        <v>https://explore-education-statistics.service.gov.uk/find-statistics/apprenticeships-and-traineeships</v>
      </c>
      <c r="D45" s="1" t="s">
        <v>2589</v>
      </c>
      <c r="E45" s="1" t="s">
        <v>1155</v>
      </c>
      <c r="F45" s="1" t="s">
        <v>778</v>
      </c>
      <c r="G45" s="1" t="s">
        <v>778</v>
      </c>
      <c r="H45" s="1" t="s">
        <v>778</v>
      </c>
      <c r="I45" s="1" t="s">
        <v>778</v>
      </c>
      <c r="J45" s="1" t="s">
        <v>778</v>
      </c>
      <c r="K45" s="1" t="s">
        <v>778</v>
      </c>
      <c r="CN45" s="1" t="s">
        <v>778</v>
      </c>
      <c r="CO45" s="1" t="s">
        <v>778</v>
      </c>
      <c r="CP45" s="1" t="s">
        <v>778</v>
      </c>
      <c r="CQ45" s="1" t="s">
        <v>778</v>
      </c>
      <c r="CR45" s="1" t="s">
        <v>778</v>
      </c>
      <c r="DF45" s="1" t="s">
        <v>778</v>
      </c>
    </row>
    <row r="46" spans="1:202" ht="159.5" hidden="1" x14ac:dyDescent="0.35">
      <c r="A46" s="1" t="s">
        <v>776</v>
      </c>
      <c r="B46" s="14" t="s">
        <v>24</v>
      </c>
      <c r="C46" s="1" t="str" cm="1">
        <f t="array" ref="C46">GetURL(B46)</f>
        <v>https://explore-education-statistics.service.gov.uk/find-statistics/apprenticeships-and-traineeships</v>
      </c>
      <c r="D46" s="1" t="s">
        <v>2589</v>
      </c>
      <c r="E46" s="1" t="s">
        <v>819</v>
      </c>
      <c r="F46" s="1" t="s">
        <v>778</v>
      </c>
      <c r="G46" s="1" t="s">
        <v>778</v>
      </c>
      <c r="H46" s="1" t="s">
        <v>778</v>
      </c>
      <c r="I46" s="1" t="s">
        <v>778</v>
      </c>
      <c r="J46" s="1" t="s">
        <v>778</v>
      </c>
      <c r="EJ46" s="1" t="s">
        <v>778</v>
      </c>
      <c r="EK46" s="1" t="s">
        <v>778</v>
      </c>
      <c r="EL46" s="1" t="s">
        <v>778</v>
      </c>
      <c r="EM46" s="1" t="s">
        <v>778</v>
      </c>
      <c r="GJ46" s="1" t="s">
        <v>778</v>
      </c>
      <c r="GK46" s="1" t="s">
        <v>778</v>
      </c>
      <c r="GL46" s="1" t="s">
        <v>778</v>
      </c>
      <c r="GM46" s="1" t="s">
        <v>778</v>
      </c>
      <c r="GN46" s="1" t="s">
        <v>778</v>
      </c>
      <c r="GO46" s="1" t="s">
        <v>778</v>
      </c>
      <c r="GP46" s="1" t="s">
        <v>778</v>
      </c>
    </row>
    <row r="47" spans="1:202" ht="159.5" hidden="1" x14ac:dyDescent="0.35">
      <c r="A47" s="1" t="s">
        <v>776</v>
      </c>
      <c r="B47" s="14" t="s">
        <v>820</v>
      </c>
      <c r="C47" s="1" t="str" cm="1">
        <f t="array" ref="C47">GetURL(B47)</f>
        <v>https://explore-education-statistics.service.gov.uk/find-statistics/further-education-and-skills</v>
      </c>
      <c r="D47" s="1" t="s">
        <v>2590</v>
      </c>
      <c r="E47" s="1" t="s">
        <v>821</v>
      </c>
      <c r="F47" s="1" t="s">
        <v>778</v>
      </c>
      <c r="G47" s="1" t="s">
        <v>778</v>
      </c>
      <c r="H47" s="1" t="s">
        <v>778</v>
      </c>
      <c r="I47" s="1" t="s">
        <v>778</v>
      </c>
      <c r="J47" s="1" t="s">
        <v>778</v>
      </c>
      <c r="AY47" s="1" t="s">
        <v>778</v>
      </c>
      <c r="BE47" s="1" t="s">
        <v>778</v>
      </c>
      <c r="CB47" s="1" t="s">
        <v>778</v>
      </c>
      <c r="CC47" s="1" t="s">
        <v>778</v>
      </c>
      <c r="CD47" s="1" t="s">
        <v>778</v>
      </c>
      <c r="CE47" s="1" t="s">
        <v>778</v>
      </c>
      <c r="CF47" s="1" t="s">
        <v>778</v>
      </c>
      <c r="CG47" s="1" t="s">
        <v>778</v>
      </c>
      <c r="GS47" s="1" t="s">
        <v>778</v>
      </c>
      <c r="GT47" s="1" t="s">
        <v>778</v>
      </c>
    </row>
    <row r="48" spans="1:202" ht="159.5" hidden="1" x14ac:dyDescent="0.35">
      <c r="A48" s="1" t="s">
        <v>776</v>
      </c>
      <c r="B48" s="14" t="s">
        <v>820</v>
      </c>
      <c r="C48" s="1" t="str" cm="1">
        <f t="array" ref="C48">GetURL(B48)</f>
        <v>https://explore-education-statistics.service.gov.uk/find-statistics/further-education-and-skills</v>
      </c>
      <c r="D48" s="1" t="s">
        <v>2590</v>
      </c>
      <c r="E48" s="1" t="s">
        <v>822</v>
      </c>
      <c r="F48" s="1" t="s">
        <v>778</v>
      </c>
      <c r="G48" s="1" t="s">
        <v>778</v>
      </c>
      <c r="H48" s="1" t="s">
        <v>778</v>
      </c>
      <c r="I48" s="1" t="s">
        <v>778</v>
      </c>
      <c r="J48" s="1" t="s">
        <v>778</v>
      </c>
      <c r="AY48" s="1" t="s">
        <v>778</v>
      </c>
      <c r="AZ48" s="1" t="s">
        <v>778</v>
      </c>
      <c r="BN48" s="1" t="s">
        <v>778</v>
      </c>
      <c r="BT48" s="1" t="s">
        <v>778</v>
      </c>
      <c r="BU48" s="1" t="s">
        <v>778</v>
      </c>
      <c r="CB48" s="1" t="s">
        <v>778</v>
      </c>
      <c r="CC48" s="1" t="s">
        <v>778</v>
      </c>
      <c r="CD48" s="1" t="s">
        <v>778</v>
      </c>
      <c r="CE48" s="1" t="s">
        <v>778</v>
      </c>
      <c r="CF48" s="1" t="s">
        <v>778</v>
      </c>
      <c r="CG48" s="1" t="s">
        <v>778</v>
      </c>
      <c r="GS48" s="1" t="s">
        <v>778</v>
      </c>
    </row>
    <row r="49" spans="1:603" ht="159.5" hidden="1" x14ac:dyDescent="0.35">
      <c r="A49" s="1" t="s">
        <v>776</v>
      </c>
      <c r="B49" s="14" t="s">
        <v>820</v>
      </c>
      <c r="C49" s="1" t="str" cm="1">
        <f t="array" ref="C49">GetURL(B49)</f>
        <v>https://explore-education-statistics.service.gov.uk/find-statistics/further-education-and-skills</v>
      </c>
      <c r="D49" s="1" t="s">
        <v>2590</v>
      </c>
      <c r="E49" s="1" t="s">
        <v>823</v>
      </c>
      <c r="F49" s="1" t="s">
        <v>778</v>
      </c>
      <c r="G49" s="1" t="s">
        <v>778</v>
      </c>
      <c r="H49" s="1" t="s">
        <v>778</v>
      </c>
      <c r="I49" s="1" t="s">
        <v>778</v>
      </c>
      <c r="AY49" s="1" t="s">
        <v>778</v>
      </c>
      <c r="BE49" s="1" t="s">
        <v>778</v>
      </c>
      <c r="BP49" s="1" t="s">
        <v>778</v>
      </c>
      <c r="CB49" s="1" t="s">
        <v>778</v>
      </c>
      <c r="CC49" s="1" t="s">
        <v>778</v>
      </c>
      <c r="CD49" s="1" t="s">
        <v>778</v>
      </c>
      <c r="CE49" s="1" t="s">
        <v>778</v>
      </c>
      <c r="CF49" s="1" t="s">
        <v>778</v>
      </c>
      <c r="CG49" s="1" t="s">
        <v>778</v>
      </c>
      <c r="GS49" s="1" t="s">
        <v>778</v>
      </c>
      <c r="GT49" s="1" t="s">
        <v>778</v>
      </c>
    </row>
    <row r="50" spans="1:603" ht="159.5" hidden="1" x14ac:dyDescent="0.35">
      <c r="A50" s="1" t="s">
        <v>776</v>
      </c>
      <c r="B50" s="14" t="s">
        <v>820</v>
      </c>
      <c r="C50" s="1" t="str" cm="1">
        <f t="array" ref="C50">GetURL(B50)</f>
        <v>https://explore-education-statistics.service.gov.uk/find-statistics/further-education-and-skills</v>
      </c>
      <c r="D50" s="1" t="s">
        <v>2590</v>
      </c>
      <c r="E50" s="1" t="s">
        <v>824</v>
      </c>
      <c r="F50" s="1" t="s">
        <v>778</v>
      </c>
      <c r="G50" s="1" t="s">
        <v>778</v>
      </c>
      <c r="H50" s="1" t="s">
        <v>778</v>
      </c>
      <c r="I50" s="1" t="s">
        <v>778</v>
      </c>
      <c r="J50" s="1" t="s">
        <v>778</v>
      </c>
      <c r="BE50" s="1" t="s">
        <v>778</v>
      </c>
      <c r="CB50" s="1" t="s">
        <v>778</v>
      </c>
      <c r="CC50" s="1" t="s">
        <v>778</v>
      </c>
      <c r="CD50" s="1" t="s">
        <v>778</v>
      </c>
      <c r="CE50" s="1" t="s">
        <v>778</v>
      </c>
      <c r="CF50" s="1" t="s">
        <v>778</v>
      </c>
      <c r="CG50" s="1" t="s">
        <v>778</v>
      </c>
      <c r="FG50" s="1" t="s">
        <v>778</v>
      </c>
      <c r="GS50" s="1" t="s">
        <v>778</v>
      </c>
      <c r="GT50" s="1" t="s">
        <v>778</v>
      </c>
    </row>
    <row r="51" spans="1:603" ht="159.5" hidden="1" x14ac:dyDescent="0.35">
      <c r="A51" s="1" t="s">
        <v>776</v>
      </c>
      <c r="B51" s="14" t="s">
        <v>820</v>
      </c>
      <c r="C51" s="1" t="str" cm="1">
        <f t="array" ref="C51">GetURL(B51)</f>
        <v>https://explore-education-statistics.service.gov.uk/find-statistics/further-education-and-skills</v>
      </c>
      <c r="D51" s="1" t="s">
        <v>2590</v>
      </c>
      <c r="E51" s="1" t="s">
        <v>825</v>
      </c>
      <c r="F51" s="1" t="s">
        <v>778</v>
      </c>
      <c r="G51" s="1" t="s">
        <v>778</v>
      </c>
      <c r="H51" s="1" t="s">
        <v>778</v>
      </c>
      <c r="I51" s="1" t="s">
        <v>778</v>
      </c>
      <c r="J51" s="1" t="s">
        <v>778</v>
      </c>
      <c r="AY51" s="1" t="s">
        <v>778</v>
      </c>
      <c r="BE51" s="1" t="s">
        <v>778</v>
      </c>
      <c r="CB51" s="1" t="s">
        <v>778</v>
      </c>
      <c r="CC51" s="1" t="s">
        <v>778</v>
      </c>
      <c r="CD51" s="1" t="s">
        <v>778</v>
      </c>
      <c r="CE51" s="1" t="s">
        <v>778</v>
      </c>
      <c r="CF51" s="1" t="s">
        <v>778</v>
      </c>
      <c r="CG51" s="1" t="s">
        <v>778</v>
      </c>
      <c r="FH51" s="1" t="s">
        <v>778</v>
      </c>
      <c r="GS51" s="1" t="s">
        <v>778</v>
      </c>
      <c r="GT51" s="1" t="s">
        <v>778</v>
      </c>
    </row>
    <row r="52" spans="1:603" ht="159.5" hidden="1" x14ac:dyDescent="0.35">
      <c r="A52" s="1" t="s">
        <v>776</v>
      </c>
      <c r="B52" s="14" t="s">
        <v>820</v>
      </c>
      <c r="C52" s="1" t="str" cm="1">
        <f t="array" ref="C52">GetURL(B52)</f>
        <v>https://explore-education-statistics.service.gov.uk/find-statistics/further-education-and-skills</v>
      </c>
      <c r="D52" s="1" t="s">
        <v>2590</v>
      </c>
      <c r="E52" s="1" t="s">
        <v>826</v>
      </c>
      <c r="F52" s="1" t="s">
        <v>778</v>
      </c>
      <c r="G52" s="1" t="s">
        <v>778</v>
      </c>
      <c r="H52" s="1" t="s">
        <v>778</v>
      </c>
      <c r="I52" s="1" t="s">
        <v>778</v>
      </c>
      <c r="J52" s="1" t="s">
        <v>778</v>
      </c>
      <c r="AL52" s="1" t="s">
        <v>778</v>
      </c>
      <c r="AY52" s="1" t="s">
        <v>778</v>
      </c>
      <c r="BE52" s="1" t="s">
        <v>778</v>
      </c>
      <c r="CB52" s="1" t="s">
        <v>778</v>
      </c>
      <c r="CC52" s="1" t="s">
        <v>778</v>
      </c>
      <c r="CD52" s="1" t="s">
        <v>778</v>
      </c>
      <c r="CE52" s="1" t="s">
        <v>778</v>
      </c>
      <c r="CF52" s="1" t="s">
        <v>778</v>
      </c>
      <c r="CG52" s="1" t="s">
        <v>778</v>
      </c>
      <c r="GT52" s="1" t="s">
        <v>778</v>
      </c>
      <c r="GW52" s="1" t="s">
        <v>778</v>
      </c>
    </row>
    <row r="53" spans="1:603" ht="159.5" hidden="1" x14ac:dyDescent="0.35">
      <c r="A53" s="1" t="s">
        <v>776</v>
      </c>
      <c r="B53" s="14" t="s">
        <v>820</v>
      </c>
      <c r="C53" s="1" t="str" cm="1">
        <f t="array" ref="C53">GetURL(B53)</f>
        <v>https://explore-education-statistics.service.gov.uk/find-statistics/further-education-and-skills</v>
      </c>
      <c r="D53" s="1" t="s">
        <v>2590</v>
      </c>
      <c r="E53" s="3" t="s">
        <v>827</v>
      </c>
      <c r="F53" s="1" t="s">
        <v>778</v>
      </c>
      <c r="G53" s="1" t="s">
        <v>778</v>
      </c>
      <c r="H53" s="1" t="s">
        <v>778</v>
      </c>
      <c r="I53" s="1" t="s">
        <v>778</v>
      </c>
      <c r="J53" s="1" t="s">
        <v>778</v>
      </c>
      <c r="AG53" s="1" t="s">
        <v>778</v>
      </c>
      <c r="AJ53" s="1" t="s">
        <v>778</v>
      </c>
      <c r="AY53" s="1" t="s">
        <v>778</v>
      </c>
      <c r="BE53" s="1" t="s">
        <v>778</v>
      </c>
      <c r="CB53" s="1" t="s">
        <v>778</v>
      </c>
      <c r="CC53" s="1" t="s">
        <v>778</v>
      </c>
      <c r="CD53" s="1" t="s">
        <v>778</v>
      </c>
      <c r="CE53" s="1" t="s">
        <v>778</v>
      </c>
      <c r="CF53" s="1" t="s">
        <v>778</v>
      </c>
      <c r="CG53" s="1" t="s">
        <v>778</v>
      </c>
      <c r="GS53" s="1" t="s">
        <v>778</v>
      </c>
    </row>
    <row r="54" spans="1:603" ht="159.5" hidden="1" x14ac:dyDescent="0.35">
      <c r="A54" s="1" t="s">
        <v>776</v>
      </c>
      <c r="B54" s="14" t="s">
        <v>820</v>
      </c>
      <c r="C54" s="1" t="str" cm="1">
        <f t="array" ref="C54">GetURL(B54)</f>
        <v>https://explore-education-statistics.service.gov.uk/find-statistics/further-education-and-skills</v>
      </c>
      <c r="D54" s="1" t="s">
        <v>2590</v>
      </c>
      <c r="E54" s="1" t="s">
        <v>828</v>
      </c>
      <c r="F54" s="1" t="s">
        <v>778</v>
      </c>
      <c r="G54" s="1" t="s">
        <v>778</v>
      </c>
      <c r="H54" s="1" t="s">
        <v>778</v>
      </c>
      <c r="I54" s="1" t="s">
        <v>778</v>
      </c>
      <c r="J54" s="1" t="s">
        <v>778</v>
      </c>
      <c r="K54" s="1" t="s">
        <v>778</v>
      </c>
      <c r="L54" s="1" t="s">
        <v>778</v>
      </c>
      <c r="AF54" s="1" t="s">
        <v>778</v>
      </c>
      <c r="AH54" s="1" t="s">
        <v>778</v>
      </c>
      <c r="BG54" s="1" t="s">
        <v>778</v>
      </c>
      <c r="FG54" s="1" t="s">
        <v>778</v>
      </c>
      <c r="GT54" s="1" t="s">
        <v>778</v>
      </c>
      <c r="HA54" s="1" t="s">
        <v>778</v>
      </c>
      <c r="HB54" s="1" t="s">
        <v>778</v>
      </c>
      <c r="HC54" s="1" t="s">
        <v>778</v>
      </c>
    </row>
    <row r="55" spans="1:603" ht="159.5" hidden="1" x14ac:dyDescent="0.35">
      <c r="A55" s="1" t="s">
        <v>776</v>
      </c>
      <c r="B55" s="14" t="s">
        <v>820</v>
      </c>
      <c r="C55" s="1" t="str" cm="1">
        <f t="array" ref="C55">GetURL(B55)</f>
        <v>https://explore-education-statistics.service.gov.uk/find-statistics/further-education-and-skills</v>
      </c>
      <c r="D55" s="1" t="s">
        <v>2590</v>
      </c>
      <c r="E55" s="1" t="s">
        <v>829</v>
      </c>
      <c r="F55" s="1" t="s">
        <v>778</v>
      </c>
      <c r="G55" s="1" t="s">
        <v>778</v>
      </c>
      <c r="H55" s="1" t="s">
        <v>778</v>
      </c>
      <c r="I55" s="1" t="s">
        <v>778</v>
      </c>
      <c r="J55" s="1" t="s">
        <v>778</v>
      </c>
      <c r="AM55" s="1" t="s">
        <v>778</v>
      </c>
      <c r="AN55" s="1" t="s">
        <v>778</v>
      </c>
      <c r="AU55" s="1" t="s">
        <v>778</v>
      </c>
      <c r="ER55" s="1" t="s">
        <v>778</v>
      </c>
    </row>
    <row r="56" spans="1:603" ht="159.5" hidden="1" x14ac:dyDescent="0.35">
      <c r="A56" s="1" t="s">
        <v>776</v>
      </c>
      <c r="B56" s="14" t="s">
        <v>820</v>
      </c>
      <c r="C56" s="1" t="str" cm="1">
        <f t="array" ref="C56">GetURL(B56)</f>
        <v>https://explore-education-statistics.service.gov.uk/find-statistics/further-education-and-skills</v>
      </c>
      <c r="D56" s="1" t="s">
        <v>2590</v>
      </c>
      <c r="E56" s="1" t="s">
        <v>830</v>
      </c>
      <c r="F56" s="1" t="s">
        <v>778</v>
      </c>
      <c r="G56" s="1" t="s">
        <v>778</v>
      </c>
      <c r="H56" s="1" t="s">
        <v>778</v>
      </c>
      <c r="I56" s="1" t="s">
        <v>778</v>
      </c>
      <c r="J56" s="1" t="s">
        <v>778</v>
      </c>
      <c r="HD56" s="1" t="s">
        <v>778</v>
      </c>
      <c r="HE56" s="1" t="s">
        <v>778</v>
      </c>
      <c r="HF56" s="1" t="s">
        <v>778</v>
      </c>
      <c r="HG56" s="1" t="s">
        <v>778</v>
      </c>
      <c r="HH56" s="1" t="s">
        <v>778</v>
      </c>
      <c r="HI56" s="1" t="s">
        <v>778</v>
      </c>
      <c r="HJ56" s="1" t="s">
        <v>778</v>
      </c>
      <c r="HL56" s="1" t="s">
        <v>778</v>
      </c>
      <c r="HM56" s="1" t="s">
        <v>778</v>
      </c>
      <c r="HN56" s="1" t="s">
        <v>778</v>
      </c>
      <c r="HO56" s="1" t="s">
        <v>778</v>
      </c>
      <c r="HP56" s="1" t="s">
        <v>778</v>
      </c>
      <c r="HQ56" s="1" t="s">
        <v>778</v>
      </c>
      <c r="HR56" s="1" t="s">
        <v>778</v>
      </c>
      <c r="HS56" s="1" t="s">
        <v>778</v>
      </c>
      <c r="HU56" s="1" t="s">
        <v>778</v>
      </c>
    </row>
    <row r="57" spans="1:603" ht="159.5" hidden="1" x14ac:dyDescent="0.35">
      <c r="A57" s="1" t="s">
        <v>776</v>
      </c>
      <c r="B57" s="14" t="s">
        <v>820</v>
      </c>
      <c r="C57" s="1" t="str" cm="1">
        <f t="array" ref="C57">GetURL(B57)</f>
        <v>https://explore-education-statistics.service.gov.uk/find-statistics/further-education-and-skills</v>
      </c>
      <c r="D57" s="1" t="s">
        <v>2590</v>
      </c>
      <c r="E57" s="1" t="s">
        <v>831</v>
      </c>
      <c r="F57" s="1" t="s">
        <v>778</v>
      </c>
      <c r="G57" s="1" t="s">
        <v>778</v>
      </c>
      <c r="H57" s="1" t="s">
        <v>778</v>
      </c>
      <c r="I57" s="1" t="s">
        <v>778</v>
      </c>
      <c r="J57" s="1" t="s">
        <v>778</v>
      </c>
      <c r="HD57" s="1" t="s">
        <v>778</v>
      </c>
      <c r="HE57" s="1" t="s">
        <v>778</v>
      </c>
      <c r="HF57" s="1" t="s">
        <v>778</v>
      </c>
      <c r="HG57" s="1" t="s">
        <v>778</v>
      </c>
      <c r="HH57" s="1" t="s">
        <v>778</v>
      </c>
      <c r="HI57" s="1" t="s">
        <v>778</v>
      </c>
      <c r="HJ57" s="1" t="s">
        <v>778</v>
      </c>
      <c r="HL57" s="1" t="s">
        <v>778</v>
      </c>
    </row>
    <row r="58" spans="1:603" ht="159.5" hidden="1" x14ac:dyDescent="0.35">
      <c r="A58" s="1" t="s">
        <v>776</v>
      </c>
      <c r="B58" s="14" t="s">
        <v>820</v>
      </c>
      <c r="C58" s="1" t="str" cm="1">
        <f t="array" ref="C58">GetURL(B58)</f>
        <v>https://explore-education-statistics.service.gov.uk/find-statistics/further-education-and-skills</v>
      </c>
      <c r="D58" s="1" t="s">
        <v>2590</v>
      </c>
      <c r="E58" s="1" t="s">
        <v>832</v>
      </c>
      <c r="F58" s="1" t="s">
        <v>778</v>
      </c>
      <c r="G58" s="1" t="s">
        <v>778</v>
      </c>
      <c r="H58" s="1" t="s">
        <v>778</v>
      </c>
      <c r="I58" s="1" t="s">
        <v>778</v>
      </c>
      <c r="J58" s="1" t="s">
        <v>778</v>
      </c>
      <c r="AL58" s="1" t="s">
        <v>778</v>
      </c>
      <c r="AS58" s="1" t="s">
        <v>778</v>
      </c>
      <c r="BI58" s="1" t="s">
        <v>778</v>
      </c>
      <c r="DO58" s="1" t="s">
        <v>778</v>
      </c>
      <c r="DP58" s="1" t="s">
        <v>778</v>
      </c>
      <c r="DX58" s="1" t="s">
        <v>778</v>
      </c>
      <c r="DY58" s="1" t="s">
        <v>778</v>
      </c>
      <c r="DZ58" s="1" t="s">
        <v>778</v>
      </c>
      <c r="EA58" s="1" t="s">
        <v>778</v>
      </c>
      <c r="HV58" s="1" t="s">
        <v>778</v>
      </c>
      <c r="WE58" s="1" t="s">
        <v>778</v>
      </c>
    </row>
    <row r="59" spans="1:603" ht="159.5" hidden="1" x14ac:dyDescent="0.35">
      <c r="A59" s="1" t="s">
        <v>776</v>
      </c>
      <c r="B59" s="14" t="s">
        <v>820</v>
      </c>
      <c r="C59" s="1" t="str" cm="1">
        <f t="array" ref="C59">GetURL(B59)</f>
        <v>https://explore-education-statistics.service.gov.uk/find-statistics/further-education-and-skills</v>
      </c>
      <c r="D59" s="1" t="s">
        <v>2590</v>
      </c>
      <c r="E59" s="1" t="s">
        <v>833</v>
      </c>
      <c r="F59" s="1" t="s">
        <v>778</v>
      </c>
      <c r="G59" s="1" t="s">
        <v>778</v>
      </c>
      <c r="H59" s="1" t="s">
        <v>778</v>
      </c>
      <c r="I59" s="1" t="s">
        <v>778</v>
      </c>
      <c r="J59" s="1" t="s">
        <v>778</v>
      </c>
      <c r="K59" s="1" t="s">
        <v>778</v>
      </c>
      <c r="L59" s="1" t="s">
        <v>778</v>
      </c>
      <c r="O59" s="1" t="s">
        <v>778</v>
      </c>
      <c r="Q59" s="1" t="s">
        <v>778</v>
      </c>
      <c r="R59" s="1" t="s">
        <v>778</v>
      </c>
      <c r="S59" s="1" t="s">
        <v>778</v>
      </c>
      <c r="AS59" s="1" t="s">
        <v>778</v>
      </c>
      <c r="BJ59" s="1" t="s">
        <v>778</v>
      </c>
      <c r="DG59" s="1" t="s">
        <v>778</v>
      </c>
      <c r="DQ59" s="1" t="s">
        <v>778</v>
      </c>
    </row>
    <row r="60" spans="1:603" ht="159.5" hidden="1" x14ac:dyDescent="0.35">
      <c r="A60" s="1" t="s">
        <v>776</v>
      </c>
      <c r="B60" s="14" t="s">
        <v>820</v>
      </c>
      <c r="C60" s="1" t="str" cm="1">
        <f t="array" ref="C60">GetURL(B60)</f>
        <v>https://explore-education-statistics.service.gov.uk/find-statistics/further-education-and-skills</v>
      </c>
      <c r="D60" s="1" t="s">
        <v>2590</v>
      </c>
      <c r="E60" s="1" t="s">
        <v>834</v>
      </c>
      <c r="F60" s="1" t="s">
        <v>778</v>
      </c>
      <c r="G60" s="1" t="s">
        <v>778</v>
      </c>
      <c r="H60" s="1" t="s">
        <v>778</v>
      </c>
      <c r="I60" s="1" t="s">
        <v>778</v>
      </c>
      <c r="J60" s="1" t="s">
        <v>778</v>
      </c>
      <c r="K60" s="1" t="s">
        <v>778</v>
      </c>
      <c r="L60" s="1" t="s">
        <v>778</v>
      </c>
      <c r="O60" s="1" t="s">
        <v>778</v>
      </c>
      <c r="P60" s="1" t="s">
        <v>778</v>
      </c>
      <c r="AX60" s="1" t="s">
        <v>778</v>
      </c>
      <c r="AZ60" s="1" t="s">
        <v>778</v>
      </c>
      <c r="BU60" s="1" t="s">
        <v>778</v>
      </c>
      <c r="HM60" s="1" t="s">
        <v>778</v>
      </c>
      <c r="HW60" s="1" t="s">
        <v>778</v>
      </c>
      <c r="HX60" s="1" t="s">
        <v>778</v>
      </c>
      <c r="HY60" s="1" t="s">
        <v>778</v>
      </c>
      <c r="HZ60" s="1" t="s">
        <v>778</v>
      </c>
      <c r="IA60" s="1" t="s">
        <v>778</v>
      </c>
      <c r="IB60" s="1" t="s">
        <v>778</v>
      </c>
      <c r="IC60" s="1" t="s">
        <v>778</v>
      </c>
      <c r="ID60" s="1" t="s">
        <v>778</v>
      </c>
      <c r="IE60" s="1" t="s">
        <v>778</v>
      </c>
    </row>
    <row r="61" spans="1:603" ht="159.5" hidden="1" x14ac:dyDescent="0.35">
      <c r="A61" s="1" t="s">
        <v>776</v>
      </c>
      <c r="B61" s="14" t="s">
        <v>820</v>
      </c>
      <c r="C61" s="1" t="str" cm="1">
        <f t="array" ref="C61">GetURL(B61)</f>
        <v>https://explore-education-statistics.service.gov.uk/find-statistics/further-education-and-skills</v>
      </c>
      <c r="D61" s="1" t="s">
        <v>2590</v>
      </c>
      <c r="E61" s="1" t="s">
        <v>835</v>
      </c>
      <c r="F61" s="1" t="s">
        <v>778</v>
      </c>
      <c r="G61" s="1" t="s">
        <v>778</v>
      </c>
      <c r="H61" s="1" t="s">
        <v>778</v>
      </c>
      <c r="I61" s="1" t="s">
        <v>778</v>
      </c>
      <c r="J61" s="1" t="s">
        <v>778</v>
      </c>
      <c r="AX61" s="1" t="s">
        <v>778</v>
      </c>
      <c r="AZ61" s="1" t="s">
        <v>778</v>
      </c>
      <c r="BL61" s="1" t="s">
        <v>778</v>
      </c>
      <c r="BM61" s="1" t="s">
        <v>778</v>
      </c>
      <c r="BT61" s="1" t="s">
        <v>778</v>
      </c>
      <c r="HM61" s="1" t="s">
        <v>778</v>
      </c>
      <c r="HW61" s="1" t="s">
        <v>778</v>
      </c>
      <c r="HX61" s="1" t="s">
        <v>778</v>
      </c>
      <c r="HY61" s="1" t="s">
        <v>778</v>
      </c>
      <c r="HZ61" s="1" t="s">
        <v>778</v>
      </c>
      <c r="IA61" s="1" t="s">
        <v>778</v>
      </c>
      <c r="IB61" s="1" t="s">
        <v>778</v>
      </c>
      <c r="IC61" s="1" t="s">
        <v>778</v>
      </c>
      <c r="ID61" s="1" t="s">
        <v>778</v>
      </c>
      <c r="IE61" s="1" t="s">
        <v>778</v>
      </c>
    </row>
    <row r="62" spans="1:603" ht="159.5" hidden="1" x14ac:dyDescent="0.35">
      <c r="A62" s="1" t="s">
        <v>776</v>
      </c>
      <c r="B62" s="14" t="s">
        <v>820</v>
      </c>
      <c r="C62" s="1" t="str" cm="1">
        <f t="array" ref="C62">GetURL(B62)</f>
        <v>https://explore-education-statistics.service.gov.uk/find-statistics/further-education-and-skills</v>
      </c>
      <c r="D62" s="1" t="s">
        <v>2590</v>
      </c>
      <c r="E62" s="1" t="s">
        <v>836</v>
      </c>
      <c r="F62" s="1" t="s">
        <v>778</v>
      </c>
      <c r="G62" s="1" t="s">
        <v>778</v>
      </c>
      <c r="H62" s="1" t="s">
        <v>778</v>
      </c>
      <c r="I62" s="1" t="s">
        <v>778</v>
      </c>
      <c r="J62" s="1" t="s">
        <v>778</v>
      </c>
      <c r="AX62" s="1" t="s">
        <v>778</v>
      </c>
      <c r="BU62" s="1" t="s">
        <v>778</v>
      </c>
      <c r="BV62" s="1" t="s">
        <v>778</v>
      </c>
      <c r="HM62" s="1" t="s">
        <v>778</v>
      </c>
      <c r="HW62" s="1" t="s">
        <v>778</v>
      </c>
      <c r="HX62" s="1" t="s">
        <v>778</v>
      </c>
      <c r="HY62" s="1" t="s">
        <v>778</v>
      </c>
      <c r="HZ62" s="1" t="s">
        <v>778</v>
      </c>
      <c r="IA62" s="1" t="s">
        <v>778</v>
      </c>
      <c r="IB62" s="1" t="s">
        <v>778</v>
      </c>
      <c r="IC62" s="1" t="s">
        <v>778</v>
      </c>
      <c r="ID62" s="1" t="s">
        <v>778</v>
      </c>
      <c r="IE62" s="1" t="s">
        <v>778</v>
      </c>
    </row>
    <row r="63" spans="1:603" ht="159.5" hidden="1" x14ac:dyDescent="0.35">
      <c r="A63" s="1" t="s">
        <v>776</v>
      </c>
      <c r="B63" s="14" t="s">
        <v>820</v>
      </c>
      <c r="C63" s="1" t="str" cm="1">
        <f t="array" ref="C63">GetURL(B63)</f>
        <v>https://explore-education-statistics.service.gov.uk/find-statistics/further-education-and-skills</v>
      </c>
      <c r="D63" s="1" t="s">
        <v>2590</v>
      </c>
      <c r="E63" s="1" t="s">
        <v>837</v>
      </c>
      <c r="F63" s="1" t="s">
        <v>778</v>
      </c>
      <c r="G63" s="1" t="s">
        <v>778</v>
      </c>
      <c r="H63" s="1" t="s">
        <v>778</v>
      </c>
      <c r="I63" s="1" t="s">
        <v>778</v>
      </c>
      <c r="J63" s="1" t="s">
        <v>778</v>
      </c>
      <c r="HD63" s="1" t="s">
        <v>778</v>
      </c>
      <c r="HM63" s="1" t="s">
        <v>778</v>
      </c>
      <c r="HW63" s="1" t="s">
        <v>778</v>
      </c>
      <c r="HX63" s="1" t="s">
        <v>778</v>
      </c>
      <c r="HY63" s="1" t="s">
        <v>778</v>
      </c>
      <c r="HZ63" s="1" t="s">
        <v>778</v>
      </c>
      <c r="IB63" s="1" t="s">
        <v>778</v>
      </c>
      <c r="IC63" s="1" t="s">
        <v>778</v>
      </c>
      <c r="ID63" s="1" t="s">
        <v>778</v>
      </c>
      <c r="IE63" s="1" t="s">
        <v>778</v>
      </c>
    </row>
    <row r="64" spans="1:603" ht="159.5" hidden="1" x14ac:dyDescent="0.35">
      <c r="A64" s="1" t="s">
        <v>776</v>
      </c>
      <c r="B64" s="14" t="s">
        <v>820</v>
      </c>
      <c r="C64" s="1" t="str" cm="1">
        <f t="array" ref="C64">GetURL(B64)</f>
        <v>https://explore-education-statistics.service.gov.uk/find-statistics/further-education-and-skills</v>
      </c>
      <c r="D64" s="1" t="s">
        <v>2590</v>
      </c>
      <c r="E64" s="1" t="s">
        <v>838</v>
      </c>
      <c r="F64" s="1" t="s">
        <v>778</v>
      </c>
      <c r="G64" s="1" t="s">
        <v>778</v>
      </c>
      <c r="H64" s="1" t="s">
        <v>778</v>
      </c>
      <c r="I64" s="1" t="s">
        <v>778</v>
      </c>
      <c r="J64" s="1" t="s">
        <v>778</v>
      </c>
      <c r="AS64" s="1" t="s">
        <v>778</v>
      </c>
      <c r="AW64" s="1" t="s">
        <v>778</v>
      </c>
      <c r="BP64" s="1" t="s">
        <v>778</v>
      </c>
      <c r="FH64" s="1" t="s">
        <v>778</v>
      </c>
      <c r="FI64" s="1" t="s">
        <v>778</v>
      </c>
      <c r="FJ64" s="1" t="s">
        <v>778</v>
      </c>
      <c r="HD64" s="1" t="s">
        <v>778</v>
      </c>
      <c r="HE64" s="1" t="s">
        <v>778</v>
      </c>
      <c r="HF64" s="1" t="s">
        <v>778</v>
      </c>
      <c r="HG64" s="1" t="s">
        <v>778</v>
      </c>
      <c r="HH64" s="1" t="s">
        <v>778</v>
      </c>
      <c r="HI64" s="1" t="s">
        <v>778</v>
      </c>
      <c r="HJ64" s="1" t="s">
        <v>778</v>
      </c>
      <c r="HK64" s="1" t="s">
        <v>778</v>
      </c>
      <c r="HL64" s="1" t="s">
        <v>778</v>
      </c>
    </row>
    <row r="65" spans="1:258" ht="159.5" hidden="1" x14ac:dyDescent="0.35">
      <c r="A65" s="1" t="s">
        <v>776</v>
      </c>
      <c r="B65" s="14" t="s">
        <v>820</v>
      </c>
      <c r="C65" s="1" t="str" cm="1">
        <f t="array" ref="C65">GetURL(B65)</f>
        <v>https://explore-education-statistics.service.gov.uk/find-statistics/further-education-and-skills</v>
      </c>
      <c r="D65" s="1" t="s">
        <v>2590</v>
      </c>
      <c r="E65" s="1" t="s">
        <v>839</v>
      </c>
      <c r="F65" s="1" t="s">
        <v>778</v>
      </c>
      <c r="G65" s="1" t="s">
        <v>778</v>
      </c>
      <c r="H65" s="1" t="s">
        <v>778</v>
      </c>
      <c r="I65" s="1" t="s">
        <v>778</v>
      </c>
      <c r="J65" s="1" t="s">
        <v>778</v>
      </c>
      <c r="CL65" s="1" t="s">
        <v>778</v>
      </c>
      <c r="CM65" s="1" t="s">
        <v>778</v>
      </c>
      <c r="IF65" s="1" t="s">
        <v>778</v>
      </c>
      <c r="IG65" s="1" t="s">
        <v>778</v>
      </c>
      <c r="IH65" s="1" t="s">
        <v>778</v>
      </c>
      <c r="II65" s="1" t="s">
        <v>778</v>
      </c>
      <c r="IJ65" s="1" t="s">
        <v>778</v>
      </c>
      <c r="IK65" s="1" t="s">
        <v>778</v>
      </c>
    </row>
    <row r="66" spans="1:258" ht="159.5" hidden="1" x14ac:dyDescent="0.35">
      <c r="A66" s="1" t="s">
        <v>776</v>
      </c>
      <c r="B66" s="14" t="s">
        <v>820</v>
      </c>
      <c r="C66" s="1" t="str" cm="1">
        <f t="array" ref="C66">GetURL(B66)</f>
        <v>https://explore-education-statistics.service.gov.uk/find-statistics/further-education-and-skills</v>
      </c>
      <c r="D66" s="1" t="s">
        <v>2590</v>
      </c>
      <c r="E66" s="1" t="s">
        <v>840</v>
      </c>
      <c r="F66" s="1" t="s">
        <v>778</v>
      </c>
      <c r="G66" s="1" t="s">
        <v>778</v>
      </c>
      <c r="H66" s="1" t="s">
        <v>778</v>
      </c>
      <c r="I66" s="1" t="s">
        <v>778</v>
      </c>
      <c r="J66" s="1" t="s">
        <v>778</v>
      </c>
      <c r="K66" s="1" t="s">
        <v>778</v>
      </c>
      <c r="L66" s="1" t="s">
        <v>778</v>
      </c>
      <c r="P66" s="1" t="s">
        <v>778</v>
      </c>
      <c r="Q66" s="1" t="s">
        <v>778</v>
      </c>
      <c r="R66" s="1" t="s">
        <v>778</v>
      </c>
      <c r="S66" s="1" t="s">
        <v>778</v>
      </c>
      <c r="AH66" s="1" t="s">
        <v>778</v>
      </c>
      <c r="AJ66" s="1" t="s">
        <v>778</v>
      </c>
      <c r="BE66" s="1" t="s">
        <v>778</v>
      </c>
      <c r="BF66" s="1" t="s">
        <v>778</v>
      </c>
      <c r="IL66" s="1" t="s">
        <v>778</v>
      </c>
      <c r="IN66" s="1" t="s">
        <v>778</v>
      </c>
      <c r="IO66" s="1" t="s">
        <v>778</v>
      </c>
      <c r="IP66" s="1" t="s">
        <v>778</v>
      </c>
      <c r="IQ66" s="1" t="s">
        <v>778</v>
      </c>
      <c r="IR66" s="1" t="s">
        <v>778</v>
      </c>
    </row>
    <row r="67" spans="1:258" ht="159.5" hidden="1" x14ac:dyDescent="0.35">
      <c r="A67" s="1" t="s">
        <v>776</v>
      </c>
      <c r="B67" s="14" t="s">
        <v>820</v>
      </c>
      <c r="C67" s="1" t="str" cm="1">
        <f t="array" ref="C67">GetURL(B67)</f>
        <v>https://explore-education-statistics.service.gov.uk/find-statistics/further-education-and-skills</v>
      </c>
      <c r="D67" s="1" t="s">
        <v>2590</v>
      </c>
      <c r="E67" s="1" t="s">
        <v>841</v>
      </c>
      <c r="F67" s="1" t="s">
        <v>778</v>
      </c>
      <c r="G67" s="1" t="s">
        <v>778</v>
      </c>
      <c r="H67" s="1" t="s">
        <v>778</v>
      </c>
      <c r="I67" s="1" t="s">
        <v>778</v>
      </c>
      <c r="J67" s="1" t="s">
        <v>778</v>
      </c>
      <c r="K67" s="1" t="s">
        <v>778</v>
      </c>
      <c r="L67" s="1" t="s">
        <v>778</v>
      </c>
      <c r="P67" s="1" t="s">
        <v>778</v>
      </c>
      <c r="Q67" s="1" t="s">
        <v>778</v>
      </c>
      <c r="AB67" s="1" t="s">
        <v>778</v>
      </c>
      <c r="AC67" s="1" t="s">
        <v>778</v>
      </c>
      <c r="AZ67" s="1" t="s">
        <v>778</v>
      </c>
      <c r="BG67" s="1" t="s">
        <v>778</v>
      </c>
      <c r="BU67" s="1" t="s">
        <v>778</v>
      </c>
      <c r="IS67" s="1" t="s">
        <v>778</v>
      </c>
      <c r="IT67" s="1" t="s">
        <v>778</v>
      </c>
      <c r="IU67" s="1" t="s">
        <v>778</v>
      </c>
    </row>
    <row r="68" spans="1:258" ht="159.5" hidden="1" x14ac:dyDescent="0.35">
      <c r="A68" s="1" t="s">
        <v>776</v>
      </c>
      <c r="B68" s="14" t="s">
        <v>820</v>
      </c>
      <c r="C68" s="1" t="str" cm="1">
        <f t="array" ref="C68">GetURL(B68)</f>
        <v>https://explore-education-statistics.service.gov.uk/find-statistics/further-education-and-skills</v>
      </c>
      <c r="D68" s="1" t="s">
        <v>2590</v>
      </c>
      <c r="E68" s="1" t="s">
        <v>842</v>
      </c>
      <c r="F68" s="1" t="s">
        <v>778</v>
      </c>
      <c r="G68" s="1" t="s">
        <v>778</v>
      </c>
      <c r="H68" s="1" t="s">
        <v>778</v>
      </c>
      <c r="I68" s="1" t="s">
        <v>778</v>
      </c>
      <c r="J68" s="1" t="s">
        <v>778</v>
      </c>
      <c r="K68" s="1" t="s">
        <v>778</v>
      </c>
      <c r="L68" s="1" t="s">
        <v>778</v>
      </c>
      <c r="P68" s="1" t="s">
        <v>778</v>
      </c>
      <c r="Q68" s="1" t="s">
        <v>778</v>
      </c>
      <c r="AB68" s="1" t="s">
        <v>778</v>
      </c>
      <c r="AC68" s="1" t="s">
        <v>778</v>
      </c>
      <c r="AW68" s="1" t="s">
        <v>778</v>
      </c>
      <c r="AZ68" s="1" t="s">
        <v>778</v>
      </c>
      <c r="BU68" s="1" t="s">
        <v>778</v>
      </c>
      <c r="HD68" s="1" t="s">
        <v>778</v>
      </c>
      <c r="HE68" s="1" t="s">
        <v>778</v>
      </c>
      <c r="HF68" s="1" t="s">
        <v>778</v>
      </c>
      <c r="HG68" s="1" t="s">
        <v>778</v>
      </c>
      <c r="HH68" s="1" t="s">
        <v>778</v>
      </c>
      <c r="HI68" s="1" t="s">
        <v>778</v>
      </c>
      <c r="HJ68" s="1" t="s">
        <v>778</v>
      </c>
      <c r="HK68" s="1" t="s">
        <v>778</v>
      </c>
      <c r="HL68" s="1" t="s">
        <v>778</v>
      </c>
      <c r="HM68" s="1" t="s">
        <v>778</v>
      </c>
      <c r="HN68" s="1" t="s">
        <v>778</v>
      </c>
      <c r="HO68" s="1" t="s">
        <v>778</v>
      </c>
      <c r="HP68" s="1" t="s">
        <v>778</v>
      </c>
      <c r="HQ68" s="1" t="s">
        <v>778</v>
      </c>
      <c r="HR68" s="1" t="s">
        <v>778</v>
      </c>
      <c r="HS68" s="1" t="s">
        <v>778</v>
      </c>
      <c r="HT68" s="1" t="s">
        <v>778</v>
      </c>
      <c r="HU68" s="1" t="s">
        <v>778</v>
      </c>
    </row>
    <row r="69" spans="1:258" ht="159.5" hidden="1" x14ac:dyDescent="0.35">
      <c r="A69" s="1" t="s">
        <v>776</v>
      </c>
      <c r="B69" s="14" t="s">
        <v>820</v>
      </c>
      <c r="C69" s="1" t="str" cm="1">
        <f t="array" ref="C69">GetURL(B69)</f>
        <v>https://explore-education-statistics.service.gov.uk/find-statistics/further-education-and-skills</v>
      </c>
      <c r="D69" s="1" t="s">
        <v>2590</v>
      </c>
      <c r="E69" s="1" t="s">
        <v>843</v>
      </c>
      <c r="F69" s="1" t="s">
        <v>778</v>
      </c>
      <c r="G69" s="1" t="s">
        <v>778</v>
      </c>
      <c r="H69" s="1" t="s">
        <v>778</v>
      </c>
      <c r="I69" s="1" t="s">
        <v>778</v>
      </c>
      <c r="J69" s="1" t="s">
        <v>778</v>
      </c>
      <c r="K69" s="1" t="s">
        <v>778</v>
      </c>
      <c r="L69" s="1" t="s">
        <v>778</v>
      </c>
      <c r="M69" s="1" t="s">
        <v>778</v>
      </c>
      <c r="N69" s="1" t="s">
        <v>778</v>
      </c>
      <c r="O69" s="1" t="s">
        <v>778</v>
      </c>
      <c r="P69" s="1" t="s">
        <v>778</v>
      </c>
      <c r="Q69" s="1" t="s">
        <v>778</v>
      </c>
      <c r="R69" s="1" t="s">
        <v>778</v>
      </c>
      <c r="S69" s="1" t="s">
        <v>778</v>
      </c>
      <c r="AU69" s="1" t="s">
        <v>778</v>
      </c>
      <c r="DA69" s="1" t="s">
        <v>778</v>
      </c>
      <c r="DC69" s="1" t="s">
        <v>778</v>
      </c>
      <c r="DG69" s="1" t="s">
        <v>778</v>
      </c>
      <c r="DI69" s="1" t="s">
        <v>778</v>
      </c>
      <c r="DQ69" s="1" t="s">
        <v>778</v>
      </c>
      <c r="DW69" s="1" t="s">
        <v>778</v>
      </c>
      <c r="IV69" s="1" t="s">
        <v>778</v>
      </c>
      <c r="IW69" s="1" t="s">
        <v>778</v>
      </c>
    </row>
    <row r="70" spans="1:258" ht="159.5" hidden="1" x14ac:dyDescent="0.35">
      <c r="A70" s="1" t="s">
        <v>776</v>
      </c>
      <c r="B70" s="14" t="s">
        <v>820</v>
      </c>
      <c r="C70" s="1" t="str" cm="1">
        <f t="array" ref="C70">GetURL(B70)</f>
        <v>https://explore-education-statistics.service.gov.uk/find-statistics/further-education-and-skills</v>
      </c>
      <c r="D70" s="1" t="s">
        <v>2590</v>
      </c>
      <c r="E70" s="1" t="s">
        <v>844</v>
      </c>
      <c r="F70" s="1" t="s">
        <v>778</v>
      </c>
      <c r="G70" s="1" t="s">
        <v>778</v>
      </c>
      <c r="H70" s="1" t="s">
        <v>778</v>
      </c>
      <c r="I70" s="1" t="s">
        <v>778</v>
      </c>
      <c r="J70" s="1" t="s">
        <v>778</v>
      </c>
      <c r="HD70" s="1" t="s">
        <v>778</v>
      </c>
      <c r="HE70" s="1" t="s">
        <v>778</v>
      </c>
      <c r="HF70" s="1" t="s">
        <v>778</v>
      </c>
      <c r="HG70" s="1" t="s">
        <v>778</v>
      </c>
      <c r="HH70" s="1" t="s">
        <v>778</v>
      </c>
      <c r="HI70" s="1" t="s">
        <v>778</v>
      </c>
      <c r="HJ70" s="1" t="s">
        <v>778</v>
      </c>
      <c r="HK70" s="1" t="s">
        <v>778</v>
      </c>
      <c r="HL70" s="1" t="s">
        <v>778</v>
      </c>
    </row>
    <row r="71" spans="1:258" ht="159.5" hidden="1" x14ac:dyDescent="0.35">
      <c r="A71" s="1" t="s">
        <v>776</v>
      </c>
      <c r="B71" s="14" t="s">
        <v>820</v>
      </c>
      <c r="C71" s="1" t="str" cm="1">
        <f t="array" ref="C71">GetURL(B71)</f>
        <v>https://explore-education-statistics.service.gov.uk/find-statistics/further-education-and-skills</v>
      </c>
      <c r="D71" s="1" t="s">
        <v>2590</v>
      </c>
      <c r="E71" s="1" t="s">
        <v>845</v>
      </c>
      <c r="F71" s="1" t="s">
        <v>778</v>
      </c>
      <c r="G71" s="1" t="s">
        <v>778</v>
      </c>
      <c r="H71" s="1" t="s">
        <v>778</v>
      </c>
      <c r="I71" s="1" t="s">
        <v>778</v>
      </c>
      <c r="J71" s="1" t="s">
        <v>778</v>
      </c>
      <c r="AL71" s="1" t="s">
        <v>778</v>
      </c>
      <c r="DQ71" s="1" t="s">
        <v>778</v>
      </c>
      <c r="FG71" s="1" t="s">
        <v>778</v>
      </c>
      <c r="IX71" s="1" t="s">
        <v>778</v>
      </c>
    </row>
    <row r="72" spans="1:258" ht="159.5" hidden="1" x14ac:dyDescent="0.35">
      <c r="A72" s="1" t="s">
        <v>776</v>
      </c>
      <c r="B72" s="14" t="s">
        <v>820</v>
      </c>
      <c r="C72" s="1" t="str" cm="1">
        <f t="array" ref="C72">GetURL(B72)</f>
        <v>https://explore-education-statistics.service.gov.uk/find-statistics/further-education-and-skills</v>
      </c>
      <c r="D72" s="1" t="s">
        <v>2590</v>
      </c>
      <c r="E72" s="1" t="s">
        <v>846</v>
      </c>
      <c r="F72" s="1" t="s">
        <v>778</v>
      </c>
      <c r="G72" s="1" t="s">
        <v>778</v>
      </c>
      <c r="H72" s="1" t="s">
        <v>778</v>
      </c>
      <c r="I72" s="1" t="s">
        <v>778</v>
      </c>
      <c r="J72" s="1" t="s">
        <v>778</v>
      </c>
      <c r="K72" s="1" t="s">
        <v>778</v>
      </c>
      <c r="AL72" s="1" t="s">
        <v>778</v>
      </c>
      <c r="DG72" s="1" t="s">
        <v>778</v>
      </c>
      <c r="DM72" s="1" t="s">
        <v>778</v>
      </c>
      <c r="DQ72" s="1" t="s">
        <v>778</v>
      </c>
      <c r="EC72" s="1" t="s">
        <v>778</v>
      </c>
      <c r="FG72" s="1" t="s">
        <v>778</v>
      </c>
      <c r="FJ72" s="1" t="s">
        <v>778</v>
      </c>
    </row>
    <row r="73" spans="1:258" ht="159.5" hidden="1" x14ac:dyDescent="0.35">
      <c r="A73" s="1" t="s">
        <v>776</v>
      </c>
      <c r="B73" s="14" t="s">
        <v>820</v>
      </c>
      <c r="C73" s="1" t="str" cm="1">
        <f t="array" ref="C73">GetURL(B73)</f>
        <v>https://explore-education-statistics.service.gov.uk/find-statistics/further-education-and-skills</v>
      </c>
      <c r="D73" s="1" t="s">
        <v>2590</v>
      </c>
      <c r="E73" s="1" t="s">
        <v>847</v>
      </c>
      <c r="F73" s="1" t="s">
        <v>778</v>
      </c>
      <c r="G73" s="1" t="s">
        <v>778</v>
      </c>
      <c r="H73" s="1" t="s">
        <v>778</v>
      </c>
      <c r="I73" s="1" t="s">
        <v>778</v>
      </c>
      <c r="J73" s="1" t="s">
        <v>778</v>
      </c>
      <c r="AF73" s="1" t="s">
        <v>778</v>
      </c>
      <c r="AP73" s="1" t="s">
        <v>778</v>
      </c>
      <c r="ES73" s="1" t="s">
        <v>778</v>
      </c>
      <c r="ET73" s="1" t="s">
        <v>778</v>
      </c>
      <c r="FA73" s="1" t="s">
        <v>778</v>
      </c>
      <c r="FE73" s="1" t="s">
        <v>778</v>
      </c>
    </row>
    <row r="74" spans="1:258" ht="159.5" hidden="1" x14ac:dyDescent="0.35">
      <c r="A74" s="1" t="s">
        <v>776</v>
      </c>
      <c r="B74" s="14" t="s">
        <v>820</v>
      </c>
      <c r="C74" s="1" t="str" cm="1">
        <f t="array" ref="C74">GetURL(B74)</f>
        <v>https://explore-education-statistics.service.gov.uk/find-statistics/further-education-and-skills</v>
      </c>
      <c r="D74" s="1" t="s">
        <v>2590</v>
      </c>
      <c r="E74" s="1" t="s">
        <v>848</v>
      </c>
      <c r="F74" s="1" t="s">
        <v>778</v>
      </c>
      <c r="G74" s="1" t="s">
        <v>778</v>
      </c>
      <c r="H74" s="1" t="s">
        <v>778</v>
      </c>
      <c r="I74" s="1" t="s">
        <v>778</v>
      </c>
      <c r="J74" s="1" t="s">
        <v>778</v>
      </c>
      <c r="AS74" s="1" t="s">
        <v>778</v>
      </c>
      <c r="AW74" s="1" t="s">
        <v>778</v>
      </c>
      <c r="BL74" s="1" t="s">
        <v>778</v>
      </c>
      <c r="BM74" s="1" t="s">
        <v>778</v>
      </c>
      <c r="BT74" s="1" t="s">
        <v>778</v>
      </c>
      <c r="FJ74" s="1" t="s">
        <v>778</v>
      </c>
      <c r="HD74" s="1" t="s">
        <v>778</v>
      </c>
      <c r="HE74" s="1" t="s">
        <v>778</v>
      </c>
      <c r="HF74" s="1" t="s">
        <v>778</v>
      </c>
      <c r="HG74" s="1" t="s">
        <v>778</v>
      </c>
      <c r="HH74" s="1" t="s">
        <v>778</v>
      </c>
      <c r="HI74" s="1" t="s">
        <v>778</v>
      </c>
      <c r="HJ74" s="1" t="s">
        <v>778</v>
      </c>
      <c r="HK74" s="1" t="s">
        <v>778</v>
      </c>
      <c r="HL74" s="1" t="s">
        <v>778</v>
      </c>
      <c r="HM74" s="1" t="s">
        <v>778</v>
      </c>
      <c r="HN74" s="1" t="s">
        <v>778</v>
      </c>
      <c r="HO74" s="1" t="s">
        <v>778</v>
      </c>
      <c r="HP74" s="1" t="s">
        <v>778</v>
      </c>
      <c r="HQ74" s="1" t="s">
        <v>778</v>
      </c>
      <c r="HR74" s="1" t="s">
        <v>778</v>
      </c>
      <c r="HS74" s="1" t="s">
        <v>778</v>
      </c>
      <c r="HT74" s="1" t="s">
        <v>778</v>
      </c>
      <c r="HU74" s="1" t="s">
        <v>778</v>
      </c>
    </row>
    <row r="75" spans="1:258" ht="159.5" hidden="1" x14ac:dyDescent="0.35">
      <c r="A75" s="1" t="s">
        <v>776</v>
      </c>
      <c r="B75" s="14" t="s">
        <v>820</v>
      </c>
      <c r="C75" s="1" t="str" cm="1">
        <f t="array" ref="C75">GetURL(B75)</f>
        <v>https://explore-education-statistics.service.gov.uk/find-statistics/further-education-and-skills</v>
      </c>
      <c r="D75" s="1" t="s">
        <v>2590</v>
      </c>
      <c r="E75" s="1" t="s">
        <v>849</v>
      </c>
      <c r="F75" s="1" t="s">
        <v>778</v>
      </c>
      <c r="G75" s="1" t="s">
        <v>778</v>
      </c>
      <c r="H75" s="1" t="s">
        <v>778</v>
      </c>
      <c r="I75" s="1" t="s">
        <v>778</v>
      </c>
      <c r="J75" s="1" t="s">
        <v>778</v>
      </c>
      <c r="AW75" s="1" t="s">
        <v>778</v>
      </c>
      <c r="AZ75" s="1" t="s">
        <v>778</v>
      </c>
      <c r="BL75" s="1" t="s">
        <v>778</v>
      </c>
      <c r="BT75" s="1" t="s">
        <v>778</v>
      </c>
      <c r="BU75" s="1" t="s">
        <v>778</v>
      </c>
      <c r="BV75" s="1" t="s">
        <v>778</v>
      </c>
      <c r="FJ75" s="1" t="s">
        <v>778</v>
      </c>
      <c r="HD75" s="1" t="s">
        <v>778</v>
      </c>
      <c r="HE75" s="1" t="s">
        <v>778</v>
      </c>
      <c r="HF75" s="1" t="s">
        <v>778</v>
      </c>
      <c r="HG75" s="1" t="s">
        <v>778</v>
      </c>
      <c r="HH75" s="1" t="s">
        <v>778</v>
      </c>
      <c r="HI75" s="1" t="s">
        <v>778</v>
      </c>
      <c r="HJ75" s="1" t="s">
        <v>778</v>
      </c>
      <c r="HK75" s="1" t="s">
        <v>778</v>
      </c>
      <c r="HL75" s="1" t="s">
        <v>778</v>
      </c>
      <c r="HM75" s="1" t="s">
        <v>778</v>
      </c>
      <c r="HN75" s="1" t="s">
        <v>778</v>
      </c>
      <c r="HO75" s="1" t="s">
        <v>778</v>
      </c>
      <c r="HP75" s="1" t="s">
        <v>778</v>
      </c>
      <c r="HQ75" s="1" t="s">
        <v>778</v>
      </c>
      <c r="HR75" s="1" t="s">
        <v>778</v>
      </c>
      <c r="HS75" s="1" t="s">
        <v>778</v>
      </c>
      <c r="HT75" s="1" t="s">
        <v>778</v>
      </c>
      <c r="HU75" s="1" t="s">
        <v>778</v>
      </c>
    </row>
    <row r="76" spans="1:258" ht="159.5" hidden="1" x14ac:dyDescent="0.35">
      <c r="A76" s="1" t="s">
        <v>776</v>
      </c>
      <c r="B76" s="14" t="s">
        <v>820</v>
      </c>
      <c r="C76" s="1" t="str" cm="1">
        <f t="array" ref="C76">GetURL(B76)</f>
        <v>https://explore-education-statistics.service.gov.uk/find-statistics/further-education-and-skills</v>
      </c>
      <c r="D76" s="1" t="s">
        <v>2590</v>
      </c>
      <c r="E76" s="1" t="s">
        <v>850</v>
      </c>
      <c r="F76" s="1" t="s">
        <v>778</v>
      </c>
      <c r="G76" s="1" t="s">
        <v>778</v>
      </c>
      <c r="H76" s="1" t="s">
        <v>778</v>
      </c>
      <c r="I76" s="1" t="s">
        <v>778</v>
      </c>
      <c r="J76" s="1" t="s">
        <v>778</v>
      </c>
      <c r="AF76" s="1" t="s">
        <v>778</v>
      </c>
      <c r="AP76" s="1" t="s">
        <v>778</v>
      </c>
      <c r="ES76" s="1" t="s">
        <v>778</v>
      </c>
      <c r="ET76" s="1" t="s">
        <v>778</v>
      </c>
      <c r="FA76" s="1" t="s">
        <v>778</v>
      </c>
      <c r="FE76" s="1" t="s">
        <v>778</v>
      </c>
    </row>
    <row r="77" spans="1:258" ht="159.5" hidden="1" x14ac:dyDescent="0.35">
      <c r="A77" s="1" t="s">
        <v>776</v>
      </c>
      <c r="B77" s="14" t="s">
        <v>820</v>
      </c>
      <c r="C77" s="1" t="str" cm="1">
        <f t="array" ref="C77">GetURL(B77)</f>
        <v>https://explore-education-statistics.service.gov.uk/find-statistics/further-education-and-skills</v>
      </c>
      <c r="D77" s="1" t="s">
        <v>2590</v>
      </c>
      <c r="E77" s="1" t="s">
        <v>851</v>
      </c>
      <c r="F77" s="1" t="s">
        <v>778</v>
      </c>
      <c r="G77" s="1" t="s">
        <v>778</v>
      </c>
      <c r="H77" s="1" t="s">
        <v>778</v>
      </c>
      <c r="I77" s="1" t="s">
        <v>778</v>
      </c>
      <c r="J77" s="1" t="s">
        <v>778</v>
      </c>
      <c r="AL77" s="1" t="s">
        <v>778</v>
      </c>
      <c r="BG77" s="1" t="s">
        <v>778</v>
      </c>
      <c r="FH77" s="1" t="s">
        <v>778</v>
      </c>
      <c r="FI77" s="1" t="s">
        <v>778</v>
      </c>
      <c r="GJ77" s="1" t="s">
        <v>778</v>
      </c>
    </row>
    <row r="78" spans="1:258" ht="159.5" hidden="1" x14ac:dyDescent="0.35">
      <c r="A78" s="1" t="s">
        <v>776</v>
      </c>
      <c r="B78" s="14" t="s">
        <v>820</v>
      </c>
      <c r="C78" s="1" t="str" cm="1">
        <f t="array" ref="C78">GetURL(B78)</f>
        <v>https://explore-education-statistics.service.gov.uk/find-statistics/further-education-and-skills</v>
      </c>
      <c r="D78" s="1" t="s">
        <v>2590</v>
      </c>
      <c r="E78" s="1" t="s">
        <v>852</v>
      </c>
      <c r="F78" s="1" t="s">
        <v>778</v>
      </c>
      <c r="G78" s="1" t="s">
        <v>778</v>
      </c>
      <c r="H78" s="1" t="s">
        <v>778</v>
      </c>
      <c r="I78" s="1" t="s">
        <v>778</v>
      </c>
      <c r="J78" s="1" t="s">
        <v>778</v>
      </c>
      <c r="FH78" s="1" t="s">
        <v>778</v>
      </c>
      <c r="FI78" s="1" t="s">
        <v>778</v>
      </c>
      <c r="HD78" s="1" t="s">
        <v>778</v>
      </c>
      <c r="HE78" s="1" t="s">
        <v>778</v>
      </c>
      <c r="HF78" s="1" t="s">
        <v>778</v>
      </c>
      <c r="HG78" s="1" t="s">
        <v>778</v>
      </c>
      <c r="HH78" s="1" t="s">
        <v>778</v>
      </c>
      <c r="HI78" s="1" t="s">
        <v>778</v>
      </c>
      <c r="HJ78" s="1" t="s">
        <v>778</v>
      </c>
      <c r="HK78" s="1" t="s">
        <v>778</v>
      </c>
      <c r="HL78" s="1" t="s">
        <v>778</v>
      </c>
      <c r="HM78" s="1" t="s">
        <v>778</v>
      </c>
      <c r="HN78" s="1" t="s">
        <v>778</v>
      </c>
      <c r="HO78" s="1" t="s">
        <v>778</v>
      </c>
      <c r="HP78" s="1" t="s">
        <v>778</v>
      </c>
      <c r="HQ78" s="1" t="s">
        <v>778</v>
      </c>
      <c r="HR78" s="1" t="s">
        <v>778</v>
      </c>
      <c r="HS78" s="1" t="s">
        <v>778</v>
      </c>
      <c r="HT78" s="1" t="s">
        <v>778</v>
      </c>
      <c r="HU78" s="1" t="s">
        <v>778</v>
      </c>
    </row>
    <row r="79" spans="1:258" ht="159.5" hidden="1" x14ac:dyDescent="0.35">
      <c r="A79" s="1" t="s">
        <v>776</v>
      </c>
      <c r="B79" s="14" t="s">
        <v>820</v>
      </c>
      <c r="C79" s="1" t="str" cm="1">
        <f t="array" ref="C79">GetURL(B79)</f>
        <v>https://explore-education-statistics.service.gov.uk/find-statistics/further-education-and-skills</v>
      </c>
      <c r="D79" s="1" t="s">
        <v>2590</v>
      </c>
      <c r="E79" s="1" t="s">
        <v>853</v>
      </c>
      <c r="F79" s="1" t="s">
        <v>778</v>
      </c>
      <c r="G79" s="1" t="s">
        <v>778</v>
      </c>
      <c r="H79" s="1" t="s">
        <v>778</v>
      </c>
      <c r="I79" s="1" t="s">
        <v>778</v>
      </c>
      <c r="J79" s="1" t="s">
        <v>778</v>
      </c>
      <c r="AW79" s="1" t="s">
        <v>778</v>
      </c>
      <c r="BA79" s="1" t="s">
        <v>778</v>
      </c>
      <c r="BG79" s="1" t="s">
        <v>778</v>
      </c>
      <c r="BH79" s="1" t="s">
        <v>778</v>
      </c>
      <c r="GJ79" s="1" t="s">
        <v>778</v>
      </c>
      <c r="IS79" s="1" t="s">
        <v>778</v>
      </c>
    </row>
    <row r="80" spans="1:258" ht="159.5" hidden="1" x14ac:dyDescent="0.35">
      <c r="A80" s="1" t="s">
        <v>776</v>
      </c>
      <c r="B80" s="14" t="s">
        <v>820</v>
      </c>
      <c r="C80" s="1" t="str" cm="1">
        <f t="array" ref="C80">GetURL(B80)</f>
        <v>https://explore-education-statistics.service.gov.uk/find-statistics/further-education-and-skills</v>
      </c>
      <c r="D80" s="1" t="s">
        <v>2590</v>
      </c>
      <c r="E80" s="1" t="s">
        <v>854</v>
      </c>
      <c r="F80" s="1" t="s">
        <v>778</v>
      </c>
      <c r="G80" s="1" t="s">
        <v>778</v>
      </c>
      <c r="H80" s="1" t="s">
        <v>778</v>
      </c>
      <c r="I80" s="1" t="s">
        <v>778</v>
      </c>
      <c r="J80" s="1" t="s">
        <v>778</v>
      </c>
      <c r="BG80" s="1" t="s">
        <v>778</v>
      </c>
      <c r="DH80" s="1" t="s">
        <v>778</v>
      </c>
      <c r="DN80" s="1" t="s">
        <v>778</v>
      </c>
      <c r="EE80" s="1" t="s">
        <v>778</v>
      </c>
      <c r="EF80" s="1" t="s">
        <v>778</v>
      </c>
    </row>
    <row r="81" spans="1:686" ht="159.5" hidden="1" x14ac:dyDescent="0.35">
      <c r="A81" s="1" t="s">
        <v>776</v>
      </c>
      <c r="B81" s="14" t="s">
        <v>820</v>
      </c>
      <c r="C81" s="1" t="str" cm="1">
        <f t="array" ref="C81">GetURL(B81)</f>
        <v>https://explore-education-statistics.service.gov.uk/find-statistics/further-education-and-skills</v>
      </c>
      <c r="D81" s="1" t="s">
        <v>2590</v>
      </c>
      <c r="E81" s="1" t="s">
        <v>855</v>
      </c>
      <c r="F81" s="1" t="s">
        <v>778</v>
      </c>
      <c r="G81" s="1" t="s">
        <v>778</v>
      </c>
      <c r="H81" s="1" t="s">
        <v>778</v>
      </c>
      <c r="I81" s="1" t="s">
        <v>778</v>
      </c>
      <c r="J81" s="1" t="s">
        <v>778</v>
      </c>
      <c r="EJ81" s="1" t="s">
        <v>778</v>
      </c>
      <c r="EK81" s="1" t="s">
        <v>778</v>
      </c>
      <c r="EL81" s="1" t="s">
        <v>778</v>
      </c>
      <c r="EM81" s="1" t="s">
        <v>778</v>
      </c>
      <c r="GJ81" s="1" t="s">
        <v>778</v>
      </c>
      <c r="GK81" s="1" t="s">
        <v>778</v>
      </c>
      <c r="GL81" s="1" t="s">
        <v>778</v>
      </c>
      <c r="GM81" s="1" t="s">
        <v>778</v>
      </c>
      <c r="GN81" s="1" t="s">
        <v>778</v>
      </c>
      <c r="GO81" s="1" t="s">
        <v>778</v>
      </c>
      <c r="GP81" s="1" t="s">
        <v>778</v>
      </c>
    </row>
    <row r="82" spans="1:686" ht="159.5" hidden="1" x14ac:dyDescent="0.35">
      <c r="A82" s="1" t="s">
        <v>776</v>
      </c>
      <c r="B82" s="14" t="s">
        <v>820</v>
      </c>
      <c r="C82" s="1" t="str" cm="1">
        <f t="array" ref="C82">GetURL(B82)</f>
        <v>https://explore-education-statistics.service.gov.uk/find-statistics/further-education-and-skills</v>
      </c>
      <c r="D82" s="1" t="s">
        <v>2590</v>
      </c>
      <c r="E82" s="1" t="s">
        <v>856</v>
      </c>
      <c r="F82" s="1" t="s">
        <v>778</v>
      </c>
      <c r="G82" s="1" t="s">
        <v>778</v>
      </c>
      <c r="H82" s="1" t="s">
        <v>778</v>
      </c>
      <c r="I82" s="1" t="s">
        <v>778</v>
      </c>
      <c r="J82" s="1" t="s">
        <v>778</v>
      </c>
      <c r="FB82" s="1" t="s">
        <v>778</v>
      </c>
      <c r="FC82" s="1" t="s">
        <v>778</v>
      </c>
      <c r="FD82" s="1" t="s">
        <v>778</v>
      </c>
    </row>
    <row r="83" spans="1:686" ht="159.5" hidden="1" x14ac:dyDescent="0.35">
      <c r="A83" s="1" t="s">
        <v>776</v>
      </c>
      <c r="B83" s="14" t="s">
        <v>48</v>
      </c>
      <c r="C83" s="1" t="str" cm="1">
        <f t="array" ref="C83">GetURL(B83)</f>
        <v>https://explore-education-statistics.service.gov.uk/find-statistics/further-education-skills-index</v>
      </c>
      <c r="D83" s="14" t="s">
        <v>2591</v>
      </c>
      <c r="E83" s="1" t="s">
        <v>857</v>
      </c>
      <c r="F83" s="1" t="s">
        <v>778</v>
      </c>
      <c r="G83" s="1" t="s">
        <v>778</v>
      </c>
      <c r="H83" s="1" t="s">
        <v>778</v>
      </c>
      <c r="I83" s="1" t="s">
        <v>778</v>
      </c>
      <c r="J83" s="1" t="s">
        <v>778</v>
      </c>
      <c r="FJ83" s="1" t="s">
        <v>778</v>
      </c>
      <c r="RF83" s="1" t="s">
        <v>778</v>
      </c>
      <c r="RJ83" s="1" t="s">
        <v>778</v>
      </c>
      <c r="RK83" s="1" t="s">
        <v>778</v>
      </c>
      <c r="RL83" s="1" t="s">
        <v>778</v>
      </c>
      <c r="RM83" s="1" t="s">
        <v>778</v>
      </c>
    </row>
    <row r="84" spans="1:686" ht="159.5" hidden="1" x14ac:dyDescent="0.35">
      <c r="A84" s="1" t="s">
        <v>776</v>
      </c>
      <c r="B84" s="14" t="s">
        <v>48</v>
      </c>
      <c r="C84" s="1" t="str" cm="1">
        <f t="array" ref="C84">GetURL(B84)</f>
        <v>https://explore-education-statistics.service.gov.uk/find-statistics/further-education-skills-index</v>
      </c>
      <c r="D84" s="1" t="s">
        <v>2591</v>
      </c>
      <c r="E84" s="1" t="s">
        <v>858</v>
      </c>
      <c r="F84" s="1" t="s">
        <v>778</v>
      </c>
      <c r="G84" s="1" t="s">
        <v>778</v>
      </c>
      <c r="H84" s="1" t="s">
        <v>778</v>
      </c>
      <c r="I84" s="1" t="s">
        <v>778</v>
      </c>
      <c r="J84" s="1" t="s">
        <v>778</v>
      </c>
      <c r="AL84" s="1" t="s">
        <v>778</v>
      </c>
      <c r="BD84" s="1" t="s">
        <v>778</v>
      </c>
      <c r="CD84" s="1">
        <v>1</v>
      </c>
      <c r="FJ84" s="1" t="s">
        <v>778</v>
      </c>
      <c r="RH84" s="1" t="s">
        <v>778</v>
      </c>
      <c r="RI84" s="1" t="s">
        <v>778</v>
      </c>
    </row>
    <row r="85" spans="1:686" ht="217.5" hidden="1" x14ac:dyDescent="0.35">
      <c r="A85" s="1" t="s">
        <v>859</v>
      </c>
      <c r="B85" s="14" t="s">
        <v>84</v>
      </c>
      <c r="C85" s="1" t="str" cm="1">
        <f t="array" ref="C85">GetURL(B85)</f>
        <v>https://explore-education-statistics.service.gov.uk/find-statistics/participation-in-education-training-and-neet-age-16-to-17-by-local-authority</v>
      </c>
      <c r="D85" s="1" t="s">
        <v>2592</v>
      </c>
      <c r="E85" s="1" t="s">
        <v>861</v>
      </c>
      <c r="F85" s="1" t="s">
        <v>778</v>
      </c>
      <c r="G85" s="1" t="s">
        <v>778</v>
      </c>
      <c r="H85" s="1" t="s">
        <v>778</v>
      </c>
      <c r="I85" s="1" t="s">
        <v>778</v>
      </c>
      <c r="J85" s="1" t="s">
        <v>778</v>
      </c>
      <c r="K85" s="1" t="s">
        <v>778</v>
      </c>
      <c r="L85" s="1" t="s">
        <v>778</v>
      </c>
      <c r="M85" s="1" t="s">
        <v>778</v>
      </c>
      <c r="N85" s="1" t="s">
        <v>778</v>
      </c>
      <c r="O85" s="1" t="s">
        <v>778</v>
      </c>
      <c r="AF85" s="1" t="s">
        <v>778</v>
      </c>
      <c r="AH85" s="1" t="s">
        <v>778</v>
      </c>
      <c r="AT85" s="1" t="s">
        <v>778</v>
      </c>
      <c r="AZ85" s="1" t="s">
        <v>778</v>
      </c>
      <c r="JB85" s="1" t="s">
        <v>778</v>
      </c>
    </row>
    <row r="86" spans="1:686" s="9" customFormat="1" ht="217.5" hidden="1" x14ac:dyDescent="0.35">
      <c r="A86" s="9" t="s">
        <v>859</v>
      </c>
      <c r="B86" s="44" t="s">
        <v>84</v>
      </c>
      <c r="C86" s="9" t="str" cm="1">
        <f t="array" ref="C86">GetURL(B86)</f>
        <v>https://explore-education-statistics.service.gov.uk/find-statistics/participation-in-education-training-and-neet-age-16-to-17-by-local-authority</v>
      </c>
      <c r="D86" s="1" t="s">
        <v>2592</v>
      </c>
      <c r="E86" s="9" t="s">
        <v>862</v>
      </c>
      <c r="F86" s="9" t="s">
        <v>778</v>
      </c>
      <c r="G86" s="9" t="s">
        <v>778</v>
      </c>
      <c r="H86" s="9" t="s">
        <v>778</v>
      </c>
      <c r="I86" s="9" t="s">
        <v>778</v>
      </c>
      <c r="J86" s="9" t="s">
        <v>778</v>
      </c>
      <c r="K86" s="9" t="s">
        <v>778</v>
      </c>
      <c r="L86" s="9" t="s">
        <v>778</v>
      </c>
      <c r="M86" s="9" t="s">
        <v>778</v>
      </c>
      <c r="N86" s="9" t="s">
        <v>778</v>
      </c>
      <c r="O86" s="9" t="s">
        <v>778</v>
      </c>
      <c r="AF86" s="9" t="s">
        <v>778</v>
      </c>
      <c r="AH86" s="9" t="s">
        <v>778</v>
      </c>
      <c r="AK86" s="1"/>
      <c r="AM86" s="1"/>
      <c r="AT86" s="9" t="s">
        <v>778</v>
      </c>
      <c r="DZ86" s="9" t="s">
        <v>778</v>
      </c>
      <c r="ED86" s="46" t="s">
        <v>778</v>
      </c>
      <c r="EU86" s="1"/>
      <c r="IY86" s="9" t="s">
        <v>778</v>
      </c>
      <c r="VP86" s="1"/>
      <c r="WE86" s="1"/>
      <c r="XZ86" s="1"/>
      <c r="ZJ86" s="45"/>
    </row>
    <row r="87" spans="1:686" s="9" customFormat="1" ht="217.5" hidden="1" x14ac:dyDescent="0.35">
      <c r="A87" s="9" t="s">
        <v>859</v>
      </c>
      <c r="B87" s="44" t="s">
        <v>84</v>
      </c>
      <c r="C87" s="9" t="str" cm="1">
        <f t="array" ref="C87">GetURL(B87)</f>
        <v>https://explore-education-statistics.service.gov.uk/find-statistics/participation-in-education-training-and-neet-age-16-to-17-by-local-authority</v>
      </c>
      <c r="D87" s="1" t="s">
        <v>2592</v>
      </c>
      <c r="E87" s="9" t="s">
        <v>863</v>
      </c>
      <c r="F87" s="9" t="s">
        <v>778</v>
      </c>
      <c r="G87" s="9" t="s">
        <v>778</v>
      </c>
      <c r="H87" s="9" t="s">
        <v>778</v>
      </c>
      <c r="I87" s="9" t="s">
        <v>778</v>
      </c>
      <c r="J87" s="9" t="s">
        <v>778</v>
      </c>
      <c r="K87" s="9" t="s">
        <v>778</v>
      </c>
      <c r="L87" s="9" t="s">
        <v>778</v>
      </c>
      <c r="M87" s="9" t="s">
        <v>778</v>
      </c>
      <c r="N87" s="9" t="s">
        <v>778</v>
      </c>
      <c r="O87" s="9" t="s">
        <v>778</v>
      </c>
      <c r="AK87" s="1"/>
      <c r="AM87" s="1"/>
      <c r="DQ87" s="9" t="s">
        <v>778</v>
      </c>
      <c r="DR87" s="9" t="s">
        <v>778</v>
      </c>
      <c r="DS87" s="9" t="s">
        <v>778</v>
      </c>
      <c r="DT87" s="9" t="s">
        <v>778</v>
      </c>
      <c r="EB87" s="46" t="s">
        <v>778</v>
      </c>
      <c r="EU87" s="1"/>
      <c r="VP87" s="1"/>
      <c r="WE87" s="1"/>
      <c r="XZ87" s="1"/>
      <c r="ZJ87" s="45"/>
    </row>
    <row r="88" spans="1:686" ht="217.5" hidden="1" x14ac:dyDescent="0.35">
      <c r="A88" s="1" t="s">
        <v>859</v>
      </c>
      <c r="B88" s="14" t="s">
        <v>84</v>
      </c>
      <c r="C88" s="1" t="str" cm="1">
        <f t="array" ref="C88">GetURL(B88)</f>
        <v>https://explore-education-statistics.service.gov.uk/find-statistics/participation-in-education-training-and-neet-age-16-to-17-by-local-authority</v>
      </c>
      <c r="D88" s="1" t="s">
        <v>2592</v>
      </c>
      <c r="E88" s="1" t="s">
        <v>864</v>
      </c>
      <c r="F88" s="1" t="s">
        <v>778</v>
      </c>
      <c r="G88" s="1" t="s">
        <v>778</v>
      </c>
      <c r="H88" s="1" t="s">
        <v>778</v>
      </c>
      <c r="I88" s="1" t="s">
        <v>778</v>
      </c>
      <c r="J88" s="1" t="s">
        <v>778</v>
      </c>
      <c r="K88" s="1" t="s">
        <v>778</v>
      </c>
      <c r="L88" s="1" t="s">
        <v>778</v>
      </c>
      <c r="M88" s="1" t="s">
        <v>778</v>
      </c>
      <c r="N88" s="1" t="s">
        <v>778</v>
      </c>
      <c r="O88" s="1" t="s">
        <v>778</v>
      </c>
      <c r="AT88" s="1" t="s">
        <v>778</v>
      </c>
    </row>
    <row r="89" spans="1:686" ht="159.5" hidden="1" x14ac:dyDescent="0.35">
      <c r="A89" s="1" t="s">
        <v>859</v>
      </c>
      <c r="B89" s="14" t="s">
        <v>76</v>
      </c>
      <c r="C89" s="1" t="str" cm="1">
        <f t="array" ref="C89">GetURL(B89)</f>
        <v>https://explore-education-statistics.service.gov.uk/find-statistics/neet-statistics-annual-brief</v>
      </c>
      <c r="D89" s="1" t="s">
        <v>2593</v>
      </c>
      <c r="E89" s="1" t="s">
        <v>868</v>
      </c>
      <c r="F89" s="1" t="s">
        <v>778</v>
      </c>
      <c r="G89" s="1" t="s">
        <v>778</v>
      </c>
      <c r="H89" s="1" t="s">
        <v>778</v>
      </c>
      <c r="I89" s="1" t="s">
        <v>778</v>
      </c>
      <c r="J89" s="1" t="s">
        <v>778</v>
      </c>
      <c r="K89" s="1" t="s">
        <v>778</v>
      </c>
      <c r="L89" s="1" t="s">
        <v>778</v>
      </c>
      <c r="AR89" s="1" t="s">
        <v>778</v>
      </c>
      <c r="AT89" s="1" t="s">
        <v>778</v>
      </c>
      <c r="AZ89" s="1" t="s">
        <v>778</v>
      </c>
      <c r="JG89" s="1" t="s">
        <v>778</v>
      </c>
      <c r="JS89" s="1" t="s">
        <v>778</v>
      </c>
      <c r="JT89" s="1" t="s">
        <v>778</v>
      </c>
      <c r="JU89" s="1" t="s">
        <v>778</v>
      </c>
      <c r="JV89" s="1" t="s">
        <v>778</v>
      </c>
      <c r="JW89" s="1" t="s">
        <v>778</v>
      </c>
      <c r="JX89" s="1" t="s">
        <v>778</v>
      </c>
      <c r="JY89" s="1" t="s">
        <v>778</v>
      </c>
      <c r="JZ89" s="1" t="s">
        <v>778</v>
      </c>
      <c r="KA89" s="1" t="s">
        <v>778</v>
      </c>
      <c r="KB89" s="1" t="s">
        <v>778</v>
      </c>
      <c r="KC89" s="1" t="s">
        <v>778</v>
      </c>
      <c r="KD89" s="1" t="s">
        <v>778</v>
      </c>
      <c r="KE89" s="1" t="s">
        <v>778</v>
      </c>
      <c r="KF89" s="1" t="s">
        <v>778</v>
      </c>
      <c r="KG89" s="1" t="s">
        <v>778</v>
      </c>
      <c r="KH89" s="1" t="s">
        <v>778</v>
      </c>
      <c r="KI89" s="1" t="s">
        <v>778</v>
      </c>
      <c r="KJ89" s="1" t="s">
        <v>778</v>
      </c>
      <c r="KK89" s="1" t="s">
        <v>778</v>
      </c>
      <c r="KL89" s="1" t="s">
        <v>778</v>
      </c>
      <c r="KM89" s="1" t="s">
        <v>778</v>
      </c>
      <c r="KN89" s="1" t="s">
        <v>778</v>
      </c>
      <c r="KO89" s="1" t="s">
        <v>778</v>
      </c>
      <c r="KP89" s="1" t="s">
        <v>778</v>
      </c>
      <c r="KQ89" s="1" t="s">
        <v>778</v>
      </c>
      <c r="KR89" s="1" t="s">
        <v>778</v>
      </c>
      <c r="KS89" s="1" t="s">
        <v>778</v>
      </c>
      <c r="KT89" s="1" t="s">
        <v>778</v>
      </c>
      <c r="KU89" s="1" t="s">
        <v>778</v>
      </c>
      <c r="KV89" s="1" t="s">
        <v>778</v>
      </c>
      <c r="KW89" s="1" t="s">
        <v>778</v>
      </c>
      <c r="KX89" s="1" t="s">
        <v>778</v>
      </c>
      <c r="KY89" s="1" t="s">
        <v>778</v>
      </c>
      <c r="KZ89" s="1" t="s">
        <v>778</v>
      </c>
      <c r="LA89" s="1" t="s">
        <v>778</v>
      </c>
      <c r="LB89" s="1" t="s">
        <v>778</v>
      </c>
      <c r="LC89" s="1" t="s">
        <v>778</v>
      </c>
      <c r="LD89" s="1" t="s">
        <v>778</v>
      </c>
      <c r="LE89" s="1" t="s">
        <v>778</v>
      </c>
      <c r="LF89" s="1" t="s">
        <v>778</v>
      </c>
      <c r="LG89" s="1" t="s">
        <v>778</v>
      </c>
      <c r="LH89" s="1" t="s">
        <v>778</v>
      </c>
      <c r="LI89" s="1" t="s">
        <v>778</v>
      </c>
      <c r="LJ89" s="1" t="s">
        <v>778</v>
      </c>
      <c r="LK89" s="1" t="s">
        <v>778</v>
      </c>
      <c r="LL89" s="1" t="s">
        <v>778</v>
      </c>
      <c r="LM89" s="1" t="s">
        <v>778</v>
      </c>
      <c r="LN89" s="1" t="s">
        <v>778</v>
      </c>
      <c r="LO89" s="1" t="s">
        <v>778</v>
      </c>
      <c r="LP89" s="1" t="s">
        <v>778</v>
      </c>
      <c r="LQ89" s="1" t="s">
        <v>778</v>
      </c>
      <c r="LR89" s="1" t="s">
        <v>778</v>
      </c>
      <c r="LS89" s="1" t="s">
        <v>778</v>
      </c>
      <c r="LT89" s="1" t="s">
        <v>778</v>
      </c>
      <c r="LU89" s="1" t="s">
        <v>778</v>
      </c>
      <c r="LV89" s="1" t="s">
        <v>778</v>
      </c>
      <c r="LW89" s="1" t="s">
        <v>778</v>
      </c>
      <c r="LX89" s="1" t="s">
        <v>778</v>
      </c>
      <c r="LY89" s="1" t="s">
        <v>778</v>
      </c>
      <c r="LZ89" s="1" t="s">
        <v>778</v>
      </c>
      <c r="MA89" s="1" t="s">
        <v>778</v>
      </c>
      <c r="MB89" s="1" t="s">
        <v>778</v>
      </c>
      <c r="MC89" s="1" t="s">
        <v>778</v>
      </c>
      <c r="MD89" s="1" t="s">
        <v>778</v>
      </c>
      <c r="ME89" s="1" t="s">
        <v>778</v>
      </c>
      <c r="MF89" s="1" t="s">
        <v>778</v>
      </c>
      <c r="MG89" s="1" t="s">
        <v>778</v>
      </c>
      <c r="MH89" s="1" t="s">
        <v>778</v>
      </c>
      <c r="MI89" s="1" t="s">
        <v>778</v>
      </c>
      <c r="MJ89" s="1" t="s">
        <v>778</v>
      </c>
      <c r="MK89" s="1" t="s">
        <v>778</v>
      </c>
      <c r="ML89" s="1" t="s">
        <v>778</v>
      </c>
      <c r="MM89" s="1" t="s">
        <v>778</v>
      </c>
      <c r="MN89" s="1" t="s">
        <v>778</v>
      </c>
      <c r="MO89" s="1" t="s">
        <v>778</v>
      </c>
      <c r="MP89" s="1" t="s">
        <v>778</v>
      </c>
      <c r="MQ89" s="1" t="s">
        <v>778</v>
      </c>
      <c r="MR89" s="1" t="s">
        <v>778</v>
      </c>
      <c r="MS89" s="1" t="s">
        <v>778</v>
      </c>
      <c r="MT89" s="1" t="s">
        <v>778</v>
      </c>
      <c r="MU89" s="1" t="s">
        <v>778</v>
      </c>
    </row>
    <row r="90" spans="1:686" ht="159.5" hidden="1" x14ac:dyDescent="0.35">
      <c r="A90" s="1" t="s">
        <v>859</v>
      </c>
      <c r="B90" s="14" t="s">
        <v>76</v>
      </c>
      <c r="C90" s="1" t="str" cm="1">
        <f t="array" ref="C90">GetURL(B90)</f>
        <v>https://explore-education-statistics.service.gov.uk/find-statistics/neet-statistics-annual-brief</v>
      </c>
      <c r="D90" s="1" t="s">
        <v>2593</v>
      </c>
      <c r="E90" s="1" t="s">
        <v>869</v>
      </c>
      <c r="F90" s="1" t="s">
        <v>778</v>
      </c>
      <c r="G90" s="1" t="s">
        <v>778</v>
      </c>
      <c r="H90" s="1" t="s">
        <v>778</v>
      </c>
      <c r="I90" s="1" t="s">
        <v>778</v>
      </c>
      <c r="J90" s="1" t="s">
        <v>778</v>
      </c>
      <c r="AR90" s="1" t="s">
        <v>778</v>
      </c>
      <c r="AT90" s="1" t="s">
        <v>778</v>
      </c>
      <c r="AZ90" s="1" t="s">
        <v>778</v>
      </c>
      <c r="JT90" s="1" t="s">
        <v>778</v>
      </c>
      <c r="KE90" s="1" t="s">
        <v>778</v>
      </c>
      <c r="KG90" s="1" t="s">
        <v>778</v>
      </c>
      <c r="KH90" s="1" t="s">
        <v>778</v>
      </c>
      <c r="MV90" s="1" t="s">
        <v>778</v>
      </c>
      <c r="MW90" s="1" t="s">
        <v>778</v>
      </c>
    </row>
    <row r="91" spans="1:686" ht="159.5" hidden="1" x14ac:dyDescent="0.35">
      <c r="A91" s="1" t="s">
        <v>859</v>
      </c>
      <c r="B91" s="14" t="s">
        <v>76</v>
      </c>
      <c r="C91" s="1" t="str" cm="1">
        <f t="array" ref="C91">GetURL(B91)</f>
        <v>https://explore-education-statistics.service.gov.uk/find-statistics/neet-statistics-annual-brief</v>
      </c>
      <c r="D91" s="1" t="s">
        <v>2593</v>
      </c>
      <c r="E91" s="1" t="s">
        <v>870</v>
      </c>
      <c r="F91" s="1" t="s">
        <v>778</v>
      </c>
      <c r="G91" s="1" t="s">
        <v>778</v>
      </c>
      <c r="H91" s="1" t="s">
        <v>778</v>
      </c>
      <c r="I91" s="1" t="s">
        <v>778</v>
      </c>
      <c r="J91" s="1" t="s">
        <v>778</v>
      </c>
      <c r="JS91" s="1" t="s">
        <v>778</v>
      </c>
      <c r="MX91" s="1" t="s">
        <v>778</v>
      </c>
      <c r="MY91" s="1" t="s">
        <v>778</v>
      </c>
      <c r="MZ91" s="1" t="s">
        <v>778</v>
      </c>
      <c r="NA91" s="1" t="s">
        <v>778</v>
      </c>
      <c r="NB91" s="1" t="s">
        <v>778</v>
      </c>
      <c r="NC91" s="1" t="s">
        <v>778</v>
      </c>
      <c r="ND91" s="1" t="s">
        <v>778</v>
      </c>
      <c r="NE91" s="1" t="s">
        <v>778</v>
      </c>
      <c r="NF91" s="1" t="s">
        <v>778</v>
      </c>
      <c r="NG91" s="1" t="s">
        <v>778</v>
      </c>
      <c r="NH91" s="1" t="s">
        <v>778</v>
      </c>
      <c r="NI91" s="1" t="s">
        <v>778</v>
      </c>
    </row>
    <row r="92" spans="1:686" ht="159.5" hidden="1" x14ac:dyDescent="0.35">
      <c r="A92" s="1" t="s">
        <v>859</v>
      </c>
      <c r="B92" s="14" t="s">
        <v>63</v>
      </c>
      <c r="C92" s="1" t="str" cm="1">
        <f t="array" ref="C92">GetURL(B92)</f>
        <v>https://explore-education-statistics.service.gov.uk/find-statistics/key-stage-4-destination-measures</v>
      </c>
      <c r="D92" s="1" t="s">
        <v>2594</v>
      </c>
      <c r="E92" s="1" t="s">
        <v>871</v>
      </c>
      <c r="F92" s="1" t="s">
        <v>778</v>
      </c>
      <c r="G92" s="1" t="s">
        <v>778</v>
      </c>
      <c r="H92" s="1" t="s">
        <v>778</v>
      </c>
      <c r="I92" s="1" t="s">
        <v>778</v>
      </c>
      <c r="J92" s="1" t="s">
        <v>778</v>
      </c>
      <c r="AF92" s="1" t="s">
        <v>778</v>
      </c>
      <c r="AH92" s="1" t="s">
        <v>778</v>
      </c>
      <c r="IY92" s="1" t="s">
        <v>778</v>
      </c>
      <c r="JK92" s="1" t="s">
        <v>778</v>
      </c>
      <c r="JL92" s="1" t="s">
        <v>778</v>
      </c>
      <c r="NJ92" s="1" t="s">
        <v>778</v>
      </c>
      <c r="NK92" s="1" t="s">
        <v>778</v>
      </c>
      <c r="NL92" s="1" t="s">
        <v>778</v>
      </c>
      <c r="NP92" s="1" t="s">
        <v>778</v>
      </c>
      <c r="NT92" s="1" t="s">
        <v>778</v>
      </c>
      <c r="NU92" s="1" t="s">
        <v>778</v>
      </c>
      <c r="OI92" s="1" t="s">
        <v>778</v>
      </c>
      <c r="OJ92" s="1" t="s">
        <v>778</v>
      </c>
      <c r="OL92" s="1" t="s">
        <v>778</v>
      </c>
      <c r="OM92" s="1" t="s">
        <v>778</v>
      </c>
      <c r="ON92" s="1" t="s">
        <v>778</v>
      </c>
      <c r="OO92" s="1" t="s">
        <v>778</v>
      </c>
      <c r="OQ92" s="1" t="s">
        <v>778</v>
      </c>
      <c r="OR92" s="1" t="s">
        <v>778</v>
      </c>
      <c r="OS92" s="1" t="s">
        <v>778</v>
      </c>
      <c r="PB92" s="1" t="s">
        <v>778</v>
      </c>
      <c r="PD92" s="1" t="s">
        <v>778</v>
      </c>
      <c r="PE92" s="1" t="s">
        <v>778</v>
      </c>
      <c r="PV92" s="1" t="s">
        <v>778</v>
      </c>
      <c r="PW92" s="1" t="s">
        <v>778</v>
      </c>
      <c r="PX92" s="1" t="s">
        <v>778</v>
      </c>
      <c r="PY92" s="1" t="s">
        <v>778</v>
      </c>
      <c r="PZ92" s="1" t="s">
        <v>778</v>
      </c>
      <c r="QA92" s="1" t="s">
        <v>778</v>
      </c>
      <c r="QB92" s="1" t="s">
        <v>778</v>
      </c>
      <c r="QC92" s="1" t="s">
        <v>778</v>
      </c>
      <c r="QD92" s="1" t="s">
        <v>778</v>
      </c>
    </row>
    <row r="93" spans="1:686" ht="159.5" hidden="1" x14ac:dyDescent="0.35">
      <c r="A93" s="1" t="s">
        <v>859</v>
      </c>
      <c r="B93" s="14" t="s">
        <v>63</v>
      </c>
      <c r="C93" s="1" t="str" cm="1">
        <f t="array" ref="C93">GetURL(B93)</f>
        <v>https://explore-education-statistics.service.gov.uk/find-statistics/key-stage-4-destination-measures</v>
      </c>
      <c r="D93" s="1" t="s">
        <v>2594</v>
      </c>
      <c r="E93" s="1" t="s">
        <v>872</v>
      </c>
      <c r="F93" s="1" t="s">
        <v>778</v>
      </c>
      <c r="G93" s="1" t="s">
        <v>778</v>
      </c>
      <c r="H93" s="1" t="s">
        <v>778</v>
      </c>
      <c r="I93" s="1" t="s">
        <v>778</v>
      </c>
      <c r="J93" s="1" t="s">
        <v>778</v>
      </c>
      <c r="K93" s="1" t="s">
        <v>778</v>
      </c>
      <c r="L93" s="1" t="s">
        <v>778</v>
      </c>
      <c r="M93" s="1" t="s">
        <v>778</v>
      </c>
      <c r="N93" s="1" t="s">
        <v>778</v>
      </c>
      <c r="O93" s="1" t="s">
        <v>778</v>
      </c>
      <c r="P93" s="1" t="s">
        <v>778</v>
      </c>
      <c r="Q93" s="1" t="s">
        <v>778</v>
      </c>
      <c r="R93" s="1" t="s">
        <v>778</v>
      </c>
      <c r="S93" s="1" t="s">
        <v>778</v>
      </c>
      <c r="X93" s="1" t="s">
        <v>778</v>
      </c>
      <c r="Y93" s="1" t="s">
        <v>778</v>
      </c>
      <c r="AF93" s="1" t="s">
        <v>778</v>
      </c>
      <c r="AH93" s="1" t="s">
        <v>778</v>
      </c>
      <c r="IY93" s="1" t="s">
        <v>778</v>
      </c>
      <c r="JK93" s="1" t="s">
        <v>778</v>
      </c>
      <c r="JL93" s="1" t="s">
        <v>778</v>
      </c>
      <c r="NJ93" s="1" t="s">
        <v>778</v>
      </c>
      <c r="NK93" s="1" t="s">
        <v>778</v>
      </c>
      <c r="NT93" s="1" t="s">
        <v>778</v>
      </c>
      <c r="NU93" s="1" t="s">
        <v>778</v>
      </c>
      <c r="OI93" s="1" t="s">
        <v>778</v>
      </c>
      <c r="OJ93" s="1" t="s">
        <v>778</v>
      </c>
      <c r="OL93" s="1" t="s">
        <v>778</v>
      </c>
      <c r="PB93" s="1" t="s">
        <v>778</v>
      </c>
      <c r="PD93" s="1" t="s">
        <v>778</v>
      </c>
      <c r="PE93" s="1" t="s">
        <v>778</v>
      </c>
      <c r="PV93" s="1" t="s">
        <v>778</v>
      </c>
      <c r="PW93" s="1" t="s">
        <v>778</v>
      </c>
      <c r="QA93" s="1" t="s">
        <v>778</v>
      </c>
      <c r="QD93" s="1" t="s">
        <v>778</v>
      </c>
    </row>
    <row r="94" spans="1:686" ht="159.5" hidden="1" x14ac:dyDescent="0.35">
      <c r="A94" s="1" t="s">
        <v>859</v>
      </c>
      <c r="B94" s="14" t="s">
        <v>63</v>
      </c>
      <c r="C94" s="1" t="str" cm="1">
        <f t="array" ref="C94">GetURL(B94)</f>
        <v>https://explore-education-statistics.service.gov.uk/find-statistics/key-stage-4-destination-measures</v>
      </c>
      <c r="D94" s="1" t="s">
        <v>2594</v>
      </c>
      <c r="E94" s="1" t="s">
        <v>873</v>
      </c>
      <c r="F94" s="1" t="s">
        <v>778</v>
      </c>
      <c r="G94" s="1" t="s">
        <v>778</v>
      </c>
      <c r="H94" s="1" t="s">
        <v>778</v>
      </c>
      <c r="I94" s="1" t="s">
        <v>778</v>
      </c>
      <c r="J94" s="1" t="s">
        <v>778</v>
      </c>
      <c r="IY94" s="1" t="s">
        <v>778</v>
      </c>
      <c r="NK94" s="1" t="s">
        <v>778</v>
      </c>
      <c r="NL94" s="1" t="s">
        <v>778</v>
      </c>
      <c r="NP94" s="1" t="s">
        <v>778</v>
      </c>
      <c r="NT94" s="1" t="s">
        <v>778</v>
      </c>
      <c r="NU94" s="1" t="s">
        <v>778</v>
      </c>
      <c r="OI94" s="1" t="s">
        <v>778</v>
      </c>
      <c r="OJ94" s="1" t="s">
        <v>778</v>
      </c>
      <c r="OL94" s="1" t="s">
        <v>778</v>
      </c>
      <c r="OM94" s="1" t="s">
        <v>778</v>
      </c>
      <c r="ON94" s="1" t="s">
        <v>778</v>
      </c>
      <c r="OO94" s="1" t="s">
        <v>778</v>
      </c>
      <c r="OQ94" s="1" t="s">
        <v>778</v>
      </c>
      <c r="OR94" s="1" t="s">
        <v>778</v>
      </c>
      <c r="OS94" s="1" t="s">
        <v>778</v>
      </c>
      <c r="PB94" s="1" t="s">
        <v>778</v>
      </c>
      <c r="PD94" s="1" t="s">
        <v>778</v>
      </c>
      <c r="PE94" s="1" t="s">
        <v>778</v>
      </c>
      <c r="PV94" s="1" t="s">
        <v>778</v>
      </c>
      <c r="PW94" s="1" t="s">
        <v>778</v>
      </c>
      <c r="PX94" s="1" t="s">
        <v>778</v>
      </c>
      <c r="PY94" s="1" t="s">
        <v>778</v>
      </c>
      <c r="PZ94" s="1" t="s">
        <v>778</v>
      </c>
      <c r="QA94" s="1" t="s">
        <v>778</v>
      </c>
      <c r="QB94" s="1" t="s">
        <v>778</v>
      </c>
      <c r="QC94" s="1" t="s">
        <v>778</v>
      </c>
    </row>
    <row r="95" spans="1:686" ht="159.5" hidden="1" x14ac:dyDescent="0.35">
      <c r="A95" s="1" t="s">
        <v>859</v>
      </c>
      <c r="B95" s="14" t="s">
        <v>21</v>
      </c>
      <c r="C95" s="1" t="str" cm="1">
        <f t="array" ref="C95">GetURL(B95)</f>
        <v>https://explore-education-statistics.service.gov.uk/find-statistics/16-18-destination-measures</v>
      </c>
      <c r="D95" s="14" t="s">
        <v>2588</v>
      </c>
      <c r="E95" s="1" t="s">
        <v>874</v>
      </c>
      <c r="F95" s="1" t="s">
        <v>778</v>
      </c>
      <c r="G95" s="1" t="s">
        <v>778</v>
      </c>
      <c r="H95" s="1" t="s">
        <v>778</v>
      </c>
      <c r="I95" s="1" t="s">
        <v>778</v>
      </c>
      <c r="J95" s="1" t="s">
        <v>778</v>
      </c>
      <c r="AF95" s="1" t="s">
        <v>778</v>
      </c>
      <c r="AH95" s="1" t="s">
        <v>778</v>
      </c>
      <c r="IY95" s="1" t="s">
        <v>778</v>
      </c>
      <c r="IZ95" s="1" t="s">
        <v>778</v>
      </c>
      <c r="JA95" s="1" t="s">
        <v>778</v>
      </c>
      <c r="JK95" s="1" t="s">
        <v>778</v>
      </c>
      <c r="JL95" s="1" t="s">
        <v>778</v>
      </c>
      <c r="NJ95" s="1" t="s">
        <v>778</v>
      </c>
      <c r="NK95" s="1" t="s">
        <v>778</v>
      </c>
      <c r="NL95" s="1" t="s">
        <v>778</v>
      </c>
      <c r="NP95" s="1" t="s">
        <v>778</v>
      </c>
      <c r="NT95" s="1" t="s">
        <v>778</v>
      </c>
      <c r="NU95" s="1" t="s">
        <v>778</v>
      </c>
      <c r="NV95" s="1" t="s">
        <v>778</v>
      </c>
      <c r="NW95" s="1" t="s">
        <v>778</v>
      </c>
      <c r="NX95" s="1" t="s">
        <v>778</v>
      </c>
      <c r="OI95" s="1" t="s">
        <v>778</v>
      </c>
      <c r="OJ95" s="1" t="s">
        <v>778</v>
      </c>
      <c r="OL95" s="1" t="s">
        <v>778</v>
      </c>
      <c r="OM95" s="1" t="s">
        <v>778</v>
      </c>
      <c r="OP95" s="1" t="s">
        <v>778</v>
      </c>
      <c r="OR95" s="1" t="s">
        <v>778</v>
      </c>
      <c r="OS95" s="1" t="s">
        <v>778</v>
      </c>
      <c r="PB95" s="1" t="s">
        <v>778</v>
      </c>
      <c r="PC95" s="1" t="s">
        <v>778</v>
      </c>
      <c r="PD95" s="1" t="s">
        <v>778</v>
      </c>
      <c r="PE95" s="1" t="s">
        <v>778</v>
      </c>
      <c r="PV95" s="1" t="s">
        <v>778</v>
      </c>
      <c r="PW95" s="1" t="s">
        <v>778</v>
      </c>
      <c r="PX95" s="1" t="s">
        <v>778</v>
      </c>
      <c r="PY95" s="1" t="s">
        <v>778</v>
      </c>
      <c r="PZ95" s="1" t="s">
        <v>778</v>
      </c>
      <c r="QA95" s="1" t="s">
        <v>778</v>
      </c>
      <c r="QB95" s="1" t="s">
        <v>778</v>
      </c>
      <c r="QC95" s="1" t="s">
        <v>778</v>
      </c>
      <c r="QE95" s="1" t="s">
        <v>778</v>
      </c>
    </row>
    <row r="96" spans="1:686" ht="159.5" hidden="1" x14ac:dyDescent="0.35">
      <c r="A96" s="1" t="s">
        <v>859</v>
      </c>
      <c r="B96" s="14" t="s">
        <v>21</v>
      </c>
      <c r="C96" s="1" t="str" cm="1">
        <f t="array" ref="C96">GetURL(B96)</f>
        <v>https://explore-education-statistics.service.gov.uk/find-statistics/16-18-destination-measures</v>
      </c>
      <c r="D96" s="1" t="s">
        <v>2588</v>
      </c>
      <c r="E96" s="1" t="s">
        <v>875</v>
      </c>
      <c r="F96" s="1" t="s">
        <v>778</v>
      </c>
      <c r="G96" s="1" t="s">
        <v>778</v>
      </c>
      <c r="H96" s="1" t="s">
        <v>778</v>
      </c>
      <c r="I96" s="1" t="s">
        <v>778</v>
      </c>
      <c r="J96" s="1" t="s">
        <v>778</v>
      </c>
      <c r="K96" s="1" t="s">
        <v>778</v>
      </c>
      <c r="L96" s="1" t="s">
        <v>778</v>
      </c>
      <c r="M96" s="1" t="s">
        <v>778</v>
      </c>
      <c r="N96" s="1" t="s">
        <v>778</v>
      </c>
      <c r="O96" s="1" t="s">
        <v>778</v>
      </c>
      <c r="P96" s="1" t="s">
        <v>778</v>
      </c>
      <c r="Q96" s="1" t="s">
        <v>778</v>
      </c>
      <c r="R96" s="1" t="s">
        <v>778</v>
      </c>
      <c r="S96" s="1" t="s">
        <v>778</v>
      </c>
      <c r="X96" s="1" t="s">
        <v>778</v>
      </c>
      <c r="Y96" s="1" t="s">
        <v>778</v>
      </c>
      <c r="AF96" s="1" t="s">
        <v>778</v>
      </c>
      <c r="AH96" s="1" t="s">
        <v>778</v>
      </c>
      <c r="IY96" s="1" t="s">
        <v>778</v>
      </c>
      <c r="IZ96" s="1" t="s">
        <v>778</v>
      </c>
      <c r="JA96" s="1" t="s">
        <v>778</v>
      </c>
      <c r="JK96" s="1" t="s">
        <v>778</v>
      </c>
      <c r="JL96" s="1" t="s">
        <v>778</v>
      </c>
      <c r="NJ96" s="1" t="s">
        <v>778</v>
      </c>
      <c r="NK96" s="1" t="s">
        <v>778</v>
      </c>
      <c r="NP96" s="1" t="s">
        <v>778</v>
      </c>
      <c r="NT96" s="1" t="s">
        <v>778</v>
      </c>
      <c r="NU96" s="1" t="s">
        <v>778</v>
      </c>
      <c r="NV96" s="1" t="s">
        <v>778</v>
      </c>
      <c r="NW96" s="1" t="s">
        <v>778</v>
      </c>
      <c r="NX96" s="1" t="s">
        <v>778</v>
      </c>
      <c r="OL96" s="1" t="s">
        <v>778</v>
      </c>
      <c r="OS96" s="1" t="s">
        <v>778</v>
      </c>
      <c r="PB96" s="1" t="s">
        <v>778</v>
      </c>
      <c r="PC96" s="1" t="s">
        <v>778</v>
      </c>
      <c r="PD96" s="1" t="s">
        <v>778</v>
      </c>
      <c r="PE96" s="1" t="s">
        <v>778</v>
      </c>
      <c r="PV96" s="1" t="s">
        <v>778</v>
      </c>
      <c r="PW96" s="1" t="s">
        <v>778</v>
      </c>
      <c r="QA96" s="1" t="s">
        <v>778</v>
      </c>
      <c r="QD96" s="1" t="s">
        <v>778</v>
      </c>
    </row>
    <row r="97" spans="1:448" ht="159.5" hidden="1" x14ac:dyDescent="0.35">
      <c r="A97" s="1" t="s">
        <v>859</v>
      </c>
      <c r="B97" s="14" t="s">
        <v>21</v>
      </c>
      <c r="C97" s="1" t="str" cm="1">
        <f t="array" ref="C97">GetURL(B97)</f>
        <v>https://explore-education-statistics.service.gov.uk/find-statistics/16-18-destination-measures</v>
      </c>
      <c r="D97" s="1" t="s">
        <v>2588</v>
      </c>
      <c r="E97" s="1" t="s">
        <v>876</v>
      </c>
      <c r="F97" s="1" t="s">
        <v>778</v>
      </c>
      <c r="G97" s="1" t="s">
        <v>778</v>
      </c>
      <c r="H97" s="1" t="s">
        <v>778</v>
      </c>
      <c r="I97" s="1" t="s">
        <v>778</v>
      </c>
      <c r="J97" s="1" t="s">
        <v>778</v>
      </c>
      <c r="IY97" s="1" t="s">
        <v>778</v>
      </c>
      <c r="JL97" s="1" t="s">
        <v>778</v>
      </c>
      <c r="NK97" s="1" t="s">
        <v>778</v>
      </c>
      <c r="NL97" s="1" t="s">
        <v>778</v>
      </c>
      <c r="NP97" s="1" t="s">
        <v>778</v>
      </c>
      <c r="NT97" s="1" t="s">
        <v>778</v>
      </c>
      <c r="NU97" s="1" t="s">
        <v>778</v>
      </c>
      <c r="NV97" s="1" t="s">
        <v>778</v>
      </c>
      <c r="NW97" s="1" t="s">
        <v>778</v>
      </c>
      <c r="NX97" s="1" t="s">
        <v>778</v>
      </c>
      <c r="OI97" s="1" t="s">
        <v>778</v>
      </c>
      <c r="OJ97" s="1" t="s">
        <v>778</v>
      </c>
      <c r="OL97" s="1" t="s">
        <v>778</v>
      </c>
      <c r="OM97" s="1" t="s">
        <v>778</v>
      </c>
      <c r="OP97" s="1" t="s">
        <v>778</v>
      </c>
      <c r="OR97" s="1" t="s">
        <v>778</v>
      </c>
      <c r="OS97" s="1" t="s">
        <v>778</v>
      </c>
      <c r="PB97" s="1" t="s">
        <v>778</v>
      </c>
      <c r="PC97" s="1" t="s">
        <v>778</v>
      </c>
      <c r="PD97" s="1" t="s">
        <v>778</v>
      </c>
      <c r="PE97" s="1" t="s">
        <v>778</v>
      </c>
      <c r="PV97" s="1" t="s">
        <v>778</v>
      </c>
      <c r="PW97" s="1" t="s">
        <v>778</v>
      </c>
      <c r="PX97" s="1" t="s">
        <v>778</v>
      </c>
      <c r="PZ97" s="1" t="s">
        <v>778</v>
      </c>
      <c r="QA97" s="1" t="s">
        <v>778</v>
      </c>
      <c r="QB97" s="1" t="s">
        <v>778</v>
      </c>
      <c r="QC97" s="1" t="s">
        <v>778</v>
      </c>
      <c r="QE97" s="1" t="s">
        <v>778</v>
      </c>
    </row>
    <row r="98" spans="1:448" ht="188.5" hidden="1" x14ac:dyDescent="0.35">
      <c r="A98" s="1" t="s">
        <v>859</v>
      </c>
      <c r="B98" s="14" t="s">
        <v>52</v>
      </c>
      <c r="C98" s="1" t="str" cm="1">
        <f t="array" ref="C98">GetURL(B98)</f>
        <v>https://explore-education-statistics.service.gov.uk/find-statistics/further-education-outcome-based-success-measures</v>
      </c>
      <c r="D98" s="14" t="s">
        <v>2595</v>
      </c>
      <c r="E98" s="1" t="s">
        <v>877</v>
      </c>
      <c r="F98" s="1" t="s">
        <v>778</v>
      </c>
      <c r="G98" s="1" t="s">
        <v>778</v>
      </c>
      <c r="H98" s="1" t="s">
        <v>778</v>
      </c>
      <c r="I98" s="1" t="s">
        <v>778</v>
      </c>
      <c r="J98" s="1" t="s">
        <v>778</v>
      </c>
      <c r="AS98" s="1" t="s">
        <v>778</v>
      </c>
      <c r="AU98" s="1" t="s">
        <v>778</v>
      </c>
      <c r="AZ98" s="1" t="s">
        <v>778</v>
      </c>
      <c r="BN98" s="1" t="s">
        <v>778</v>
      </c>
      <c r="BQ98" s="1" t="s">
        <v>778</v>
      </c>
      <c r="BR98" s="1" t="s">
        <v>778</v>
      </c>
      <c r="BS98" s="1" t="s">
        <v>778</v>
      </c>
      <c r="BX98" s="1" t="s">
        <v>778</v>
      </c>
      <c r="ER98" s="1" t="s">
        <v>778</v>
      </c>
      <c r="EU98" s="1" t="s">
        <v>778</v>
      </c>
      <c r="FJ98" s="1" t="s">
        <v>778</v>
      </c>
      <c r="FO98" s="1" t="s">
        <v>778</v>
      </c>
      <c r="FP98" s="1" t="s">
        <v>778</v>
      </c>
      <c r="FQ98" s="1" t="s">
        <v>778</v>
      </c>
      <c r="FR98" s="1" t="s">
        <v>778</v>
      </c>
      <c r="GY98" s="1" t="s">
        <v>778</v>
      </c>
      <c r="GZ98" s="1" t="s">
        <v>778</v>
      </c>
      <c r="NO98" s="1" t="s">
        <v>778</v>
      </c>
      <c r="NZ98" s="1" t="s">
        <v>778</v>
      </c>
      <c r="OA98" s="1" t="s">
        <v>778</v>
      </c>
      <c r="OB98" s="1" t="s">
        <v>778</v>
      </c>
      <c r="OC98" s="1" t="s">
        <v>778</v>
      </c>
      <c r="OD98" s="1" t="s">
        <v>778</v>
      </c>
      <c r="OE98" s="1" t="s">
        <v>778</v>
      </c>
      <c r="OF98" s="1" t="s">
        <v>778</v>
      </c>
      <c r="OG98" s="1" t="s">
        <v>778</v>
      </c>
      <c r="OH98" s="1" t="s">
        <v>778</v>
      </c>
      <c r="OX98" s="1" t="s">
        <v>778</v>
      </c>
      <c r="OZ98" s="1" t="s">
        <v>778</v>
      </c>
      <c r="PA98" s="1" t="s">
        <v>778</v>
      </c>
      <c r="PF98" s="1" t="s">
        <v>778</v>
      </c>
      <c r="PI98" s="1" t="s">
        <v>778</v>
      </c>
      <c r="PJ98" s="1" t="s">
        <v>778</v>
      </c>
      <c r="PK98" s="1" t="s">
        <v>778</v>
      </c>
      <c r="PM98" s="1" t="s">
        <v>778</v>
      </c>
      <c r="PN98" s="1" t="s">
        <v>778</v>
      </c>
      <c r="PO98" s="1" t="s">
        <v>778</v>
      </c>
      <c r="PP98" s="1" t="s">
        <v>778</v>
      </c>
      <c r="PQ98" s="1" t="s">
        <v>778</v>
      </c>
      <c r="PR98" s="1" t="s">
        <v>778</v>
      </c>
      <c r="PS98" s="1" t="s">
        <v>778</v>
      </c>
      <c r="PT98" s="1" t="s">
        <v>778</v>
      </c>
      <c r="PU98" s="1" t="s">
        <v>778</v>
      </c>
    </row>
    <row r="99" spans="1:448" ht="188.5" hidden="1" x14ac:dyDescent="0.35">
      <c r="A99" s="1" t="s">
        <v>859</v>
      </c>
      <c r="B99" s="14" t="s">
        <v>52</v>
      </c>
      <c r="C99" s="1" t="str" cm="1">
        <f t="array" ref="C99">GetURL(B99)</f>
        <v>https://explore-education-statistics.service.gov.uk/find-statistics/further-education-outcome-based-success-measures</v>
      </c>
      <c r="D99" s="1" t="s">
        <v>2595</v>
      </c>
      <c r="E99" s="1" t="s">
        <v>878</v>
      </c>
      <c r="F99" s="1" t="s">
        <v>778</v>
      </c>
      <c r="G99" s="1" t="s">
        <v>778</v>
      </c>
      <c r="H99" s="1" t="s">
        <v>778</v>
      </c>
      <c r="I99" s="1" t="s">
        <v>778</v>
      </c>
      <c r="J99" s="1" t="s">
        <v>778</v>
      </c>
      <c r="AU99" s="1" t="s">
        <v>778</v>
      </c>
      <c r="AZ99" s="1" t="s">
        <v>778</v>
      </c>
      <c r="BN99" s="1" t="s">
        <v>778</v>
      </c>
      <c r="BQ99" s="1" t="s">
        <v>778</v>
      </c>
      <c r="BR99" s="1" t="s">
        <v>778</v>
      </c>
      <c r="BS99" s="1" t="s">
        <v>778</v>
      </c>
      <c r="BX99" s="1" t="s">
        <v>778</v>
      </c>
      <c r="ER99" s="1" t="s">
        <v>778</v>
      </c>
      <c r="EU99" s="1" t="s">
        <v>778</v>
      </c>
      <c r="EV99" s="1" t="s">
        <v>778</v>
      </c>
      <c r="EX99" s="1" t="s">
        <v>778</v>
      </c>
      <c r="FJ99" s="1" t="s">
        <v>778</v>
      </c>
      <c r="FO99" s="1" t="s">
        <v>778</v>
      </c>
      <c r="FP99" s="1" t="s">
        <v>778</v>
      </c>
      <c r="FQ99" s="1" t="s">
        <v>778</v>
      </c>
      <c r="FR99" s="1" t="s">
        <v>778</v>
      </c>
      <c r="NO99" s="1" t="s">
        <v>778</v>
      </c>
      <c r="NZ99" s="1" t="s">
        <v>778</v>
      </c>
      <c r="OA99" s="1" t="s">
        <v>778</v>
      </c>
      <c r="OB99" s="1" t="s">
        <v>778</v>
      </c>
      <c r="OC99" s="1" t="s">
        <v>778</v>
      </c>
      <c r="OD99" s="1" t="s">
        <v>778</v>
      </c>
      <c r="OE99" s="1" t="s">
        <v>778</v>
      </c>
      <c r="OF99" s="1" t="s">
        <v>778</v>
      </c>
      <c r="OG99" s="1" t="s">
        <v>778</v>
      </c>
      <c r="OH99" s="1" t="s">
        <v>778</v>
      </c>
      <c r="OX99" s="1" t="s">
        <v>778</v>
      </c>
      <c r="OZ99" s="1" t="s">
        <v>778</v>
      </c>
      <c r="PF99" s="1" t="s">
        <v>778</v>
      </c>
      <c r="PI99" s="1" t="s">
        <v>778</v>
      </c>
      <c r="PJ99" s="1" t="s">
        <v>778</v>
      </c>
      <c r="PM99" s="1" t="s">
        <v>778</v>
      </c>
      <c r="PN99" s="1" t="s">
        <v>778</v>
      </c>
      <c r="PO99" s="1" t="s">
        <v>778</v>
      </c>
      <c r="PP99" s="1" t="s">
        <v>778</v>
      </c>
      <c r="PQ99" s="1" t="s">
        <v>778</v>
      </c>
    </row>
    <row r="100" spans="1:448" ht="129.65" hidden="1" customHeight="1" x14ac:dyDescent="0.35">
      <c r="A100" s="1" t="s">
        <v>859</v>
      </c>
      <c r="B100" s="14" t="s">
        <v>52</v>
      </c>
      <c r="C100" s="1" t="str" cm="1">
        <f t="array" ref="C100">GetURL(B100)</f>
        <v>https://explore-education-statistics.service.gov.uk/find-statistics/further-education-outcome-based-success-measures</v>
      </c>
      <c r="D100" s="1" t="s">
        <v>2595</v>
      </c>
      <c r="E100" s="1" t="s">
        <v>1156</v>
      </c>
      <c r="F100" s="1" t="s">
        <v>778</v>
      </c>
      <c r="G100" s="1" t="s">
        <v>778</v>
      </c>
      <c r="H100" s="1" t="s">
        <v>778</v>
      </c>
      <c r="I100" s="1" t="s">
        <v>778</v>
      </c>
      <c r="J100" s="1" t="s">
        <v>778</v>
      </c>
      <c r="AU100" s="1" t="s">
        <v>778</v>
      </c>
      <c r="AZ100" s="1" t="s">
        <v>778</v>
      </c>
      <c r="BN100" s="1" t="s">
        <v>778</v>
      </c>
      <c r="BQ100" s="1" t="s">
        <v>778</v>
      </c>
      <c r="BR100" s="1" t="s">
        <v>778</v>
      </c>
      <c r="BS100" s="1" t="s">
        <v>778</v>
      </c>
      <c r="BX100" s="1" t="s">
        <v>778</v>
      </c>
      <c r="BY100" s="1" t="s">
        <v>778</v>
      </c>
      <c r="ER100" s="1" t="s">
        <v>778</v>
      </c>
      <c r="EU100" s="1" t="s">
        <v>778</v>
      </c>
      <c r="EZ100" s="1" t="s">
        <v>778</v>
      </c>
      <c r="FJ100" s="1" t="s">
        <v>778</v>
      </c>
      <c r="GI100" s="1" t="s">
        <v>778</v>
      </c>
      <c r="GY100" s="1" t="s">
        <v>778</v>
      </c>
      <c r="GZ100" s="1" t="s">
        <v>778</v>
      </c>
      <c r="NZ100" s="1" t="s">
        <v>778</v>
      </c>
      <c r="OA100" s="1" t="s">
        <v>778</v>
      </c>
      <c r="OB100" s="1" t="s">
        <v>778</v>
      </c>
      <c r="OC100" s="1" t="s">
        <v>778</v>
      </c>
      <c r="OD100" s="1" t="s">
        <v>778</v>
      </c>
      <c r="OE100" s="1" t="s">
        <v>778</v>
      </c>
      <c r="OF100" s="1" t="s">
        <v>778</v>
      </c>
      <c r="OG100" s="1" t="s">
        <v>778</v>
      </c>
      <c r="OH100" s="1" t="s">
        <v>778</v>
      </c>
      <c r="OX100" s="1" t="s">
        <v>778</v>
      </c>
      <c r="PF100" s="1" t="s">
        <v>778</v>
      </c>
      <c r="PG100" s="1" t="s">
        <v>778</v>
      </c>
      <c r="PH100" s="1" t="s">
        <v>778</v>
      </c>
      <c r="PK100" s="1" t="s">
        <v>778</v>
      </c>
      <c r="PL100" s="1" t="s">
        <v>778</v>
      </c>
    </row>
    <row r="101" spans="1:448" ht="188.5" hidden="1" x14ac:dyDescent="0.35">
      <c r="A101" s="1" t="s">
        <v>859</v>
      </c>
      <c r="B101" s="14" t="s">
        <v>52</v>
      </c>
      <c r="C101" s="1" t="str" cm="1">
        <f t="array" ref="C101">GetURL(B101)</f>
        <v>https://explore-education-statistics.service.gov.uk/find-statistics/further-education-outcome-based-success-measures</v>
      </c>
      <c r="D101" s="1" t="s">
        <v>2595</v>
      </c>
      <c r="E101" s="1" t="s">
        <v>1157</v>
      </c>
      <c r="F101" s="9" t="s">
        <v>778</v>
      </c>
      <c r="G101" s="9" t="s">
        <v>778</v>
      </c>
      <c r="H101" s="9" t="s">
        <v>778</v>
      </c>
      <c r="I101" s="9" t="s">
        <v>778</v>
      </c>
      <c r="J101" s="9" t="s">
        <v>778</v>
      </c>
      <c r="K101" s="9" t="s">
        <v>778</v>
      </c>
      <c r="L101" s="9" t="s">
        <v>778</v>
      </c>
      <c r="BQ101" s="1" t="s">
        <v>778</v>
      </c>
      <c r="ER101" s="1" t="s">
        <v>778</v>
      </c>
      <c r="EU101" s="1" t="s">
        <v>778</v>
      </c>
      <c r="EV101" s="1" t="s">
        <v>778</v>
      </c>
      <c r="EX101" s="1" t="s">
        <v>778</v>
      </c>
      <c r="FG101" s="1" t="s">
        <v>778</v>
      </c>
      <c r="FH101" s="1" t="s">
        <v>778</v>
      </c>
      <c r="FI101" s="1" t="s">
        <v>778</v>
      </c>
      <c r="FJ101" s="1" t="s">
        <v>778</v>
      </c>
      <c r="FO101" s="1" t="s">
        <v>778</v>
      </c>
      <c r="FP101" s="1" t="s">
        <v>778</v>
      </c>
      <c r="FQ101" s="1" t="s">
        <v>778</v>
      </c>
      <c r="FR101" s="1" t="s">
        <v>778</v>
      </c>
      <c r="NO101" s="1" t="s">
        <v>778</v>
      </c>
      <c r="NZ101" s="1" t="s">
        <v>778</v>
      </c>
      <c r="OA101" s="1" t="s">
        <v>778</v>
      </c>
      <c r="OB101" s="1" t="s">
        <v>778</v>
      </c>
      <c r="OC101" s="1" t="s">
        <v>778</v>
      </c>
      <c r="OD101" s="1" t="s">
        <v>778</v>
      </c>
      <c r="OE101" s="1" t="s">
        <v>778</v>
      </c>
      <c r="OF101" s="1" t="s">
        <v>778</v>
      </c>
      <c r="OG101" s="1" t="s">
        <v>778</v>
      </c>
      <c r="OH101" s="1" t="s">
        <v>778</v>
      </c>
      <c r="OX101" s="1" t="s">
        <v>778</v>
      </c>
      <c r="OZ101" s="1" t="s">
        <v>778</v>
      </c>
      <c r="PF101" s="1" t="s">
        <v>778</v>
      </c>
      <c r="PG101" s="1" t="s">
        <v>778</v>
      </c>
      <c r="PJ101" s="1" t="s">
        <v>778</v>
      </c>
      <c r="PK101" s="1" t="s">
        <v>778</v>
      </c>
      <c r="PM101" s="1" t="s">
        <v>778</v>
      </c>
      <c r="PN101" s="1" t="s">
        <v>778</v>
      </c>
      <c r="PO101" s="1" t="s">
        <v>778</v>
      </c>
      <c r="PP101" s="1" t="s">
        <v>778</v>
      </c>
      <c r="PQ101" s="1" t="s">
        <v>778</v>
      </c>
    </row>
    <row r="102" spans="1:448" ht="188.5" hidden="1" x14ac:dyDescent="0.35">
      <c r="A102" s="1" t="s">
        <v>859</v>
      </c>
      <c r="B102" s="14" t="s">
        <v>52</v>
      </c>
      <c r="C102" s="1" t="str" cm="1">
        <f t="array" ref="C102">GetURL(B102)</f>
        <v>https://explore-education-statistics.service.gov.uk/find-statistics/further-education-outcome-based-success-measures</v>
      </c>
      <c r="D102" s="1" t="s">
        <v>2595</v>
      </c>
      <c r="E102" s="1" t="s">
        <v>1158</v>
      </c>
      <c r="F102" s="1" t="s">
        <v>778</v>
      </c>
      <c r="G102" s="1" t="s">
        <v>778</v>
      </c>
      <c r="H102" s="1" t="s">
        <v>778</v>
      </c>
      <c r="I102" s="1" t="s">
        <v>778</v>
      </c>
      <c r="J102" s="1" t="s">
        <v>778</v>
      </c>
      <c r="K102" s="1" t="s">
        <v>778</v>
      </c>
      <c r="L102" s="1" t="s">
        <v>778</v>
      </c>
      <c r="AS102" s="1" t="s">
        <v>778</v>
      </c>
      <c r="AU102" s="1" t="s">
        <v>778</v>
      </c>
      <c r="AZ102" s="1" t="s">
        <v>778</v>
      </c>
      <c r="BN102" s="1" t="s">
        <v>778</v>
      </c>
      <c r="ER102" s="1" t="s">
        <v>778</v>
      </c>
      <c r="EU102" s="1" t="s">
        <v>778</v>
      </c>
      <c r="EV102" s="1" t="s">
        <v>778</v>
      </c>
      <c r="EX102" s="1" t="s">
        <v>778</v>
      </c>
      <c r="FG102" s="1" t="s">
        <v>778</v>
      </c>
      <c r="FH102" s="1" t="s">
        <v>778</v>
      </c>
      <c r="FI102" s="1" t="s">
        <v>778</v>
      </c>
      <c r="FO102" s="1" t="s">
        <v>778</v>
      </c>
      <c r="FP102" s="1" t="s">
        <v>778</v>
      </c>
      <c r="FQ102" s="1" t="s">
        <v>778</v>
      </c>
      <c r="FR102" s="1" t="s">
        <v>778</v>
      </c>
      <c r="GY102" s="1" t="s">
        <v>778</v>
      </c>
      <c r="GZ102" s="1" t="s">
        <v>778</v>
      </c>
      <c r="NO102" s="1" t="s">
        <v>778</v>
      </c>
      <c r="NZ102" s="1" t="s">
        <v>778</v>
      </c>
      <c r="OA102" s="1" t="s">
        <v>778</v>
      </c>
      <c r="OB102" s="1" t="s">
        <v>778</v>
      </c>
      <c r="OC102" s="1" t="s">
        <v>778</v>
      </c>
      <c r="OD102" s="1" t="s">
        <v>778</v>
      </c>
      <c r="OE102" s="1" t="s">
        <v>778</v>
      </c>
      <c r="OF102" s="1" t="s">
        <v>778</v>
      </c>
      <c r="OG102" s="1" t="s">
        <v>778</v>
      </c>
      <c r="OH102" s="1" t="s">
        <v>778</v>
      </c>
      <c r="OX102" s="1" t="s">
        <v>778</v>
      </c>
      <c r="OZ102" s="1" t="s">
        <v>778</v>
      </c>
      <c r="PF102" s="1" t="s">
        <v>778</v>
      </c>
      <c r="PI102" s="1" t="s">
        <v>778</v>
      </c>
      <c r="PJ102" s="1" t="s">
        <v>778</v>
      </c>
      <c r="PK102" s="1" t="s">
        <v>778</v>
      </c>
      <c r="PM102" s="1" t="s">
        <v>778</v>
      </c>
      <c r="PN102" s="1" t="s">
        <v>778</v>
      </c>
      <c r="PO102" s="1" t="s">
        <v>778</v>
      </c>
      <c r="PP102" s="1" t="s">
        <v>778</v>
      </c>
      <c r="PQ102" s="1" t="s">
        <v>778</v>
      </c>
    </row>
    <row r="103" spans="1:448" ht="188.5" hidden="1" x14ac:dyDescent="0.35">
      <c r="A103" s="1" t="s">
        <v>859</v>
      </c>
      <c r="B103" s="14" t="s">
        <v>52</v>
      </c>
      <c r="C103" s="1" t="str" cm="1">
        <f t="array" ref="C103">GetURL(B103)</f>
        <v>https://explore-education-statistics.service.gov.uk/find-statistics/further-education-outcome-based-success-measures</v>
      </c>
      <c r="D103" s="1" t="s">
        <v>2595</v>
      </c>
      <c r="E103" s="1" t="s">
        <v>882</v>
      </c>
      <c r="F103" s="1" t="s">
        <v>778</v>
      </c>
      <c r="G103" s="1" t="s">
        <v>778</v>
      </c>
      <c r="H103" s="1" t="s">
        <v>778</v>
      </c>
      <c r="I103" s="1" t="s">
        <v>778</v>
      </c>
      <c r="J103" s="1" t="s">
        <v>778</v>
      </c>
      <c r="K103" s="1" t="s">
        <v>778</v>
      </c>
      <c r="L103" s="1" t="s">
        <v>778</v>
      </c>
      <c r="AU103" s="1" t="s">
        <v>778</v>
      </c>
      <c r="BQ103" s="1" t="s">
        <v>778</v>
      </c>
      <c r="ER103" s="1" t="s">
        <v>778</v>
      </c>
      <c r="EU103" s="1" t="s">
        <v>778</v>
      </c>
      <c r="EV103" s="1" t="s">
        <v>778</v>
      </c>
      <c r="EX103" s="1" t="s">
        <v>778</v>
      </c>
      <c r="FH103" s="1" t="s">
        <v>778</v>
      </c>
      <c r="FI103" s="1" t="s">
        <v>778</v>
      </c>
      <c r="FJ103" s="1" t="s">
        <v>778</v>
      </c>
      <c r="FO103" s="1" t="s">
        <v>778</v>
      </c>
      <c r="FP103" s="1" t="s">
        <v>778</v>
      </c>
      <c r="FQ103" s="1" t="s">
        <v>778</v>
      </c>
      <c r="FR103" s="1" t="s">
        <v>778</v>
      </c>
      <c r="NO103" s="1" t="s">
        <v>778</v>
      </c>
      <c r="NZ103" s="1" t="s">
        <v>778</v>
      </c>
      <c r="OA103" s="1" t="s">
        <v>778</v>
      </c>
      <c r="OB103" s="1" t="s">
        <v>778</v>
      </c>
      <c r="OC103" s="1" t="s">
        <v>778</v>
      </c>
      <c r="OD103" s="1" t="s">
        <v>778</v>
      </c>
      <c r="OE103" s="1" t="s">
        <v>778</v>
      </c>
      <c r="OF103" s="1" t="s">
        <v>778</v>
      </c>
      <c r="OG103" s="1" t="s">
        <v>778</v>
      </c>
      <c r="OH103" s="1" t="s">
        <v>778</v>
      </c>
      <c r="OX103" s="1" t="s">
        <v>778</v>
      </c>
      <c r="OZ103" s="1" t="s">
        <v>778</v>
      </c>
      <c r="PF103" s="1" t="s">
        <v>778</v>
      </c>
      <c r="PG103" s="1" t="s">
        <v>778</v>
      </c>
      <c r="PJ103" s="1" t="s">
        <v>778</v>
      </c>
      <c r="PM103" s="1" t="s">
        <v>778</v>
      </c>
      <c r="PN103" s="1" t="s">
        <v>778</v>
      </c>
      <c r="PO103" s="1" t="s">
        <v>778</v>
      </c>
      <c r="PP103" s="1" t="s">
        <v>778</v>
      </c>
      <c r="PQ103" s="1" t="s">
        <v>778</v>
      </c>
    </row>
    <row r="104" spans="1:448" ht="188.5" hidden="1" x14ac:dyDescent="0.35">
      <c r="A104" s="1" t="s">
        <v>859</v>
      </c>
      <c r="B104" s="14" t="s">
        <v>52</v>
      </c>
      <c r="C104" s="1" t="str" cm="1">
        <f t="array" ref="C104">GetURL(B104)</f>
        <v>https://explore-education-statistics.service.gov.uk/find-statistics/further-education-outcome-based-success-measures</v>
      </c>
      <c r="D104" s="1" t="s">
        <v>2595</v>
      </c>
      <c r="E104" s="1" t="s">
        <v>884</v>
      </c>
      <c r="F104" s="1" t="s">
        <v>778</v>
      </c>
      <c r="G104" s="1" t="s">
        <v>778</v>
      </c>
      <c r="H104" s="1" t="s">
        <v>778</v>
      </c>
      <c r="I104" s="1" t="s">
        <v>778</v>
      </c>
      <c r="J104" s="1" t="s">
        <v>778</v>
      </c>
      <c r="K104" s="1" t="s">
        <v>778</v>
      </c>
      <c r="L104" s="1" t="s">
        <v>778</v>
      </c>
      <c r="BE104" s="1" t="s">
        <v>778</v>
      </c>
      <c r="BF104" s="1" t="s">
        <v>778</v>
      </c>
      <c r="ER104" s="1" t="s">
        <v>778</v>
      </c>
      <c r="EU104" s="1" t="s">
        <v>778</v>
      </c>
      <c r="EV104" s="1" t="s">
        <v>778</v>
      </c>
      <c r="EX104" s="1" t="s">
        <v>778</v>
      </c>
      <c r="FG104" s="1" t="s">
        <v>778</v>
      </c>
      <c r="FH104" s="1" t="s">
        <v>778</v>
      </c>
      <c r="FI104" s="1" t="s">
        <v>778</v>
      </c>
      <c r="FJ104" s="1" t="s">
        <v>778</v>
      </c>
      <c r="FO104" s="1" t="s">
        <v>778</v>
      </c>
      <c r="FP104" s="1" t="s">
        <v>778</v>
      </c>
      <c r="FQ104" s="1" t="s">
        <v>778</v>
      </c>
      <c r="FR104" s="1" t="s">
        <v>778</v>
      </c>
      <c r="GZ104" s="1" t="s">
        <v>778</v>
      </c>
      <c r="NO104" s="1" t="s">
        <v>778</v>
      </c>
      <c r="NZ104" s="1" t="s">
        <v>778</v>
      </c>
      <c r="OA104" s="1" t="s">
        <v>778</v>
      </c>
      <c r="OB104" s="1" t="s">
        <v>778</v>
      </c>
      <c r="OC104" s="1" t="s">
        <v>778</v>
      </c>
      <c r="OD104" s="1" t="s">
        <v>778</v>
      </c>
      <c r="OE104" s="1" t="s">
        <v>778</v>
      </c>
      <c r="OF104" s="1" t="s">
        <v>778</v>
      </c>
      <c r="OG104" s="1" t="s">
        <v>778</v>
      </c>
      <c r="OH104" s="1" t="s">
        <v>778</v>
      </c>
      <c r="OX104" s="1" t="s">
        <v>778</v>
      </c>
      <c r="OZ104" s="1" t="s">
        <v>778</v>
      </c>
      <c r="PF104" s="1" t="s">
        <v>778</v>
      </c>
      <c r="PI104" s="1" t="s">
        <v>778</v>
      </c>
      <c r="PJ104" s="1" t="s">
        <v>778</v>
      </c>
      <c r="PK104" s="1" t="s">
        <v>778</v>
      </c>
      <c r="PM104" s="1" t="s">
        <v>778</v>
      </c>
      <c r="PN104" s="1" t="s">
        <v>778</v>
      </c>
      <c r="PO104" s="1" t="s">
        <v>778</v>
      </c>
      <c r="PP104" s="1" t="s">
        <v>778</v>
      </c>
      <c r="PQ104" s="1" t="s">
        <v>778</v>
      </c>
    </row>
    <row r="105" spans="1:448" ht="188.5" hidden="1" x14ac:dyDescent="0.35">
      <c r="A105" s="1" t="s">
        <v>859</v>
      </c>
      <c r="B105" s="14" t="s">
        <v>52</v>
      </c>
      <c r="C105" s="1" t="str" cm="1">
        <f t="array" ref="C105">GetURL(B105)</f>
        <v>https://explore-education-statistics.service.gov.uk/find-statistics/further-education-outcome-based-success-measures</v>
      </c>
      <c r="D105" s="1" t="s">
        <v>2595</v>
      </c>
      <c r="E105" s="1" t="s">
        <v>1159</v>
      </c>
      <c r="F105" s="1" t="s">
        <v>778</v>
      </c>
      <c r="G105" s="1" t="s">
        <v>778</v>
      </c>
      <c r="H105" s="1" t="s">
        <v>778</v>
      </c>
      <c r="I105" s="1" t="s">
        <v>778</v>
      </c>
      <c r="J105" s="1" t="s">
        <v>778</v>
      </c>
      <c r="K105" s="1" t="s">
        <v>778</v>
      </c>
      <c r="L105" s="1" t="s">
        <v>778</v>
      </c>
      <c r="AU105" s="1" t="s">
        <v>778</v>
      </c>
      <c r="BN105" s="1" t="s">
        <v>778</v>
      </c>
      <c r="BQ105" s="1" t="s">
        <v>778</v>
      </c>
      <c r="ER105" s="1" t="s">
        <v>778</v>
      </c>
      <c r="EU105" s="1" t="s">
        <v>778</v>
      </c>
      <c r="EY105" s="1" t="s">
        <v>778</v>
      </c>
      <c r="EZ105" s="1" t="s">
        <v>778</v>
      </c>
      <c r="FG105" s="1" t="s">
        <v>778</v>
      </c>
      <c r="FH105" s="1" t="s">
        <v>778</v>
      </c>
      <c r="FI105" s="1" t="s">
        <v>778</v>
      </c>
      <c r="FJ105" s="1" t="s">
        <v>778</v>
      </c>
      <c r="GY105" s="1" t="s">
        <v>778</v>
      </c>
      <c r="GZ105" s="1" t="s">
        <v>778</v>
      </c>
      <c r="NZ105" s="1" t="s">
        <v>778</v>
      </c>
      <c r="OA105" s="1" t="s">
        <v>778</v>
      </c>
      <c r="OB105" s="1" t="s">
        <v>778</v>
      </c>
      <c r="OC105" s="1" t="s">
        <v>778</v>
      </c>
      <c r="OD105" s="1" t="s">
        <v>778</v>
      </c>
      <c r="OE105" s="1" t="s">
        <v>778</v>
      </c>
      <c r="OF105" s="1" t="s">
        <v>778</v>
      </c>
      <c r="OG105" s="1" t="s">
        <v>778</v>
      </c>
      <c r="OH105" s="1" t="s">
        <v>778</v>
      </c>
      <c r="OX105" s="1" t="s">
        <v>778</v>
      </c>
      <c r="PF105" s="1" t="s">
        <v>778</v>
      </c>
      <c r="PG105" s="1" t="s">
        <v>778</v>
      </c>
      <c r="PH105" s="1" t="s">
        <v>778</v>
      </c>
      <c r="PK105" s="1" t="s">
        <v>778</v>
      </c>
      <c r="PL105" s="1" t="s">
        <v>778</v>
      </c>
    </row>
    <row r="106" spans="1:448" ht="188.5" hidden="1" x14ac:dyDescent="0.35">
      <c r="A106" s="1" t="s">
        <v>859</v>
      </c>
      <c r="B106" s="14" t="s">
        <v>52</v>
      </c>
      <c r="C106" s="1" t="str" cm="1">
        <f t="array" ref="C106">GetURL(B106)</f>
        <v>https://explore-education-statistics.service.gov.uk/find-statistics/further-education-outcome-based-success-measures</v>
      </c>
      <c r="D106" s="1" t="s">
        <v>2595</v>
      </c>
      <c r="E106" s="1" t="s">
        <v>1160</v>
      </c>
      <c r="F106" s="9" t="s">
        <v>778</v>
      </c>
      <c r="G106" s="9" t="s">
        <v>778</v>
      </c>
      <c r="H106" s="9" t="s">
        <v>778</v>
      </c>
      <c r="I106" s="9" t="s">
        <v>778</v>
      </c>
      <c r="J106" s="9" t="s">
        <v>778</v>
      </c>
      <c r="AS106" s="9" t="s">
        <v>778</v>
      </c>
      <c r="AU106" s="9" t="s">
        <v>778</v>
      </c>
      <c r="BE106" s="9" t="s">
        <v>778</v>
      </c>
      <c r="BF106" s="9" t="s">
        <v>778</v>
      </c>
      <c r="ER106" s="1" t="s">
        <v>778</v>
      </c>
      <c r="EU106" s="1" t="s">
        <v>778</v>
      </c>
      <c r="EV106" s="1" t="s">
        <v>778</v>
      </c>
      <c r="EX106" s="1" t="s">
        <v>778</v>
      </c>
      <c r="FJ106" s="1" t="s">
        <v>778</v>
      </c>
      <c r="FO106" s="1" t="s">
        <v>778</v>
      </c>
      <c r="FP106" s="1" t="s">
        <v>778</v>
      </c>
      <c r="FQ106" s="1" t="s">
        <v>778</v>
      </c>
      <c r="FR106" s="1" t="s">
        <v>778</v>
      </c>
      <c r="GU106" s="1" t="s">
        <v>778</v>
      </c>
      <c r="GY106" s="1" t="s">
        <v>778</v>
      </c>
      <c r="GZ106" s="1" t="s">
        <v>778</v>
      </c>
      <c r="NO106" s="1" t="s">
        <v>778</v>
      </c>
      <c r="NZ106" s="1" t="s">
        <v>778</v>
      </c>
      <c r="OA106" s="1" t="s">
        <v>778</v>
      </c>
      <c r="OB106" s="1" t="s">
        <v>778</v>
      </c>
      <c r="OC106" s="1" t="s">
        <v>778</v>
      </c>
      <c r="OD106" s="1" t="s">
        <v>778</v>
      </c>
      <c r="OE106" s="1" t="s">
        <v>778</v>
      </c>
      <c r="OF106" s="1" t="s">
        <v>778</v>
      </c>
      <c r="OG106" s="1" t="s">
        <v>778</v>
      </c>
      <c r="OH106" s="1" t="s">
        <v>778</v>
      </c>
      <c r="OX106" s="1" t="s">
        <v>778</v>
      </c>
      <c r="OY106" s="1" t="s">
        <v>778</v>
      </c>
      <c r="OZ106" s="1" t="s">
        <v>778</v>
      </c>
      <c r="PA106" s="1" t="s">
        <v>778</v>
      </c>
      <c r="PF106" s="1" t="s">
        <v>778</v>
      </c>
      <c r="PI106" s="1" t="s">
        <v>778</v>
      </c>
      <c r="PJ106" s="1" t="s">
        <v>778</v>
      </c>
      <c r="PK106" s="1" t="s">
        <v>778</v>
      </c>
      <c r="PM106" s="1" t="s">
        <v>778</v>
      </c>
      <c r="PN106" s="1" t="s">
        <v>778</v>
      </c>
      <c r="PO106" s="1" t="s">
        <v>778</v>
      </c>
      <c r="PP106" s="1" t="s">
        <v>778</v>
      </c>
      <c r="PQ106" s="1" t="s">
        <v>778</v>
      </c>
      <c r="PR106" s="1" t="s">
        <v>778</v>
      </c>
      <c r="PS106" s="1" t="s">
        <v>778</v>
      </c>
      <c r="PT106" s="1" t="s">
        <v>778</v>
      </c>
      <c r="PU106" s="1" t="s">
        <v>778</v>
      </c>
      <c r="QF106" s="1">
        <f>SUM(F106:QE106)</f>
        <v>0</v>
      </c>
    </row>
    <row r="107" spans="1:448" ht="188.5" hidden="1" x14ac:dyDescent="0.35">
      <c r="A107" s="1" t="s">
        <v>859</v>
      </c>
      <c r="B107" s="14" t="s">
        <v>52</v>
      </c>
      <c r="C107" s="1" t="str" cm="1">
        <f t="array" ref="C107">GetURL(B107)</f>
        <v>https://explore-education-statistics.service.gov.uk/find-statistics/further-education-outcome-based-success-measures</v>
      </c>
      <c r="D107" s="1" t="s">
        <v>2595</v>
      </c>
      <c r="E107" s="1" t="s">
        <v>1161</v>
      </c>
      <c r="F107" s="9" t="s">
        <v>778</v>
      </c>
      <c r="G107" s="9" t="s">
        <v>778</v>
      </c>
      <c r="H107" s="9" t="s">
        <v>778</v>
      </c>
      <c r="I107" s="9" t="s">
        <v>778</v>
      </c>
      <c r="J107" s="9" t="s">
        <v>778</v>
      </c>
      <c r="AS107" s="9" t="s">
        <v>778</v>
      </c>
      <c r="AU107" s="1" t="s">
        <v>778</v>
      </c>
      <c r="AY107" s="9"/>
      <c r="BE107" s="9" t="s">
        <v>778</v>
      </c>
      <c r="BF107" s="9" t="s">
        <v>778</v>
      </c>
      <c r="ER107" s="1" t="s">
        <v>778</v>
      </c>
      <c r="EU107" s="1" t="s">
        <v>778</v>
      </c>
      <c r="EV107" s="1" t="s">
        <v>778</v>
      </c>
      <c r="EX107" s="1" t="s">
        <v>778</v>
      </c>
      <c r="FJ107" s="1" t="s">
        <v>778</v>
      </c>
      <c r="FO107" s="1" t="s">
        <v>778</v>
      </c>
      <c r="FP107" s="1" t="s">
        <v>778</v>
      </c>
      <c r="FQ107" s="1" t="s">
        <v>778</v>
      </c>
      <c r="FR107" s="1" t="s">
        <v>778</v>
      </c>
      <c r="GU107" s="1" t="s">
        <v>778</v>
      </c>
      <c r="GY107" s="1" t="s">
        <v>778</v>
      </c>
      <c r="GZ107" s="1" t="s">
        <v>778</v>
      </c>
      <c r="NO107" s="1" t="s">
        <v>778</v>
      </c>
      <c r="NZ107" s="1" t="s">
        <v>778</v>
      </c>
      <c r="OA107" s="1" t="s">
        <v>778</v>
      </c>
      <c r="OB107" s="1" t="s">
        <v>778</v>
      </c>
      <c r="OC107" s="1" t="s">
        <v>778</v>
      </c>
      <c r="OD107" s="1" t="s">
        <v>778</v>
      </c>
      <c r="OE107" s="1" t="s">
        <v>778</v>
      </c>
      <c r="OF107" s="1" t="s">
        <v>778</v>
      </c>
      <c r="OG107" s="1" t="s">
        <v>778</v>
      </c>
      <c r="OH107" s="1" t="s">
        <v>778</v>
      </c>
      <c r="OX107" s="1" t="s">
        <v>778</v>
      </c>
      <c r="OY107" s="1" t="s">
        <v>778</v>
      </c>
      <c r="OZ107" s="1" t="s">
        <v>778</v>
      </c>
      <c r="PA107" s="1" t="s">
        <v>778</v>
      </c>
      <c r="PF107" s="1" t="s">
        <v>778</v>
      </c>
      <c r="PI107" s="1" t="s">
        <v>778</v>
      </c>
      <c r="PJ107" s="1" t="s">
        <v>778</v>
      </c>
      <c r="PK107" s="1" t="s">
        <v>778</v>
      </c>
      <c r="PM107" s="1" t="s">
        <v>778</v>
      </c>
      <c r="PN107" s="1" t="s">
        <v>778</v>
      </c>
      <c r="PO107" s="1" t="s">
        <v>778</v>
      </c>
      <c r="PP107" s="1" t="s">
        <v>778</v>
      </c>
      <c r="PQ107" s="1" t="s">
        <v>778</v>
      </c>
      <c r="PR107" s="1" t="s">
        <v>778</v>
      </c>
      <c r="PS107" s="1" t="s">
        <v>778</v>
      </c>
      <c r="PT107" s="1" t="s">
        <v>778</v>
      </c>
      <c r="PU107" s="1" t="s">
        <v>778</v>
      </c>
      <c r="QF107" s="1">
        <f>SUM(F107:QE107)</f>
        <v>0</v>
      </c>
    </row>
    <row r="108" spans="1:448" ht="188.5" hidden="1" x14ac:dyDescent="0.35">
      <c r="A108" s="1" t="s">
        <v>859</v>
      </c>
      <c r="B108" s="14" t="s">
        <v>52</v>
      </c>
      <c r="C108" s="1" t="str" cm="1">
        <f t="array" ref="C108">GetURL(B108)</f>
        <v>https://explore-education-statistics.service.gov.uk/find-statistics/further-education-outcome-based-success-measures</v>
      </c>
      <c r="D108" s="1" t="s">
        <v>2595</v>
      </c>
      <c r="E108" s="1" t="s">
        <v>1162</v>
      </c>
      <c r="F108" s="1" t="s">
        <v>778</v>
      </c>
      <c r="G108" s="1" t="s">
        <v>778</v>
      </c>
      <c r="H108" s="1" t="s">
        <v>778</v>
      </c>
      <c r="I108" s="1" t="s">
        <v>778</v>
      </c>
      <c r="J108" s="1" t="s">
        <v>778</v>
      </c>
      <c r="AU108" s="1" t="s">
        <v>778</v>
      </c>
      <c r="BE108" s="1" t="s">
        <v>778</v>
      </c>
      <c r="BF108" s="1" t="s">
        <v>778</v>
      </c>
      <c r="BY108" s="1" t="s">
        <v>778</v>
      </c>
      <c r="ER108" s="1" t="s">
        <v>778</v>
      </c>
      <c r="EU108" s="1" t="s">
        <v>778</v>
      </c>
      <c r="EZ108" s="1" t="s">
        <v>778</v>
      </c>
      <c r="FJ108" s="1" t="s">
        <v>778</v>
      </c>
      <c r="GI108" s="1" t="s">
        <v>778</v>
      </c>
      <c r="GU108" s="1" t="s">
        <v>778</v>
      </c>
      <c r="GY108" s="1" t="s">
        <v>778</v>
      </c>
      <c r="GZ108" s="1" t="s">
        <v>778</v>
      </c>
      <c r="NZ108" s="1" t="s">
        <v>778</v>
      </c>
      <c r="OA108" s="1" t="s">
        <v>778</v>
      </c>
      <c r="OB108" s="1" t="s">
        <v>778</v>
      </c>
      <c r="OC108" s="1" t="s">
        <v>778</v>
      </c>
      <c r="OD108" s="1" t="s">
        <v>778</v>
      </c>
      <c r="OE108" s="1" t="s">
        <v>778</v>
      </c>
      <c r="OF108" s="1" t="s">
        <v>778</v>
      </c>
      <c r="OG108" s="1" t="s">
        <v>778</v>
      </c>
      <c r="OH108" s="1" t="s">
        <v>778</v>
      </c>
      <c r="OX108" s="1" t="s">
        <v>778</v>
      </c>
      <c r="PF108" s="1" t="s">
        <v>778</v>
      </c>
      <c r="PG108" s="1" t="s">
        <v>778</v>
      </c>
      <c r="PH108" s="1" t="s">
        <v>778</v>
      </c>
      <c r="PK108" s="1" t="s">
        <v>778</v>
      </c>
      <c r="PL108" s="1" t="s">
        <v>778</v>
      </c>
      <c r="QF108" s="1">
        <f>SUM(F108:QE108)</f>
        <v>0</v>
      </c>
    </row>
    <row r="109" spans="1:448" ht="188.5" hidden="1" x14ac:dyDescent="0.35">
      <c r="A109" s="1" t="s">
        <v>859</v>
      </c>
      <c r="B109" s="14" t="s">
        <v>52</v>
      </c>
      <c r="C109" s="1" t="str" cm="1">
        <f t="array" ref="C109">GetURL(B109)</f>
        <v>https://explore-education-statistics.service.gov.uk/find-statistics/further-education-outcome-based-success-measures</v>
      </c>
      <c r="D109" s="1" t="s">
        <v>2595</v>
      </c>
      <c r="E109" s="1" t="s">
        <v>886</v>
      </c>
      <c r="F109" s="1" t="s">
        <v>778</v>
      </c>
      <c r="G109" s="1" t="s">
        <v>778</v>
      </c>
      <c r="H109" s="1" t="s">
        <v>778</v>
      </c>
      <c r="I109" s="1" t="s">
        <v>778</v>
      </c>
      <c r="J109" s="1" t="s">
        <v>778</v>
      </c>
      <c r="K109" s="1" t="s">
        <v>778</v>
      </c>
      <c r="L109" s="1" t="s">
        <v>778</v>
      </c>
      <c r="P109" s="1" t="s">
        <v>778</v>
      </c>
      <c r="Q109" s="1" t="s">
        <v>778</v>
      </c>
      <c r="AS109" s="1" t="s">
        <v>778</v>
      </c>
      <c r="AU109" s="1" t="s">
        <v>778</v>
      </c>
      <c r="AZ109" s="1" t="s">
        <v>778</v>
      </c>
      <c r="BN109" s="1" t="s">
        <v>778</v>
      </c>
      <c r="ER109" s="1" t="s">
        <v>778</v>
      </c>
      <c r="EU109" s="1" t="s">
        <v>778</v>
      </c>
      <c r="EV109" s="1" t="s">
        <v>778</v>
      </c>
      <c r="EX109" s="1" t="s">
        <v>778</v>
      </c>
      <c r="FJ109" s="1" t="s">
        <v>778</v>
      </c>
      <c r="FO109" s="1" t="s">
        <v>778</v>
      </c>
      <c r="FP109" s="1" t="s">
        <v>778</v>
      </c>
      <c r="FQ109" s="1" t="s">
        <v>778</v>
      </c>
      <c r="FR109" s="1" t="s">
        <v>778</v>
      </c>
      <c r="GY109" s="1" t="s">
        <v>778</v>
      </c>
      <c r="GZ109" s="1" t="s">
        <v>778</v>
      </c>
      <c r="NO109" s="1" t="s">
        <v>778</v>
      </c>
      <c r="NZ109" s="1" t="s">
        <v>778</v>
      </c>
      <c r="OA109" s="1" t="s">
        <v>778</v>
      </c>
      <c r="OB109" s="1" t="s">
        <v>778</v>
      </c>
      <c r="OC109" s="1" t="s">
        <v>778</v>
      </c>
      <c r="OD109" s="1" t="s">
        <v>778</v>
      </c>
      <c r="OE109" s="1" t="s">
        <v>778</v>
      </c>
      <c r="OF109" s="1" t="s">
        <v>778</v>
      </c>
      <c r="OG109" s="1" t="s">
        <v>778</v>
      </c>
      <c r="OH109" s="1" t="s">
        <v>778</v>
      </c>
      <c r="OX109" s="1" t="s">
        <v>778</v>
      </c>
      <c r="OZ109" s="1" t="s">
        <v>778</v>
      </c>
      <c r="PF109" s="1" t="s">
        <v>778</v>
      </c>
      <c r="PI109" s="1" t="s">
        <v>778</v>
      </c>
      <c r="PJ109" s="1" t="s">
        <v>778</v>
      </c>
      <c r="PK109" s="1" t="s">
        <v>778</v>
      </c>
      <c r="PM109" s="1" t="s">
        <v>778</v>
      </c>
      <c r="PN109" s="1" t="s">
        <v>778</v>
      </c>
      <c r="PO109" s="1" t="s">
        <v>778</v>
      </c>
      <c r="PP109" s="1" t="s">
        <v>778</v>
      </c>
      <c r="PQ109" s="1" t="s">
        <v>778</v>
      </c>
      <c r="PR109" s="1" t="s">
        <v>778</v>
      </c>
      <c r="PS109" s="1" t="s">
        <v>778</v>
      </c>
      <c r="PT109" s="1" t="s">
        <v>778</v>
      </c>
      <c r="PU109" s="1" t="s">
        <v>778</v>
      </c>
      <c r="QF109" s="1">
        <f t="shared" ref="QF109:QF112" si="13">SUM(F109:QE109)</f>
        <v>0</v>
      </c>
    </row>
    <row r="110" spans="1:448" ht="188.5" hidden="1" x14ac:dyDescent="0.35">
      <c r="A110" s="1" t="s">
        <v>859</v>
      </c>
      <c r="B110" s="14" t="s">
        <v>52</v>
      </c>
      <c r="C110" s="1" t="str" cm="1">
        <f t="array" ref="C110">GetURL(B110)</f>
        <v>https://explore-education-statistics.service.gov.uk/find-statistics/further-education-outcome-based-success-measures</v>
      </c>
      <c r="D110" s="1" t="s">
        <v>2595</v>
      </c>
      <c r="E110" s="1" t="s">
        <v>887</v>
      </c>
      <c r="F110" s="1" t="s">
        <v>778</v>
      </c>
      <c r="G110" s="1" t="s">
        <v>778</v>
      </c>
      <c r="H110" s="1" t="s">
        <v>778</v>
      </c>
      <c r="I110" s="1" t="s">
        <v>778</v>
      </c>
      <c r="J110" s="1" t="s">
        <v>778</v>
      </c>
      <c r="K110" s="1" t="s">
        <v>778</v>
      </c>
      <c r="L110" s="1" t="s">
        <v>778</v>
      </c>
      <c r="P110" s="1" t="s">
        <v>778</v>
      </c>
      <c r="Q110" s="1" t="s">
        <v>778</v>
      </c>
      <c r="AS110" s="1" t="s">
        <v>778</v>
      </c>
      <c r="AU110" s="1" t="s">
        <v>778</v>
      </c>
      <c r="AZ110" s="1" t="s">
        <v>778</v>
      </c>
      <c r="BN110" s="1" t="s">
        <v>778</v>
      </c>
      <c r="ER110" s="1" t="s">
        <v>778</v>
      </c>
      <c r="EU110" s="1" t="s">
        <v>778</v>
      </c>
      <c r="EV110" s="1" t="s">
        <v>778</v>
      </c>
      <c r="EX110" s="1" t="s">
        <v>778</v>
      </c>
      <c r="FJ110" s="1" t="s">
        <v>778</v>
      </c>
      <c r="FO110" s="1" t="s">
        <v>778</v>
      </c>
      <c r="FP110" s="1" t="s">
        <v>778</v>
      </c>
      <c r="FQ110" s="1" t="s">
        <v>778</v>
      </c>
      <c r="FR110" s="1" t="s">
        <v>778</v>
      </c>
      <c r="GY110" s="1" t="s">
        <v>778</v>
      </c>
      <c r="GZ110" s="1" t="s">
        <v>778</v>
      </c>
      <c r="NO110" s="1" t="s">
        <v>778</v>
      </c>
      <c r="NZ110" s="1" t="s">
        <v>778</v>
      </c>
      <c r="OA110" s="1" t="s">
        <v>778</v>
      </c>
      <c r="OB110" s="1" t="s">
        <v>778</v>
      </c>
      <c r="OC110" s="1" t="s">
        <v>778</v>
      </c>
      <c r="OD110" s="1" t="s">
        <v>778</v>
      </c>
      <c r="OE110" s="1" t="s">
        <v>778</v>
      </c>
      <c r="OF110" s="1" t="s">
        <v>778</v>
      </c>
      <c r="OG110" s="1" t="s">
        <v>778</v>
      </c>
      <c r="OH110" s="1" t="s">
        <v>778</v>
      </c>
      <c r="OX110" s="1" t="s">
        <v>778</v>
      </c>
      <c r="OZ110" s="1" t="s">
        <v>778</v>
      </c>
      <c r="PF110" s="1" t="s">
        <v>778</v>
      </c>
      <c r="PI110" s="1" t="s">
        <v>778</v>
      </c>
      <c r="PJ110" s="1" t="s">
        <v>778</v>
      </c>
      <c r="PK110" s="1" t="s">
        <v>778</v>
      </c>
      <c r="PM110" s="1" t="s">
        <v>778</v>
      </c>
      <c r="PN110" s="1" t="s">
        <v>778</v>
      </c>
      <c r="PO110" s="1" t="s">
        <v>778</v>
      </c>
      <c r="PP110" s="1" t="s">
        <v>778</v>
      </c>
      <c r="PQ110" s="1" t="s">
        <v>778</v>
      </c>
      <c r="PR110" s="1" t="s">
        <v>778</v>
      </c>
      <c r="PS110" s="1" t="s">
        <v>778</v>
      </c>
      <c r="PT110" s="1" t="s">
        <v>778</v>
      </c>
      <c r="PU110" s="1" t="s">
        <v>778</v>
      </c>
      <c r="QF110" s="1">
        <f t="shared" si="13"/>
        <v>0</v>
      </c>
    </row>
    <row r="111" spans="1:448" ht="188.5" hidden="1" x14ac:dyDescent="0.35">
      <c r="A111" s="1" t="s">
        <v>859</v>
      </c>
      <c r="B111" s="14" t="s">
        <v>52</v>
      </c>
      <c r="C111" s="1" t="str" cm="1">
        <f t="array" ref="C111">GetURL(B111)</f>
        <v>https://explore-education-statistics.service.gov.uk/find-statistics/further-education-outcome-based-success-measures</v>
      </c>
      <c r="D111" s="1" t="s">
        <v>2595</v>
      </c>
      <c r="E111" s="1" t="s">
        <v>888</v>
      </c>
      <c r="F111" s="1" t="s">
        <v>778</v>
      </c>
      <c r="G111" s="1" t="s">
        <v>778</v>
      </c>
      <c r="H111" s="1" t="s">
        <v>778</v>
      </c>
      <c r="I111" s="1" t="s">
        <v>778</v>
      </c>
      <c r="J111" s="1" t="s">
        <v>778</v>
      </c>
      <c r="K111" s="1" t="s">
        <v>778</v>
      </c>
      <c r="L111" s="1" t="s">
        <v>778</v>
      </c>
      <c r="P111" s="1" t="s">
        <v>778</v>
      </c>
      <c r="Q111" s="1" t="s">
        <v>778</v>
      </c>
      <c r="BE111" s="1" t="s">
        <v>778</v>
      </c>
      <c r="BF111" s="1" t="s">
        <v>778</v>
      </c>
      <c r="ER111" s="1" t="s">
        <v>778</v>
      </c>
      <c r="EU111" s="1" t="s">
        <v>778</v>
      </c>
      <c r="EV111" s="1" t="s">
        <v>778</v>
      </c>
      <c r="EX111" s="1" t="s">
        <v>778</v>
      </c>
      <c r="FJ111" s="1" t="s">
        <v>778</v>
      </c>
      <c r="FO111" s="1" t="s">
        <v>778</v>
      </c>
      <c r="FP111" s="1" t="s">
        <v>778</v>
      </c>
      <c r="FQ111" s="1" t="s">
        <v>778</v>
      </c>
      <c r="FR111" s="1" t="s">
        <v>778</v>
      </c>
      <c r="GY111" s="1" t="s">
        <v>778</v>
      </c>
      <c r="GZ111" s="1" t="s">
        <v>778</v>
      </c>
      <c r="NO111" s="1" t="s">
        <v>778</v>
      </c>
      <c r="NZ111" s="1" t="s">
        <v>778</v>
      </c>
      <c r="OA111" s="1" t="s">
        <v>778</v>
      </c>
      <c r="OB111" s="1" t="s">
        <v>778</v>
      </c>
      <c r="OC111" s="1" t="s">
        <v>778</v>
      </c>
      <c r="OD111" s="1" t="s">
        <v>778</v>
      </c>
      <c r="OE111" s="1" t="s">
        <v>778</v>
      </c>
      <c r="OF111" s="1" t="s">
        <v>778</v>
      </c>
      <c r="OG111" s="1" t="s">
        <v>778</v>
      </c>
      <c r="OH111" s="1" t="s">
        <v>778</v>
      </c>
      <c r="OX111" s="1" t="s">
        <v>778</v>
      </c>
      <c r="OZ111" s="1" t="s">
        <v>778</v>
      </c>
      <c r="PF111" s="1" t="s">
        <v>778</v>
      </c>
      <c r="PI111" s="1" t="s">
        <v>778</v>
      </c>
      <c r="PJ111" s="1" t="s">
        <v>778</v>
      </c>
      <c r="PK111" s="1" t="s">
        <v>778</v>
      </c>
      <c r="PM111" s="1" t="s">
        <v>778</v>
      </c>
      <c r="PN111" s="1" t="s">
        <v>778</v>
      </c>
      <c r="PO111" s="1" t="s">
        <v>778</v>
      </c>
      <c r="PP111" s="1" t="s">
        <v>778</v>
      </c>
      <c r="PQ111" s="1" t="s">
        <v>778</v>
      </c>
      <c r="PR111" s="1" t="s">
        <v>778</v>
      </c>
      <c r="PS111" s="1" t="s">
        <v>778</v>
      </c>
      <c r="PT111" s="1" t="s">
        <v>778</v>
      </c>
      <c r="PU111" s="1" t="s">
        <v>778</v>
      </c>
      <c r="QF111" s="1">
        <f t="shared" si="13"/>
        <v>0</v>
      </c>
    </row>
    <row r="112" spans="1:448" ht="188.5" hidden="1" x14ac:dyDescent="0.35">
      <c r="A112" s="1" t="s">
        <v>859</v>
      </c>
      <c r="B112" s="14" t="s">
        <v>52</v>
      </c>
      <c r="C112" s="1" t="str" cm="1">
        <f t="array" ref="C112">GetURL(B112)</f>
        <v>https://explore-education-statistics.service.gov.uk/find-statistics/further-education-outcome-based-success-measures</v>
      </c>
      <c r="D112" s="1" t="s">
        <v>2595</v>
      </c>
      <c r="E112" s="1" t="s">
        <v>889</v>
      </c>
      <c r="F112" s="1" t="s">
        <v>778</v>
      </c>
      <c r="G112" s="1" t="s">
        <v>778</v>
      </c>
      <c r="H112" s="1" t="s">
        <v>778</v>
      </c>
      <c r="I112" s="1" t="s">
        <v>778</v>
      </c>
      <c r="J112" s="1" t="s">
        <v>778</v>
      </c>
      <c r="K112" s="1" t="s">
        <v>778</v>
      </c>
      <c r="L112" s="1" t="s">
        <v>778</v>
      </c>
      <c r="M112" s="1" t="s">
        <v>778</v>
      </c>
      <c r="N112" s="1" t="s">
        <v>778</v>
      </c>
      <c r="O112" s="1" t="s">
        <v>778</v>
      </c>
      <c r="AS112" s="1" t="s">
        <v>778</v>
      </c>
      <c r="AU112" s="1" t="s">
        <v>778</v>
      </c>
      <c r="AZ112" s="1" t="s">
        <v>778</v>
      </c>
      <c r="BN112" s="1" t="s">
        <v>778</v>
      </c>
      <c r="ER112" s="1" t="s">
        <v>778</v>
      </c>
      <c r="EU112" s="1" t="s">
        <v>778</v>
      </c>
      <c r="EV112" s="1" t="s">
        <v>778</v>
      </c>
      <c r="EX112" s="1" t="s">
        <v>778</v>
      </c>
      <c r="FJ112" s="1" t="s">
        <v>778</v>
      </c>
      <c r="FO112" s="1" t="s">
        <v>778</v>
      </c>
      <c r="FP112" s="1" t="s">
        <v>778</v>
      </c>
      <c r="FQ112" s="1" t="s">
        <v>778</v>
      </c>
      <c r="FR112" s="1" t="s">
        <v>778</v>
      </c>
      <c r="GY112" s="1" t="s">
        <v>778</v>
      </c>
      <c r="GZ112" s="1" t="s">
        <v>778</v>
      </c>
      <c r="NO112" s="1" t="s">
        <v>778</v>
      </c>
      <c r="NZ112" s="1" t="s">
        <v>778</v>
      </c>
      <c r="OA112" s="1" t="s">
        <v>778</v>
      </c>
      <c r="OB112" s="1" t="s">
        <v>778</v>
      </c>
      <c r="OC112" s="1" t="s">
        <v>778</v>
      </c>
      <c r="OD112" s="1" t="s">
        <v>778</v>
      </c>
      <c r="OE112" s="1" t="s">
        <v>778</v>
      </c>
      <c r="OF112" s="1" t="s">
        <v>778</v>
      </c>
      <c r="OG112" s="1" t="s">
        <v>778</v>
      </c>
      <c r="OH112" s="1" t="s">
        <v>778</v>
      </c>
      <c r="OX112" s="1" t="s">
        <v>778</v>
      </c>
      <c r="OZ112" s="1" t="s">
        <v>778</v>
      </c>
      <c r="PF112" s="1" t="s">
        <v>778</v>
      </c>
      <c r="PI112" s="1" t="s">
        <v>778</v>
      </c>
      <c r="PJ112" s="1" t="s">
        <v>778</v>
      </c>
      <c r="PK112" s="1" t="s">
        <v>778</v>
      </c>
      <c r="PM112" s="1" t="s">
        <v>778</v>
      </c>
      <c r="PN112" s="1" t="s">
        <v>778</v>
      </c>
      <c r="PO112" s="1" t="s">
        <v>778</v>
      </c>
      <c r="PP112" s="1" t="s">
        <v>778</v>
      </c>
      <c r="PQ112" s="1" t="s">
        <v>778</v>
      </c>
      <c r="PR112" s="1" t="s">
        <v>778</v>
      </c>
      <c r="PS112" s="1" t="s">
        <v>778</v>
      </c>
      <c r="PT112" s="1" t="s">
        <v>778</v>
      </c>
      <c r="PU112" s="1" t="s">
        <v>778</v>
      </c>
      <c r="QF112" s="1">
        <f t="shared" si="13"/>
        <v>0</v>
      </c>
    </row>
    <row r="113" spans="1:472" ht="188.5" hidden="1" x14ac:dyDescent="0.35">
      <c r="A113" s="1" t="s">
        <v>859</v>
      </c>
      <c r="B113" s="14" t="s">
        <v>52</v>
      </c>
      <c r="C113" s="1" t="str" cm="1">
        <f t="array" ref="C113">GetURL(B113)</f>
        <v>https://explore-education-statistics.service.gov.uk/find-statistics/further-education-outcome-based-success-measures</v>
      </c>
      <c r="D113" s="1" t="s">
        <v>2595</v>
      </c>
      <c r="E113" s="1" t="s">
        <v>890</v>
      </c>
      <c r="F113" s="1" t="s">
        <v>778</v>
      </c>
      <c r="G113" s="1" t="s">
        <v>778</v>
      </c>
      <c r="H113" s="1" t="s">
        <v>778</v>
      </c>
      <c r="I113" s="1" t="s">
        <v>778</v>
      </c>
      <c r="J113" s="1" t="s">
        <v>778</v>
      </c>
      <c r="K113" s="1" t="s">
        <v>778</v>
      </c>
      <c r="L113" s="1" t="s">
        <v>778</v>
      </c>
      <c r="M113" s="1" t="s">
        <v>778</v>
      </c>
      <c r="N113" s="1" t="s">
        <v>778</v>
      </c>
      <c r="O113" s="1" t="s">
        <v>778</v>
      </c>
      <c r="BE113" s="1" t="s">
        <v>778</v>
      </c>
      <c r="BF113" s="1" t="s">
        <v>778</v>
      </c>
      <c r="ER113" s="1" t="s">
        <v>778</v>
      </c>
      <c r="EU113" s="1" t="s">
        <v>778</v>
      </c>
      <c r="EV113" s="1" t="s">
        <v>778</v>
      </c>
      <c r="EX113" s="1" t="s">
        <v>778</v>
      </c>
      <c r="FJ113" s="1" t="s">
        <v>778</v>
      </c>
      <c r="FO113" s="1" t="s">
        <v>778</v>
      </c>
      <c r="FP113" s="1" t="s">
        <v>778</v>
      </c>
      <c r="FQ113" s="1" t="s">
        <v>778</v>
      </c>
      <c r="FR113" s="1" t="s">
        <v>778</v>
      </c>
      <c r="GY113" s="1" t="s">
        <v>778</v>
      </c>
      <c r="GZ113" s="1" t="s">
        <v>778</v>
      </c>
      <c r="NO113" s="1" t="s">
        <v>778</v>
      </c>
      <c r="NZ113" s="1" t="s">
        <v>778</v>
      </c>
      <c r="OA113" s="1" t="s">
        <v>778</v>
      </c>
      <c r="OB113" s="1" t="s">
        <v>778</v>
      </c>
      <c r="OC113" s="1" t="s">
        <v>778</v>
      </c>
      <c r="OD113" s="1" t="s">
        <v>778</v>
      </c>
      <c r="OE113" s="1" t="s">
        <v>778</v>
      </c>
      <c r="OF113" s="1" t="s">
        <v>778</v>
      </c>
      <c r="OG113" s="1" t="s">
        <v>778</v>
      </c>
      <c r="OH113" s="1" t="s">
        <v>778</v>
      </c>
      <c r="OX113" s="1" t="s">
        <v>778</v>
      </c>
      <c r="OZ113" s="1" t="s">
        <v>778</v>
      </c>
      <c r="PF113" s="1" t="s">
        <v>778</v>
      </c>
      <c r="PI113" s="1" t="s">
        <v>778</v>
      </c>
      <c r="PJ113" s="1" t="s">
        <v>778</v>
      </c>
      <c r="PK113" s="1" t="s">
        <v>778</v>
      </c>
      <c r="PM113" s="1" t="s">
        <v>778</v>
      </c>
      <c r="PN113" s="1" t="s">
        <v>778</v>
      </c>
      <c r="PO113" s="1" t="s">
        <v>778</v>
      </c>
      <c r="PP113" s="1" t="s">
        <v>778</v>
      </c>
      <c r="PQ113" s="1" t="s">
        <v>778</v>
      </c>
      <c r="PR113" s="1" t="s">
        <v>778</v>
      </c>
      <c r="PS113" s="1" t="s">
        <v>778</v>
      </c>
      <c r="PT113" s="1" t="s">
        <v>778</v>
      </c>
      <c r="PU113" s="1" t="s">
        <v>778</v>
      </c>
      <c r="QF113" s="1">
        <v>0</v>
      </c>
    </row>
    <row r="114" spans="1:472" ht="188.5" hidden="1" x14ac:dyDescent="0.35">
      <c r="A114" s="1" t="s">
        <v>859</v>
      </c>
      <c r="B114" s="14" t="s">
        <v>52</v>
      </c>
      <c r="C114" s="1" t="str" cm="1">
        <f t="array" ref="C114">GetURL(B114)</f>
        <v>https://explore-education-statistics.service.gov.uk/find-statistics/further-education-outcome-based-success-measures</v>
      </c>
      <c r="D114" s="1" t="s">
        <v>2595</v>
      </c>
      <c r="E114" s="1" t="s">
        <v>891</v>
      </c>
      <c r="F114" s="1" t="s">
        <v>778</v>
      </c>
      <c r="G114" s="1" t="s">
        <v>778</v>
      </c>
      <c r="H114" s="1" t="s">
        <v>778</v>
      </c>
      <c r="I114" s="1" t="s">
        <v>778</v>
      </c>
      <c r="J114" s="1" t="s">
        <v>778</v>
      </c>
      <c r="K114" s="1" t="s">
        <v>778</v>
      </c>
      <c r="L114" s="1" t="s">
        <v>778</v>
      </c>
      <c r="AB114" s="1" t="s">
        <v>778</v>
      </c>
      <c r="AC114" s="1" t="s">
        <v>778</v>
      </c>
      <c r="AS114" s="1" t="s">
        <v>778</v>
      </c>
      <c r="AU114" s="1" t="s">
        <v>778</v>
      </c>
      <c r="AZ114" s="1" t="s">
        <v>778</v>
      </c>
      <c r="BN114" s="1" t="s">
        <v>778</v>
      </c>
      <c r="ER114" s="1" t="s">
        <v>778</v>
      </c>
      <c r="EU114" s="1" t="s">
        <v>778</v>
      </c>
      <c r="EV114" s="1" t="s">
        <v>778</v>
      </c>
      <c r="EX114" s="1" t="s">
        <v>778</v>
      </c>
      <c r="FJ114" s="1" t="s">
        <v>778</v>
      </c>
      <c r="FO114" s="1" t="s">
        <v>778</v>
      </c>
      <c r="FP114" s="1" t="s">
        <v>778</v>
      </c>
      <c r="FQ114" s="1" t="s">
        <v>778</v>
      </c>
      <c r="FR114" s="1" t="s">
        <v>778</v>
      </c>
      <c r="GY114" s="1" t="s">
        <v>778</v>
      </c>
      <c r="GZ114" s="1" t="s">
        <v>778</v>
      </c>
      <c r="NO114" s="1" t="s">
        <v>778</v>
      </c>
      <c r="NZ114" s="1" t="s">
        <v>778</v>
      </c>
      <c r="OA114" s="1" t="s">
        <v>778</v>
      </c>
      <c r="OB114" s="1" t="s">
        <v>778</v>
      </c>
      <c r="OC114" s="1" t="s">
        <v>778</v>
      </c>
      <c r="OD114" s="1" t="s">
        <v>778</v>
      </c>
      <c r="OE114" s="1" t="s">
        <v>778</v>
      </c>
      <c r="OF114" s="1" t="s">
        <v>778</v>
      </c>
      <c r="OG114" s="1" t="s">
        <v>778</v>
      </c>
      <c r="OH114" s="1" t="s">
        <v>778</v>
      </c>
      <c r="OX114" s="1" t="s">
        <v>778</v>
      </c>
      <c r="OZ114" s="1" t="s">
        <v>778</v>
      </c>
      <c r="PF114" s="1" t="s">
        <v>778</v>
      </c>
      <c r="PI114" s="1" t="s">
        <v>778</v>
      </c>
      <c r="PJ114" s="1" t="s">
        <v>778</v>
      </c>
      <c r="PK114" s="1" t="s">
        <v>778</v>
      </c>
      <c r="PM114" s="1" t="s">
        <v>778</v>
      </c>
      <c r="PN114" s="1" t="s">
        <v>778</v>
      </c>
      <c r="PO114" s="1" t="s">
        <v>778</v>
      </c>
      <c r="PP114" s="1" t="s">
        <v>778</v>
      </c>
      <c r="PQ114" s="1" t="s">
        <v>778</v>
      </c>
      <c r="PR114" s="1" t="s">
        <v>778</v>
      </c>
      <c r="PS114" s="1" t="s">
        <v>778</v>
      </c>
      <c r="PT114" s="1" t="s">
        <v>778</v>
      </c>
      <c r="PU114" s="1" t="s">
        <v>778</v>
      </c>
      <c r="QF114" s="1">
        <v>0</v>
      </c>
    </row>
    <row r="115" spans="1:472" ht="188.5" hidden="1" x14ac:dyDescent="0.35">
      <c r="A115" s="1" t="s">
        <v>859</v>
      </c>
      <c r="B115" s="14" t="s">
        <v>52</v>
      </c>
      <c r="C115" s="1" t="str" cm="1">
        <f t="array" ref="C115">GetURL(B115)</f>
        <v>https://explore-education-statistics.service.gov.uk/find-statistics/further-education-outcome-based-success-measures</v>
      </c>
      <c r="D115" s="1" t="s">
        <v>2595</v>
      </c>
      <c r="E115" s="1" t="s">
        <v>892</v>
      </c>
      <c r="F115" s="1" t="s">
        <v>778</v>
      </c>
      <c r="G115" s="1" t="s">
        <v>778</v>
      </c>
      <c r="H115" s="1" t="s">
        <v>778</v>
      </c>
      <c r="I115" s="1" t="s">
        <v>778</v>
      </c>
      <c r="J115" s="1" t="s">
        <v>778</v>
      </c>
      <c r="K115" s="1" t="s">
        <v>778</v>
      </c>
      <c r="L115" s="1" t="s">
        <v>778</v>
      </c>
      <c r="AB115" s="1" t="s">
        <v>778</v>
      </c>
      <c r="AC115" s="1" t="s">
        <v>778</v>
      </c>
      <c r="BE115" s="1" t="s">
        <v>778</v>
      </c>
      <c r="BF115" s="1" t="s">
        <v>778</v>
      </c>
      <c r="ER115" s="1" t="s">
        <v>778</v>
      </c>
      <c r="EU115" s="1" t="s">
        <v>778</v>
      </c>
      <c r="EV115" s="1" t="s">
        <v>778</v>
      </c>
      <c r="EX115" s="1" t="s">
        <v>778</v>
      </c>
      <c r="FJ115" s="1" t="s">
        <v>778</v>
      </c>
      <c r="FO115" s="1" t="s">
        <v>778</v>
      </c>
      <c r="FP115" s="1" t="s">
        <v>778</v>
      </c>
      <c r="FQ115" s="1" t="s">
        <v>778</v>
      </c>
      <c r="FR115" s="1" t="s">
        <v>778</v>
      </c>
      <c r="GY115" s="1" t="s">
        <v>778</v>
      </c>
      <c r="GZ115" s="1" t="s">
        <v>778</v>
      </c>
      <c r="NO115" s="1" t="s">
        <v>778</v>
      </c>
      <c r="NZ115" s="1" t="s">
        <v>778</v>
      </c>
      <c r="OA115" s="1" t="s">
        <v>778</v>
      </c>
      <c r="OB115" s="1" t="s">
        <v>778</v>
      </c>
      <c r="OC115" s="1" t="s">
        <v>778</v>
      </c>
      <c r="OD115" s="1" t="s">
        <v>778</v>
      </c>
      <c r="OE115" s="1" t="s">
        <v>778</v>
      </c>
      <c r="OF115" s="1" t="s">
        <v>778</v>
      </c>
      <c r="OG115" s="1" t="s">
        <v>778</v>
      </c>
      <c r="OH115" s="1" t="s">
        <v>778</v>
      </c>
      <c r="OX115" s="1" t="s">
        <v>778</v>
      </c>
      <c r="OZ115" s="1" t="s">
        <v>778</v>
      </c>
      <c r="PF115" s="1" t="s">
        <v>778</v>
      </c>
      <c r="PI115" s="1" t="s">
        <v>778</v>
      </c>
      <c r="PJ115" s="1" t="s">
        <v>778</v>
      </c>
      <c r="PK115" s="1" t="s">
        <v>778</v>
      </c>
      <c r="PM115" s="1" t="s">
        <v>778</v>
      </c>
      <c r="PN115" s="1" t="s">
        <v>778</v>
      </c>
      <c r="PO115" s="1" t="s">
        <v>778</v>
      </c>
      <c r="PP115" s="1" t="s">
        <v>778</v>
      </c>
      <c r="PQ115" s="1" t="s">
        <v>778</v>
      </c>
      <c r="PR115" s="1" t="s">
        <v>778</v>
      </c>
      <c r="PS115" s="1" t="s">
        <v>778</v>
      </c>
      <c r="PT115" s="1" t="s">
        <v>778</v>
      </c>
      <c r="PU115" s="1" t="s">
        <v>778</v>
      </c>
      <c r="QF115" s="1">
        <v>0</v>
      </c>
    </row>
    <row r="116" spans="1:472" ht="188.5" hidden="1" x14ac:dyDescent="0.35">
      <c r="A116" s="1" t="s">
        <v>859</v>
      </c>
      <c r="B116" s="14" t="s">
        <v>52</v>
      </c>
      <c r="C116" s="1" t="str" cm="1">
        <f t="array" ref="C116">GetURL(B116)</f>
        <v>https://explore-education-statistics.service.gov.uk/find-statistics/further-education-outcome-based-success-measures</v>
      </c>
      <c r="D116" s="1" t="s">
        <v>2595</v>
      </c>
      <c r="E116" s="1" t="s">
        <v>893</v>
      </c>
      <c r="F116" s="1" t="s">
        <v>778</v>
      </c>
      <c r="G116" s="1" t="s">
        <v>778</v>
      </c>
      <c r="H116" s="1" t="s">
        <v>778</v>
      </c>
      <c r="I116" s="1" t="s">
        <v>778</v>
      </c>
      <c r="J116" s="1" t="s">
        <v>778</v>
      </c>
      <c r="K116" s="1" t="s">
        <v>778</v>
      </c>
      <c r="L116" s="1" t="s">
        <v>778</v>
      </c>
      <c r="Z116" s="1" t="s">
        <v>778</v>
      </c>
      <c r="AA116" s="1" t="s">
        <v>778</v>
      </c>
      <c r="BE116" s="1" t="s">
        <v>778</v>
      </c>
      <c r="BF116" s="1" t="s">
        <v>778</v>
      </c>
      <c r="ER116" s="1" t="s">
        <v>778</v>
      </c>
      <c r="EU116" s="1" t="s">
        <v>778</v>
      </c>
      <c r="EV116" s="1" t="s">
        <v>778</v>
      </c>
      <c r="EX116" s="1" t="s">
        <v>778</v>
      </c>
      <c r="FJ116" s="1" t="s">
        <v>778</v>
      </c>
      <c r="FO116" s="1" t="s">
        <v>778</v>
      </c>
      <c r="FP116" s="1" t="s">
        <v>778</v>
      </c>
      <c r="FQ116" s="1" t="s">
        <v>778</v>
      </c>
      <c r="FR116" s="1" t="s">
        <v>778</v>
      </c>
      <c r="GY116" s="1" t="s">
        <v>778</v>
      </c>
      <c r="GZ116" s="1" t="s">
        <v>778</v>
      </c>
      <c r="NO116" s="1" t="s">
        <v>778</v>
      </c>
      <c r="NZ116" s="1" t="s">
        <v>778</v>
      </c>
      <c r="OA116" s="1" t="s">
        <v>778</v>
      </c>
      <c r="OB116" s="1" t="s">
        <v>778</v>
      </c>
      <c r="OC116" s="1" t="s">
        <v>778</v>
      </c>
      <c r="OD116" s="1" t="s">
        <v>778</v>
      </c>
      <c r="OE116" s="1" t="s">
        <v>778</v>
      </c>
      <c r="OF116" s="1" t="s">
        <v>778</v>
      </c>
      <c r="OG116" s="1" t="s">
        <v>778</v>
      </c>
      <c r="OH116" s="1" t="s">
        <v>778</v>
      </c>
      <c r="OX116" s="1" t="s">
        <v>778</v>
      </c>
      <c r="OZ116" s="1" t="s">
        <v>778</v>
      </c>
      <c r="PF116" s="1" t="s">
        <v>778</v>
      </c>
      <c r="PI116" s="1" t="s">
        <v>778</v>
      </c>
      <c r="PJ116" s="1" t="s">
        <v>778</v>
      </c>
      <c r="PK116" s="1" t="s">
        <v>778</v>
      </c>
      <c r="PM116" s="1" t="s">
        <v>778</v>
      </c>
      <c r="PN116" s="1" t="s">
        <v>778</v>
      </c>
      <c r="PO116" s="1" t="s">
        <v>778</v>
      </c>
      <c r="PP116" s="1" t="s">
        <v>778</v>
      </c>
      <c r="PQ116" s="1" t="s">
        <v>778</v>
      </c>
      <c r="PR116" s="1" t="s">
        <v>778</v>
      </c>
      <c r="PS116" s="1" t="s">
        <v>778</v>
      </c>
      <c r="PT116" s="1" t="s">
        <v>778</v>
      </c>
      <c r="PU116" s="1" t="s">
        <v>778</v>
      </c>
      <c r="QF116" s="1">
        <f>SUM(F116:QE116)</f>
        <v>0</v>
      </c>
    </row>
    <row r="117" spans="1:472" ht="188.5" hidden="1" x14ac:dyDescent="0.35">
      <c r="A117" s="1" t="s">
        <v>859</v>
      </c>
      <c r="B117" s="14" t="s">
        <v>52</v>
      </c>
      <c r="C117" s="1" t="str" cm="1">
        <f t="array" ref="C117">GetURL(B117)</f>
        <v>https://explore-education-statistics.service.gov.uk/find-statistics/further-education-outcome-based-success-measures</v>
      </c>
      <c r="D117" s="1" t="s">
        <v>2595</v>
      </c>
      <c r="E117" s="1" t="s">
        <v>894</v>
      </c>
      <c r="F117" s="1" t="s">
        <v>778</v>
      </c>
      <c r="G117" s="1" t="s">
        <v>778</v>
      </c>
      <c r="H117" s="1" t="s">
        <v>778</v>
      </c>
      <c r="I117" s="1" t="s">
        <v>778</v>
      </c>
      <c r="J117" s="1" t="s">
        <v>778</v>
      </c>
      <c r="AZ117" s="1" t="s">
        <v>778</v>
      </c>
      <c r="BE117" s="1" t="s">
        <v>778</v>
      </c>
      <c r="BF117" s="1" t="s">
        <v>778</v>
      </c>
      <c r="BR117" s="1" t="s">
        <v>778</v>
      </c>
      <c r="ER117" s="1" t="s">
        <v>778</v>
      </c>
      <c r="EW117" s="1" t="s">
        <v>778</v>
      </c>
      <c r="FJ117" s="1" t="s">
        <v>778</v>
      </c>
      <c r="GU117" s="1" t="s">
        <v>778</v>
      </c>
      <c r="GZ117" s="1" t="s">
        <v>778</v>
      </c>
      <c r="PS117" s="1" t="s">
        <v>778</v>
      </c>
      <c r="PT117" s="1" t="s">
        <v>778</v>
      </c>
      <c r="PU117" s="1" t="s">
        <v>778</v>
      </c>
      <c r="QF117" s="1">
        <f>SUM(F117:QE117)</f>
        <v>0</v>
      </c>
    </row>
    <row r="118" spans="1:472" ht="188.5" hidden="1" x14ac:dyDescent="0.35">
      <c r="A118" s="1" t="s">
        <v>859</v>
      </c>
      <c r="B118" s="14" t="s">
        <v>52</v>
      </c>
      <c r="C118" s="1" t="str" cm="1">
        <f t="array" ref="C118">GetURL(B118)</f>
        <v>https://explore-education-statistics.service.gov.uk/find-statistics/further-education-outcome-based-success-measures</v>
      </c>
      <c r="D118" s="1" t="s">
        <v>2595</v>
      </c>
      <c r="E118" s="1" t="s">
        <v>895</v>
      </c>
      <c r="F118" s="1" t="s">
        <v>778</v>
      </c>
      <c r="G118" s="1" t="s">
        <v>778</v>
      </c>
      <c r="H118" s="1" t="s">
        <v>778</v>
      </c>
      <c r="I118" s="1" t="s">
        <v>778</v>
      </c>
      <c r="J118" s="1" t="s">
        <v>778</v>
      </c>
      <c r="AU118" s="1" t="s">
        <v>778</v>
      </c>
      <c r="AZ118" s="1" t="s">
        <v>778</v>
      </c>
      <c r="BB118" s="1" t="s">
        <v>778</v>
      </c>
      <c r="BE118" s="1" t="s">
        <v>778</v>
      </c>
      <c r="BF118" s="1" t="s">
        <v>778</v>
      </c>
      <c r="BR118" s="1" t="s">
        <v>778</v>
      </c>
      <c r="FJ118" s="1" t="s">
        <v>778</v>
      </c>
      <c r="GY118" s="1" t="s">
        <v>778</v>
      </c>
      <c r="NM118" s="1" t="s">
        <v>778</v>
      </c>
      <c r="NN118" s="1" t="s">
        <v>778</v>
      </c>
      <c r="PA118" s="1" t="s">
        <v>778</v>
      </c>
      <c r="QF118" s="1">
        <f>SUM(F118:QE118)</f>
        <v>0</v>
      </c>
    </row>
    <row r="119" spans="1:472" ht="188.5" hidden="1" x14ac:dyDescent="0.35">
      <c r="A119" s="1" t="s">
        <v>859</v>
      </c>
      <c r="B119" s="14" t="s">
        <v>52</v>
      </c>
      <c r="C119" s="1" t="str" cm="1">
        <f t="array" ref="C119">GetURL(B119)</f>
        <v>https://explore-education-statistics.service.gov.uk/find-statistics/further-education-outcome-based-success-measures</v>
      </c>
      <c r="D119" s="1" t="s">
        <v>2595</v>
      </c>
      <c r="E119" s="1" t="s">
        <v>896</v>
      </c>
      <c r="F119" s="1" t="s">
        <v>778</v>
      </c>
      <c r="G119" s="1" t="s">
        <v>778</v>
      </c>
      <c r="H119" s="1" t="s">
        <v>778</v>
      </c>
      <c r="I119" s="1" t="s">
        <v>778</v>
      </c>
      <c r="J119" s="1" t="s">
        <v>778</v>
      </c>
      <c r="K119" s="1" t="s">
        <v>778</v>
      </c>
      <c r="L119" s="1" t="s">
        <v>778</v>
      </c>
      <c r="BB119" s="1" t="s">
        <v>778</v>
      </c>
      <c r="BE119" s="1" t="s">
        <v>778</v>
      </c>
      <c r="BF119" s="1" t="s">
        <v>778</v>
      </c>
      <c r="FJ119" s="1" t="s">
        <v>778</v>
      </c>
      <c r="GY119" s="1" t="s">
        <v>778</v>
      </c>
      <c r="NM119" s="1" t="s">
        <v>778</v>
      </c>
      <c r="NN119" s="1" t="s">
        <v>778</v>
      </c>
      <c r="PA119" s="1" t="s">
        <v>778</v>
      </c>
      <c r="QF119" s="1">
        <f>SUM(F119:QE119)</f>
        <v>0</v>
      </c>
    </row>
    <row r="120" spans="1:472" ht="159.5" hidden="1" x14ac:dyDescent="0.35">
      <c r="A120" s="1" t="s">
        <v>859</v>
      </c>
      <c r="B120" s="14" t="s">
        <v>89</v>
      </c>
      <c r="C120" s="1" t="str" cm="1">
        <f t="array" ref="C120">GetURL(B120)</f>
        <v>https://explore-education-statistics.service.gov.uk/find-statistics/progression-to-higher-education-or-training</v>
      </c>
      <c r="D120" s="1" t="s">
        <v>2596</v>
      </c>
      <c r="E120" s="1" t="s">
        <v>897</v>
      </c>
      <c r="F120" s="1" t="s">
        <v>778</v>
      </c>
      <c r="G120" s="1" t="s">
        <v>778</v>
      </c>
      <c r="H120" s="1" t="s">
        <v>778</v>
      </c>
      <c r="I120" s="1" t="s">
        <v>778</v>
      </c>
      <c r="J120" s="1" t="s">
        <v>778</v>
      </c>
      <c r="AF120" s="1" t="s">
        <v>778</v>
      </c>
      <c r="AH120" s="1" t="s">
        <v>778</v>
      </c>
      <c r="IY120" s="1" t="s">
        <v>778</v>
      </c>
      <c r="JK120" s="1" t="s">
        <v>778</v>
      </c>
      <c r="JL120" s="1" t="s">
        <v>778</v>
      </c>
      <c r="NJ120" s="1" t="s">
        <v>778</v>
      </c>
      <c r="QF120" s="1" t="s">
        <v>778</v>
      </c>
      <c r="QG120" s="1" t="s">
        <v>778</v>
      </c>
      <c r="QH120" s="1" t="s">
        <v>778</v>
      </c>
      <c r="QI120" s="1" t="s">
        <v>778</v>
      </c>
      <c r="QK120" s="1" t="s">
        <v>778</v>
      </c>
      <c r="QL120" s="1" t="s">
        <v>778</v>
      </c>
      <c r="QM120" s="1" t="s">
        <v>778</v>
      </c>
      <c r="QN120" s="1" t="s">
        <v>778</v>
      </c>
      <c r="QO120" s="1" t="s">
        <v>778</v>
      </c>
      <c r="QP120" s="1" t="s">
        <v>778</v>
      </c>
      <c r="QQ120" s="1" t="s">
        <v>778</v>
      </c>
      <c r="QR120" s="1" t="s">
        <v>778</v>
      </c>
      <c r="QS120" s="1" t="s">
        <v>778</v>
      </c>
      <c r="QT120" s="1" t="s">
        <v>778</v>
      </c>
      <c r="QU120" s="1" t="s">
        <v>778</v>
      </c>
      <c r="QV120" s="1" t="s">
        <v>778</v>
      </c>
      <c r="QW120" s="1" t="s">
        <v>778</v>
      </c>
      <c r="QX120" s="1" t="s">
        <v>778</v>
      </c>
      <c r="QY120" s="1" t="s">
        <v>778</v>
      </c>
      <c r="QZ120" s="1" t="s">
        <v>778</v>
      </c>
      <c r="RA120" s="1" t="s">
        <v>778</v>
      </c>
    </row>
    <row r="121" spans="1:472" ht="159.5" hidden="1" x14ac:dyDescent="0.35">
      <c r="A121" s="1" t="s">
        <v>859</v>
      </c>
      <c r="B121" s="14" t="s">
        <v>89</v>
      </c>
      <c r="C121" s="1" t="str" cm="1">
        <f t="array" ref="C121">GetURL(B121)</f>
        <v>https://explore-education-statistics.service.gov.uk/find-statistics/progression-to-higher-education-or-training</v>
      </c>
      <c r="D121" s="1" t="s">
        <v>2596</v>
      </c>
      <c r="E121" s="1" t="s">
        <v>898</v>
      </c>
      <c r="F121" s="1" t="s">
        <v>778</v>
      </c>
      <c r="G121" s="1" t="s">
        <v>778</v>
      </c>
      <c r="H121" s="1" t="s">
        <v>778</v>
      </c>
      <c r="I121" s="1" t="s">
        <v>778</v>
      </c>
      <c r="J121" s="1" t="s">
        <v>778</v>
      </c>
      <c r="AF121" s="1" t="s">
        <v>778</v>
      </c>
      <c r="AH121" s="1" t="s">
        <v>778</v>
      </c>
      <c r="JK121" s="1" t="s">
        <v>778</v>
      </c>
      <c r="JL121" s="1" t="s">
        <v>778</v>
      </c>
      <c r="NJ121" s="1" t="s">
        <v>778</v>
      </c>
      <c r="QF121" s="1" t="s">
        <v>778</v>
      </c>
    </row>
    <row r="122" spans="1:472" ht="159.5" hidden="1" x14ac:dyDescent="0.35">
      <c r="A122" s="1" t="s">
        <v>859</v>
      </c>
      <c r="B122" s="14" t="s">
        <v>89</v>
      </c>
      <c r="C122" s="1" t="str" cm="1">
        <f t="array" ref="C122">GetURL(B122)</f>
        <v>https://explore-education-statistics.service.gov.uk/find-statistics/progression-to-higher-education-or-training</v>
      </c>
      <c r="D122" s="1" t="s">
        <v>2596</v>
      </c>
      <c r="E122" s="1" t="s">
        <v>899</v>
      </c>
      <c r="F122" s="1" t="s">
        <v>778</v>
      </c>
      <c r="G122" s="1" t="s">
        <v>778</v>
      </c>
      <c r="H122" s="1" t="s">
        <v>778</v>
      </c>
      <c r="I122" s="1" t="s">
        <v>778</v>
      </c>
      <c r="J122" s="1" t="s">
        <v>778</v>
      </c>
      <c r="K122" s="1" t="s">
        <v>778</v>
      </c>
      <c r="L122" s="1" t="s">
        <v>778</v>
      </c>
      <c r="M122" s="1" t="s">
        <v>778</v>
      </c>
      <c r="N122" s="1" t="s">
        <v>778</v>
      </c>
      <c r="O122" s="1" t="s">
        <v>778</v>
      </c>
      <c r="R122" s="1" t="s">
        <v>778</v>
      </c>
      <c r="S122" s="1" t="s">
        <v>778</v>
      </c>
      <c r="AF122" s="1" t="s">
        <v>778</v>
      </c>
      <c r="AH122" s="1" t="s">
        <v>778</v>
      </c>
      <c r="IY122" s="1" t="s">
        <v>778</v>
      </c>
      <c r="JK122" s="1" t="s">
        <v>778</v>
      </c>
      <c r="JL122" s="1" t="s">
        <v>778</v>
      </c>
      <c r="NJ122" s="1" t="s">
        <v>778</v>
      </c>
      <c r="QD122" s="1" t="s">
        <v>778</v>
      </c>
      <c r="QF122" s="1" t="s">
        <v>778</v>
      </c>
      <c r="QG122" s="1" t="s">
        <v>778</v>
      </c>
      <c r="QH122" s="1" t="s">
        <v>778</v>
      </c>
      <c r="QI122" s="1" t="s">
        <v>778</v>
      </c>
      <c r="QK122" s="1" t="s">
        <v>778</v>
      </c>
      <c r="QL122" s="1" t="s">
        <v>778</v>
      </c>
      <c r="QM122" s="1" t="s">
        <v>778</v>
      </c>
      <c r="QN122" s="1" t="s">
        <v>778</v>
      </c>
      <c r="QO122" s="1" t="s">
        <v>778</v>
      </c>
      <c r="QP122" s="1" t="s">
        <v>778</v>
      </c>
      <c r="QQ122" s="1" t="s">
        <v>778</v>
      </c>
      <c r="QR122" s="1" t="s">
        <v>778</v>
      </c>
      <c r="QS122" s="1" t="s">
        <v>778</v>
      </c>
      <c r="QT122" s="1" t="s">
        <v>778</v>
      </c>
      <c r="QU122" s="1" t="s">
        <v>778</v>
      </c>
      <c r="QV122" s="1" t="s">
        <v>778</v>
      </c>
      <c r="QW122" s="1" t="s">
        <v>778</v>
      </c>
      <c r="QX122" s="1" t="s">
        <v>778</v>
      </c>
      <c r="QY122" s="1" t="s">
        <v>778</v>
      </c>
      <c r="QZ122" s="1" t="s">
        <v>778</v>
      </c>
      <c r="RA122" s="1" t="s">
        <v>778</v>
      </c>
    </row>
    <row r="123" spans="1:472" ht="159.5" hidden="1" x14ac:dyDescent="0.35">
      <c r="A123" s="1" t="s">
        <v>859</v>
      </c>
      <c r="B123" s="14" t="s">
        <v>71</v>
      </c>
      <c r="C123" s="1" t="str" cm="1">
        <f t="array" ref="C123">GetURL(B123)</f>
        <v>https://explore-education-statistics.service.gov.uk/find-statistics/longer-term-destinations</v>
      </c>
      <c r="D123" s="1" t="s">
        <v>2597</v>
      </c>
      <c r="E123" s="1" t="s">
        <v>900</v>
      </c>
      <c r="F123" s="1" t="s">
        <v>778</v>
      </c>
      <c r="G123" s="1" t="s">
        <v>778</v>
      </c>
      <c r="H123" s="1" t="s">
        <v>778</v>
      </c>
      <c r="I123" s="1" t="s">
        <v>778</v>
      </c>
      <c r="J123" s="1" t="s">
        <v>778</v>
      </c>
      <c r="NK123" s="1" t="s">
        <v>778</v>
      </c>
      <c r="NQ123" s="1" t="s">
        <v>778</v>
      </c>
      <c r="NR123" s="1" t="s">
        <v>778</v>
      </c>
      <c r="NS123" s="1" t="s">
        <v>778</v>
      </c>
    </row>
    <row r="124" spans="1:472" ht="159.5" hidden="1" x14ac:dyDescent="0.35">
      <c r="A124" s="1" t="s">
        <v>859</v>
      </c>
      <c r="B124" s="14" t="s">
        <v>71</v>
      </c>
      <c r="C124" s="1" t="str" cm="1">
        <f t="array" ref="C124">GetURL(B124)</f>
        <v>https://explore-education-statistics.service.gov.uk/find-statistics/longer-term-destinations</v>
      </c>
      <c r="D124" s="1" t="s">
        <v>2597</v>
      </c>
      <c r="E124" s="1" t="s">
        <v>901</v>
      </c>
      <c r="F124" s="1" t="s">
        <v>778</v>
      </c>
      <c r="G124" s="1" t="s">
        <v>778</v>
      </c>
      <c r="H124" s="1" t="s">
        <v>778</v>
      </c>
      <c r="I124" s="1" t="s">
        <v>778</v>
      </c>
      <c r="J124" s="1" t="s">
        <v>778</v>
      </c>
      <c r="K124" s="1" t="s">
        <v>778</v>
      </c>
      <c r="L124" s="1" t="s">
        <v>778</v>
      </c>
      <c r="M124" s="1" t="s">
        <v>778</v>
      </c>
      <c r="N124" s="1" t="s">
        <v>778</v>
      </c>
      <c r="O124" s="1" t="s">
        <v>778</v>
      </c>
      <c r="AF124" s="1" t="s">
        <v>778</v>
      </c>
      <c r="GH124" s="1" t="s">
        <v>778</v>
      </c>
      <c r="IY124" s="1" t="s">
        <v>778</v>
      </c>
      <c r="JK124" s="1" t="s">
        <v>778</v>
      </c>
      <c r="NJ124" s="1" t="s">
        <v>778</v>
      </c>
      <c r="NK124" s="1" t="s">
        <v>778</v>
      </c>
      <c r="NP124" s="1" t="s">
        <v>778</v>
      </c>
      <c r="NT124" s="1" t="s">
        <v>778</v>
      </c>
      <c r="NU124" s="1" t="s">
        <v>778</v>
      </c>
      <c r="NV124" s="1" t="s">
        <v>778</v>
      </c>
      <c r="NW124" s="1" t="s">
        <v>778</v>
      </c>
      <c r="NY124" s="1" t="s">
        <v>778</v>
      </c>
      <c r="OK124" s="1" t="s">
        <v>778</v>
      </c>
      <c r="OL124" s="1" t="s">
        <v>778</v>
      </c>
      <c r="OS124" s="1" t="s">
        <v>778</v>
      </c>
      <c r="OU124" s="1" t="s">
        <v>778</v>
      </c>
      <c r="OV124" s="1" t="s">
        <v>778</v>
      </c>
      <c r="OW124" s="1" t="s">
        <v>778</v>
      </c>
      <c r="PB124" s="1" t="s">
        <v>778</v>
      </c>
      <c r="PC124" s="1" t="s">
        <v>778</v>
      </c>
      <c r="PD124" s="1" t="s">
        <v>778</v>
      </c>
      <c r="PE124" s="1" t="s">
        <v>778</v>
      </c>
      <c r="PV124" s="1" t="s">
        <v>778</v>
      </c>
      <c r="PW124" s="1" t="s">
        <v>778</v>
      </c>
      <c r="QA124" s="1" t="s">
        <v>778</v>
      </c>
      <c r="RB124" s="1" t="s">
        <v>778</v>
      </c>
      <c r="RC124" s="1" t="s">
        <v>778</v>
      </c>
      <c r="RD124" s="1" t="s">
        <v>778</v>
      </c>
    </row>
    <row r="125" spans="1:472" ht="159.5" hidden="1" x14ac:dyDescent="0.35">
      <c r="A125" s="1" t="s">
        <v>859</v>
      </c>
      <c r="B125" s="14" t="s">
        <v>71</v>
      </c>
      <c r="C125" s="1" t="str" cm="1">
        <f t="array" ref="C125">GetURL(B125)</f>
        <v>https://explore-education-statistics.service.gov.uk/find-statistics/longer-term-destinations</v>
      </c>
      <c r="D125" s="1" t="s">
        <v>2597</v>
      </c>
      <c r="E125" s="1" t="s">
        <v>902</v>
      </c>
      <c r="F125" s="1" t="s">
        <v>778</v>
      </c>
      <c r="G125" s="1" t="s">
        <v>778</v>
      </c>
      <c r="H125" s="1" t="s">
        <v>778</v>
      </c>
      <c r="I125" s="1" t="s">
        <v>778</v>
      </c>
      <c r="J125" s="1" t="s">
        <v>778</v>
      </c>
      <c r="K125" s="1" t="s">
        <v>778</v>
      </c>
      <c r="L125" s="1" t="s">
        <v>778</v>
      </c>
      <c r="M125" s="1" t="s">
        <v>778</v>
      </c>
      <c r="N125" s="1" t="s">
        <v>778</v>
      </c>
      <c r="O125" s="1" t="s">
        <v>778</v>
      </c>
      <c r="AF125" s="1" t="s">
        <v>778</v>
      </c>
      <c r="AH125" s="1" t="s">
        <v>778</v>
      </c>
      <c r="GH125" s="1" t="s">
        <v>778</v>
      </c>
      <c r="IY125" s="1" t="s">
        <v>778</v>
      </c>
      <c r="JK125" s="1" t="s">
        <v>778</v>
      </c>
      <c r="JL125" s="1" t="s">
        <v>778</v>
      </c>
      <c r="NJ125" s="1" t="s">
        <v>778</v>
      </c>
      <c r="NK125" s="1" t="s">
        <v>778</v>
      </c>
      <c r="NP125" s="1" t="s">
        <v>778</v>
      </c>
      <c r="NT125" s="1" t="s">
        <v>778</v>
      </c>
      <c r="NU125" s="1" t="s">
        <v>778</v>
      </c>
      <c r="NV125" s="1" t="s">
        <v>778</v>
      </c>
      <c r="NW125" s="1" t="s">
        <v>778</v>
      </c>
      <c r="NY125" s="1" t="s">
        <v>778</v>
      </c>
      <c r="OK125" s="1" t="s">
        <v>778</v>
      </c>
      <c r="OL125" s="1" t="s">
        <v>778</v>
      </c>
      <c r="OS125" s="1" t="s">
        <v>778</v>
      </c>
      <c r="OU125" s="1" t="s">
        <v>778</v>
      </c>
      <c r="OV125" s="1" t="s">
        <v>778</v>
      </c>
      <c r="OW125" s="1" t="s">
        <v>778</v>
      </c>
      <c r="PB125" s="1" t="s">
        <v>778</v>
      </c>
      <c r="PC125" s="1" t="s">
        <v>778</v>
      </c>
      <c r="PD125" s="1" t="s">
        <v>778</v>
      </c>
      <c r="PE125" s="1" t="s">
        <v>778</v>
      </c>
      <c r="PV125" s="1" t="s">
        <v>778</v>
      </c>
      <c r="PW125" s="1" t="s">
        <v>778</v>
      </c>
      <c r="QA125" s="1" t="s">
        <v>778</v>
      </c>
    </row>
    <row r="126" spans="1:472" ht="159.5" hidden="1" x14ac:dyDescent="0.35">
      <c r="A126" s="1" t="s">
        <v>859</v>
      </c>
      <c r="B126" s="14" t="s">
        <v>71</v>
      </c>
      <c r="C126" s="1" t="str" cm="1">
        <f t="array" ref="C126">GetURL(B126)</f>
        <v>https://explore-education-statistics.service.gov.uk/find-statistics/longer-term-destinations</v>
      </c>
      <c r="D126" s="1" t="s">
        <v>2597</v>
      </c>
      <c r="E126" s="1" t="s">
        <v>903</v>
      </c>
      <c r="F126" s="1" t="s">
        <v>778</v>
      </c>
      <c r="G126" s="1" t="s">
        <v>778</v>
      </c>
      <c r="H126" s="1" t="s">
        <v>778</v>
      </c>
      <c r="I126" s="1" t="s">
        <v>778</v>
      </c>
      <c r="J126" s="1" t="s">
        <v>778</v>
      </c>
      <c r="AF126" s="1" t="s">
        <v>778</v>
      </c>
      <c r="AH126" s="1" t="s">
        <v>778</v>
      </c>
      <c r="GH126" s="1" t="s">
        <v>778</v>
      </c>
      <c r="IY126" s="1" t="s">
        <v>778</v>
      </c>
      <c r="JK126" s="1" t="s">
        <v>778</v>
      </c>
      <c r="JL126" s="1" t="s">
        <v>778</v>
      </c>
      <c r="NJ126" s="1" t="s">
        <v>778</v>
      </c>
      <c r="NK126" s="1" t="s">
        <v>778</v>
      </c>
      <c r="NP126" s="1" t="s">
        <v>778</v>
      </c>
      <c r="NT126" s="1" t="s">
        <v>778</v>
      </c>
      <c r="NU126" s="1" t="s">
        <v>778</v>
      </c>
      <c r="NV126" s="1" t="s">
        <v>778</v>
      </c>
      <c r="NW126" s="1" t="s">
        <v>778</v>
      </c>
      <c r="NY126" s="1" t="s">
        <v>778</v>
      </c>
      <c r="OK126" s="1" t="s">
        <v>778</v>
      </c>
      <c r="OL126" s="1" t="s">
        <v>778</v>
      </c>
      <c r="OS126" s="1" t="s">
        <v>778</v>
      </c>
      <c r="OU126" s="1" t="s">
        <v>778</v>
      </c>
      <c r="OV126" s="1" t="s">
        <v>778</v>
      </c>
      <c r="OW126" s="1" t="s">
        <v>778</v>
      </c>
      <c r="PB126" s="1" t="s">
        <v>778</v>
      </c>
      <c r="PC126" s="1" t="s">
        <v>778</v>
      </c>
      <c r="PD126" s="1" t="s">
        <v>778</v>
      </c>
      <c r="PE126" s="1" t="s">
        <v>778</v>
      </c>
      <c r="PV126" s="1" t="s">
        <v>778</v>
      </c>
      <c r="PW126" s="1" t="s">
        <v>778</v>
      </c>
      <c r="QA126" s="1" t="s">
        <v>778</v>
      </c>
    </row>
    <row r="127" spans="1:472" ht="203" hidden="1" x14ac:dyDescent="0.35">
      <c r="A127" s="1" t="s">
        <v>859</v>
      </c>
      <c r="B127" s="14" t="s">
        <v>82</v>
      </c>
      <c r="C127" s="1" t="str" cm="1">
        <f t="array" ref="C127">GetURL(B127)</f>
        <v>https://explore-education-statistics.service.gov.uk/find-statistics/participation-in-education-and-training-and-employment</v>
      </c>
      <c r="D127" s="1" t="s">
        <v>2598</v>
      </c>
      <c r="E127" s="1" t="s">
        <v>904</v>
      </c>
      <c r="F127" s="1" t="s">
        <v>778</v>
      </c>
      <c r="G127" s="1" t="s">
        <v>778</v>
      </c>
      <c r="H127" s="1" t="s">
        <v>778</v>
      </c>
      <c r="I127" s="1" t="s">
        <v>778</v>
      </c>
      <c r="J127" s="1" t="s">
        <v>778</v>
      </c>
      <c r="AT127" s="1" t="s">
        <v>778</v>
      </c>
      <c r="AZ127" s="1" t="s">
        <v>778</v>
      </c>
      <c r="DU127" s="1" t="s">
        <v>778</v>
      </c>
      <c r="DV127" s="1" t="s">
        <v>778</v>
      </c>
      <c r="JO127" s="1" t="s">
        <v>778</v>
      </c>
      <c r="JP127" s="1" t="s">
        <v>778</v>
      </c>
      <c r="JQ127" s="1" t="s">
        <v>778</v>
      </c>
    </row>
    <row r="128" spans="1:472" ht="203" hidden="1" x14ac:dyDescent="0.35">
      <c r="A128" s="1" t="s">
        <v>859</v>
      </c>
      <c r="B128" s="14" t="s">
        <v>82</v>
      </c>
      <c r="C128" s="1" t="str" cm="1">
        <f t="array" ref="C128">GetURL(B128)</f>
        <v>https://explore-education-statistics.service.gov.uk/find-statistics/participation-in-education-and-training-and-employment</v>
      </c>
      <c r="D128" s="1" t="s">
        <v>2598</v>
      </c>
      <c r="E128" s="1" t="s">
        <v>1163</v>
      </c>
      <c r="F128" s="1" t="s">
        <v>778</v>
      </c>
      <c r="G128" s="1" t="s">
        <v>778</v>
      </c>
      <c r="H128" s="1" t="s">
        <v>778</v>
      </c>
      <c r="I128" s="1" t="s">
        <v>778</v>
      </c>
      <c r="J128" s="1" t="s">
        <v>778</v>
      </c>
      <c r="AT128" s="1" t="s">
        <v>778</v>
      </c>
      <c r="AZ128" s="1" t="s">
        <v>778</v>
      </c>
      <c r="DU128" s="1" t="s">
        <v>778</v>
      </c>
      <c r="DV128" s="1" t="s">
        <v>778</v>
      </c>
      <c r="GQ128" s="1" t="s">
        <v>778</v>
      </c>
      <c r="GR128" s="1" t="s">
        <v>778</v>
      </c>
      <c r="JM128" s="1" t="s">
        <v>778</v>
      </c>
      <c r="JN128" s="1" t="s">
        <v>778</v>
      </c>
      <c r="JR128" s="1" t="s">
        <v>778</v>
      </c>
    </row>
    <row r="129" spans="1:534" ht="159.5" hidden="1" x14ac:dyDescent="0.35">
      <c r="A129" s="1" t="s">
        <v>543</v>
      </c>
      <c r="B129" s="14" t="s">
        <v>87</v>
      </c>
      <c r="C129" s="1" t="str" cm="1">
        <f t="array" ref="C129">GetURL(B129)</f>
        <v>https://explore-education-statistics.service.gov.uk/find-statistics/participation-measures-in-higher-education</v>
      </c>
      <c r="D129" s="1" t="s">
        <v>2599</v>
      </c>
      <c r="E129" s="2" t="s">
        <v>905</v>
      </c>
      <c r="F129" s="1" t="s">
        <v>778</v>
      </c>
      <c r="G129" s="1" t="s">
        <v>778</v>
      </c>
      <c r="H129" s="1" t="s">
        <v>778</v>
      </c>
      <c r="I129" s="1" t="s">
        <v>778</v>
      </c>
      <c r="J129" s="1" t="s">
        <v>778</v>
      </c>
      <c r="RN129" s="1" t="s">
        <v>778</v>
      </c>
      <c r="RO129" s="1" t="s">
        <v>778</v>
      </c>
      <c r="RP129" s="1" t="s">
        <v>778</v>
      </c>
      <c r="RQ129" s="1" t="s">
        <v>778</v>
      </c>
      <c r="RR129" s="1" t="s">
        <v>778</v>
      </c>
      <c r="RS129" s="1" t="s">
        <v>778</v>
      </c>
    </row>
    <row r="130" spans="1:534" ht="159.5" hidden="1" x14ac:dyDescent="0.35">
      <c r="A130" s="1" t="s">
        <v>543</v>
      </c>
      <c r="B130" s="14" t="s">
        <v>87</v>
      </c>
      <c r="C130" s="1" t="str" cm="1">
        <f t="array" ref="C130">GetURL(B130)</f>
        <v>https://explore-education-statistics.service.gov.uk/find-statistics/participation-measures-in-higher-education</v>
      </c>
      <c r="D130" s="1" t="s">
        <v>2599</v>
      </c>
      <c r="E130" s="1" t="s">
        <v>906</v>
      </c>
      <c r="F130" s="1" t="s">
        <v>778</v>
      </c>
      <c r="G130" s="1" t="s">
        <v>778</v>
      </c>
      <c r="H130" s="1" t="s">
        <v>778</v>
      </c>
      <c r="I130" s="1" t="s">
        <v>778</v>
      </c>
      <c r="J130" s="1" t="s">
        <v>778</v>
      </c>
      <c r="RT130" s="1" t="s">
        <v>778</v>
      </c>
      <c r="RU130" s="1" t="s">
        <v>778</v>
      </c>
      <c r="RV130" s="1" t="s">
        <v>778</v>
      </c>
    </row>
    <row r="131" spans="1:534" ht="159.5" hidden="1" x14ac:dyDescent="0.35">
      <c r="A131" s="1" t="s">
        <v>543</v>
      </c>
      <c r="B131" s="14" t="s">
        <v>87</v>
      </c>
      <c r="C131" s="1" t="str" cm="1">
        <f t="array" ref="C131">GetURL(B131)</f>
        <v>https://explore-education-statistics.service.gov.uk/find-statistics/participation-measures-in-higher-education</v>
      </c>
      <c r="D131" s="1" t="s">
        <v>2599</v>
      </c>
      <c r="E131" s="1" t="s">
        <v>907</v>
      </c>
      <c r="F131" s="1" t="s">
        <v>778</v>
      </c>
      <c r="G131" s="1" t="s">
        <v>778</v>
      </c>
      <c r="H131" s="1" t="s">
        <v>778</v>
      </c>
      <c r="I131" s="1" t="s">
        <v>778</v>
      </c>
      <c r="J131" s="1" t="s">
        <v>778</v>
      </c>
      <c r="RU131" s="1" t="s">
        <v>778</v>
      </c>
      <c r="RV131" s="1" t="s">
        <v>778</v>
      </c>
      <c r="RW131" s="1" t="s">
        <v>778</v>
      </c>
      <c r="RX131" s="1" t="s">
        <v>778</v>
      </c>
    </row>
    <row r="132" spans="1:534" ht="159.5" hidden="1" x14ac:dyDescent="0.35">
      <c r="A132" s="1" t="s">
        <v>543</v>
      </c>
      <c r="B132" s="14" t="s">
        <v>87</v>
      </c>
      <c r="C132" s="1" t="str" cm="1">
        <f t="array" ref="C132">GetURL(B132)</f>
        <v>https://explore-education-statistics.service.gov.uk/find-statistics/participation-measures-in-higher-education</v>
      </c>
      <c r="D132" s="1" t="s">
        <v>2599</v>
      </c>
      <c r="E132" s="1" t="s">
        <v>908</v>
      </c>
      <c r="F132" s="1" t="s">
        <v>778</v>
      </c>
      <c r="G132" s="1" t="s">
        <v>778</v>
      </c>
      <c r="H132" s="1" t="s">
        <v>778</v>
      </c>
      <c r="I132" s="1" t="s">
        <v>778</v>
      </c>
      <c r="J132" s="1" t="s">
        <v>778</v>
      </c>
      <c r="AZ132" s="1" t="s">
        <v>778</v>
      </c>
      <c r="RT132" s="1" t="s">
        <v>778</v>
      </c>
      <c r="RU132" s="1" t="s">
        <v>778</v>
      </c>
      <c r="RV132" s="1" t="s">
        <v>778</v>
      </c>
    </row>
    <row r="133" spans="1:534" ht="159.5" hidden="1" x14ac:dyDescent="0.35">
      <c r="A133" s="1" t="s">
        <v>543</v>
      </c>
      <c r="B133" s="14" t="s">
        <v>87</v>
      </c>
      <c r="C133" s="1" t="str" cm="1">
        <f t="array" ref="C133">GetURL(B133)</f>
        <v>https://explore-education-statistics.service.gov.uk/find-statistics/participation-measures-in-higher-education</v>
      </c>
      <c r="D133" s="1" t="s">
        <v>2599</v>
      </c>
      <c r="E133" s="1" t="s">
        <v>909</v>
      </c>
      <c r="F133" s="1" t="s">
        <v>778</v>
      </c>
      <c r="G133" s="1" t="s">
        <v>778</v>
      </c>
      <c r="H133" s="1" t="s">
        <v>778</v>
      </c>
      <c r="I133" s="1" t="s">
        <v>778</v>
      </c>
      <c r="J133" s="1" t="s">
        <v>778</v>
      </c>
      <c r="K133" s="1" t="s">
        <v>778</v>
      </c>
      <c r="L133" s="1" t="s">
        <v>778</v>
      </c>
      <c r="RT133" s="1" t="s">
        <v>778</v>
      </c>
      <c r="RU133" s="1" t="s">
        <v>778</v>
      </c>
      <c r="RV133" s="1" t="s">
        <v>778</v>
      </c>
    </row>
    <row r="134" spans="1:534" ht="159.5" hidden="1" x14ac:dyDescent="0.35">
      <c r="A134" s="1" t="s">
        <v>543</v>
      </c>
      <c r="B134" s="14" t="s">
        <v>87</v>
      </c>
      <c r="C134" s="1" t="str" cm="1">
        <f t="array" ref="C134">GetURL(B134)</f>
        <v>https://explore-education-statistics.service.gov.uk/find-statistics/participation-measures-in-higher-education</v>
      </c>
      <c r="D134" s="1" t="s">
        <v>2599</v>
      </c>
      <c r="E134" s="1" t="s">
        <v>910</v>
      </c>
      <c r="F134" s="1" t="s">
        <v>778</v>
      </c>
      <c r="G134" s="1" t="s">
        <v>778</v>
      </c>
      <c r="H134" s="1" t="s">
        <v>778</v>
      </c>
      <c r="I134" s="1" t="s">
        <v>778</v>
      </c>
      <c r="J134" s="1" t="s">
        <v>778</v>
      </c>
      <c r="AL134" s="1" t="s">
        <v>778</v>
      </c>
      <c r="RT134" s="1" t="s">
        <v>778</v>
      </c>
      <c r="RU134" s="1" t="s">
        <v>778</v>
      </c>
      <c r="RV134" s="1" t="s">
        <v>778</v>
      </c>
    </row>
    <row r="135" spans="1:534" ht="159.5" hidden="1" x14ac:dyDescent="0.35">
      <c r="A135" s="1" t="s">
        <v>543</v>
      </c>
      <c r="B135" s="14" t="s">
        <v>87</v>
      </c>
      <c r="C135" s="1" t="str" cm="1">
        <f t="array" ref="C135">GetURL(B135)</f>
        <v>https://explore-education-statistics.service.gov.uk/find-statistics/participation-measures-in-higher-education</v>
      </c>
      <c r="D135" s="1" t="s">
        <v>2599</v>
      </c>
      <c r="E135" s="1" t="s">
        <v>911</v>
      </c>
      <c r="F135" s="1" t="s">
        <v>778</v>
      </c>
      <c r="G135" s="1" t="s">
        <v>778</v>
      </c>
      <c r="H135" s="1" t="s">
        <v>778</v>
      </c>
      <c r="I135" s="1" t="s">
        <v>778</v>
      </c>
      <c r="J135" s="1" t="s">
        <v>778</v>
      </c>
      <c r="RT135" s="1" t="s">
        <v>778</v>
      </c>
      <c r="RU135" s="1" t="s">
        <v>778</v>
      </c>
      <c r="RV135" s="1" t="s">
        <v>778</v>
      </c>
      <c r="RY135" s="1" t="s">
        <v>778</v>
      </c>
    </row>
    <row r="136" spans="1:534" ht="159.5" hidden="1" x14ac:dyDescent="0.35">
      <c r="A136" s="1" t="s">
        <v>543</v>
      </c>
      <c r="B136" s="14" t="s">
        <v>87</v>
      </c>
      <c r="C136" s="1" t="str" cm="1">
        <f t="array" ref="C136">GetURL(B136)</f>
        <v>https://explore-education-statistics.service.gov.uk/find-statistics/participation-measures-in-higher-education</v>
      </c>
      <c r="D136" s="1" t="s">
        <v>2599</v>
      </c>
      <c r="E136" s="1" t="s">
        <v>912</v>
      </c>
      <c r="F136" s="1" t="s">
        <v>778</v>
      </c>
      <c r="G136" s="1" t="s">
        <v>778</v>
      </c>
      <c r="H136" s="1" t="s">
        <v>778</v>
      </c>
      <c r="I136" s="1" t="s">
        <v>778</v>
      </c>
      <c r="J136" s="1" t="s">
        <v>778</v>
      </c>
      <c r="RU136" s="1" t="s">
        <v>778</v>
      </c>
      <c r="RV136" s="1" t="s">
        <v>778</v>
      </c>
      <c r="RZ136" s="1" t="s">
        <v>778</v>
      </c>
    </row>
    <row r="137" spans="1:534" ht="159.5" hidden="1" x14ac:dyDescent="0.35">
      <c r="A137" s="1" t="s">
        <v>543</v>
      </c>
      <c r="B137" s="14" t="s">
        <v>87</v>
      </c>
      <c r="C137" s="1" t="str" cm="1">
        <f t="array" ref="C137">GetURL(B137)</f>
        <v>https://explore-education-statistics.service.gov.uk/find-statistics/participation-measures-in-higher-education</v>
      </c>
      <c r="D137" s="1" t="s">
        <v>2599</v>
      </c>
      <c r="E137" s="1" t="s">
        <v>913</v>
      </c>
      <c r="F137" s="1" t="s">
        <v>778</v>
      </c>
      <c r="G137" s="1" t="s">
        <v>778</v>
      </c>
      <c r="H137" s="1" t="s">
        <v>778</v>
      </c>
      <c r="I137" s="1" t="s">
        <v>778</v>
      </c>
      <c r="J137" s="1" t="s">
        <v>778</v>
      </c>
      <c r="SA137" s="1" t="s">
        <v>778</v>
      </c>
      <c r="SB137" s="1" t="s">
        <v>778</v>
      </c>
    </row>
    <row r="138" spans="1:534" ht="159.5" hidden="1" x14ac:dyDescent="0.35">
      <c r="A138" s="1" t="s">
        <v>543</v>
      </c>
      <c r="B138" s="14" t="s">
        <v>87</v>
      </c>
      <c r="C138" s="1" t="str" cm="1">
        <f t="array" ref="C138">GetURL(B138)</f>
        <v>https://explore-education-statistics.service.gov.uk/find-statistics/participation-measures-in-higher-education</v>
      </c>
      <c r="D138" s="1" t="s">
        <v>2599</v>
      </c>
      <c r="E138" s="6" t="s">
        <v>914</v>
      </c>
      <c r="F138" s="1" t="s">
        <v>778</v>
      </c>
      <c r="G138" s="1" t="s">
        <v>778</v>
      </c>
      <c r="H138" s="1" t="s">
        <v>778</v>
      </c>
      <c r="I138" s="1" t="s">
        <v>778</v>
      </c>
      <c r="J138" s="1" t="s">
        <v>778</v>
      </c>
      <c r="K138" s="1" t="s">
        <v>778</v>
      </c>
      <c r="L138" s="1" t="s">
        <v>778</v>
      </c>
      <c r="AZ138" s="1" t="s">
        <v>778</v>
      </c>
      <c r="BY138" s="1" t="s">
        <v>778</v>
      </c>
      <c r="SC138" s="1" t="s">
        <v>778</v>
      </c>
      <c r="SD138" s="1" t="s">
        <v>778</v>
      </c>
      <c r="SE138" s="1" t="s">
        <v>778</v>
      </c>
      <c r="SF138" s="1" t="s">
        <v>778</v>
      </c>
      <c r="SG138" s="1" t="s">
        <v>778</v>
      </c>
      <c r="SH138" s="1" t="s">
        <v>778</v>
      </c>
      <c r="SI138" s="1" t="s">
        <v>778</v>
      </c>
      <c r="SJ138" s="1" t="s">
        <v>778</v>
      </c>
      <c r="SK138" s="1" t="s">
        <v>778</v>
      </c>
      <c r="SL138" s="1" t="s">
        <v>778</v>
      </c>
      <c r="SM138" s="1" t="s">
        <v>778</v>
      </c>
      <c r="SN138" s="1" t="s">
        <v>778</v>
      </c>
    </row>
    <row r="139" spans="1:534" ht="159.5" hidden="1" x14ac:dyDescent="0.35">
      <c r="A139" s="6" t="s">
        <v>543</v>
      </c>
      <c r="B139" s="48" t="s">
        <v>65</v>
      </c>
      <c r="C139" s="1" t="str" cm="1">
        <f t="array" ref="C139">GetURL(B139)</f>
        <v>https://explore-education-statistics.service.gov.uk/find-statistics/leo-graduate-and-postgraduate-outcomes</v>
      </c>
      <c r="D139" s="14" t="s">
        <v>2600</v>
      </c>
      <c r="E139" s="6" t="s">
        <v>915</v>
      </c>
      <c r="F139" s="1" t="s">
        <v>778</v>
      </c>
      <c r="G139" s="1" t="s">
        <v>778</v>
      </c>
      <c r="H139" s="1" t="s">
        <v>778</v>
      </c>
      <c r="I139" s="1" t="s">
        <v>778</v>
      </c>
      <c r="J139" s="1" t="s">
        <v>778</v>
      </c>
      <c r="AK139" s="1" t="s">
        <v>778</v>
      </c>
      <c r="AZ139" s="1" t="s">
        <v>778</v>
      </c>
      <c r="GS139" s="1" t="s">
        <v>778</v>
      </c>
      <c r="SC139" s="1" t="s">
        <v>778</v>
      </c>
      <c r="SI139" s="1" t="s">
        <v>778</v>
      </c>
      <c r="SJ139" s="1" t="s">
        <v>778</v>
      </c>
      <c r="SK139" s="1" t="s">
        <v>778</v>
      </c>
      <c r="SL139" s="1" t="s">
        <v>778</v>
      </c>
      <c r="SM139" s="1" t="s">
        <v>778</v>
      </c>
      <c r="SO139" s="1" t="s">
        <v>778</v>
      </c>
      <c r="SP139" s="1" t="s">
        <v>778</v>
      </c>
      <c r="SQ139" s="1" t="s">
        <v>778</v>
      </c>
      <c r="SR139" s="1" t="s">
        <v>778</v>
      </c>
      <c r="SS139" s="1" t="s">
        <v>778</v>
      </c>
      <c r="ST139" s="1" t="s">
        <v>778</v>
      </c>
      <c r="SU139" s="1" t="s">
        <v>778</v>
      </c>
      <c r="SV139" s="1" t="s">
        <v>778</v>
      </c>
      <c r="SW139" s="1" t="s">
        <v>778</v>
      </c>
      <c r="SX139" s="1" t="s">
        <v>778</v>
      </c>
      <c r="TB139" s="1" t="s">
        <v>778</v>
      </c>
      <c r="TC139" s="1" t="s">
        <v>778</v>
      </c>
    </row>
    <row r="140" spans="1:534" ht="159.5" hidden="1" x14ac:dyDescent="0.35">
      <c r="A140" s="6" t="s">
        <v>543</v>
      </c>
      <c r="B140" s="48" t="s">
        <v>65</v>
      </c>
      <c r="C140" s="1" t="str" cm="1">
        <f t="array" ref="C140">GetURL(B140)</f>
        <v>https://explore-education-statistics.service.gov.uk/find-statistics/leo-graduate-and-postgraduate-outcomes</v>
      </c>
      <c r="D140" s="1" t="s">
        <v>2600</v>
      </c>
      <c r="E140" s="6" t="s">
        <v>916</v>
      </c>
      <c r="F140" s="1" t="s">
        <v>778</v>
      </c>
      <c r="G140" s="1" t="s">
        <v>778</v>
      </c>
      <c r="H140" s="1" t="s">
        <v>778</v>
      </c>
      <c r="I140" s="1" t="s">
        <v>778</v>
      </c>
      <c r="J140" s="1" t="s">
        <v>778</v>
      </c>
      <c r="AK140" s="1" t="s">
        <v>778</v>
      </c>
      <c r="GS140" s="1" t="s">
        <v>778</v>
      </c>
      <c r="SC140" s="1" t="s">
        <v>778</v>
      </c>
      <c r="SI140" s="1" t="s">
        <v>778</v>
      </c>
      <c r="SJ140" s="1" t="s">
        <v>778</v>
      </c>
      <c r="SU140" s="1" t="s">
        <v>778</v>
      </c>
      <c r="SV140" s="1" t="s">
        <v>778</v>
      </c>
      <c r="SW140" s="1" t="s">
        <v>778</v>
      </c>
      <c r="SX140" s="1" t="s">
        <v>778</v>
      </c>
      <c r="SY140" s="1" t="s">
        <v>778</v>
      </c>
      <c r="SZ140" s="1" t="s">
        <v>778</v>
      </c>
      <c r="TA140" s="1" t="s">
        <v>778</v>
      </c>
      <c r="TC140" s="1" t="s">
        <v>778</v>
      </c>
    </row>
    <row r="141" spans="1:534" ht="159.5" hidden="1" x14ac:dyDescent="0.35">
      <c r="A141" s="6" t="s">
        <v>543</v>
      </c>
      <c r="B141" s="48" t="s">
        <v>65</v>
      </c>
      <c r="C141" s="1" t="str" cm="1">
        <f t="array" ref="C141">GetURL(B141)</f>
        <v>https://explore-education-statistics.service.gov.uk/find-statistics/leo-graduate-and-postgraduate-outcomes</v>
      </c>
      <c r="D141" s="1" t="s">
        <v>2600</v>
      </c>
      <c r="E141" s="1" t="s">
        <v>917</v>
      </c>
      <c r="F141" s="1" t="s">
        <v>778</v>
      </c>
      <c r="G141" s="1" t="s">
        <v>778</v>
      </c>
      <c r="H141" s="1" t="s">
        <v>778</v>
      </c>
      <c r="I141" s="1" t="s">
        <v>778</v>
      </c>
      <c r="J141" s="1" t="s">
        <v>778</v>
      </c>
      <c r="K141" s="1" t="s">
        <v>778</v>
      </c>
      <c r="L141" s="1" t="s">
        <v>778</v>
      </c>
      <c r="V141" s="1" t="s">
        <v>778</v>
      </c>
      <c r="W141" s="1" t="s">
        <v>778</v>
      </c>
      <c r="AK141" s="1" t="s">
        <v>778</v>
      </c>
      <c r="AY141" s="1" t="s">
        <v>778</v>
      </c>
      <c r="AZ141" s="1" t="s">
        <v>778</v>
      </c>
      <c r="BK141" s="1" t="s">
        <v>778</v>
      </c>
      <c r="BR141" s="1" t="s">
        <v>778</v>
      </c>
      <c r="BS141" s="1" t="s">
        <v>778</v>
      </c>
      <c r="BW141" s="1" t="s">
        <v>778</v>
      </c>
      <c r="BY141" s="1" t="s">
        <v>778</v>
      </c>
      <c r="GS141" s="1" t="s">
        <v>778</v>
      </c>
      <c r="IM141" s="1" t="s">
        <v>778</v>
      </c>
      <c r="JL141" s="1" t="s">
        <v>778</v>
      </c>
      <c r="JR141" s="1" t="s">
        <v>778</v>
      </c>
      <c r="SC141" s="1" t="s">
        <v>778</v>
      </c>
      <c r="SF141" s="1" t="s">
        <v>778</v>
      </c>
      <c r="SI141" s="1" t="s">
        <v>778</v>
      </c>
      <c r="SJ141" s="1" t="s">
        <v>778</v>
      </c>
      <c r="SK141" s="1" t="s">
        <v>778</v>
      </c>
      <c r="SL141" s="1" t="s">
        <v>778</v>
      </c>
      <c r="SM141" s="1" t="s">
        <v>778</v>
      </c>
      <c r="SO141" s="1" t="s">
        <v>778</v>
      </c>
      <c r="SP141" s="1" t="s">
        <v>778</v>
      </c>
      <c r="SQ141" s="1" t="s">
        <v>778</v>
      </c>
      <c r="SR141" s="1" t="s">
        <v>778</v>
      </c>
      <c r="SS141" s="1" t="s">
        <v>778</v>
      </c>
      <c r="ST141" s="1" t="s">
        <v>778</v>
      </c>
      <c r="SU141" s="1" t="s">
        <v>778</v>
      </c>
      <c r="SV141" s="1" t="s">
        <v>778</v>
      </c>
      <c r="SW141" s="1" t="s">
        <v>778</v>
      </c>
      <c r="SX141" s="1" t="s">
        <v>778</v>
      </c>
      <c r="TC141" s="1" t="s">
        <v>778</v>
      </c>
    </row>
    <row r="142" spans="1:534" ht="159.5" hidden="1" x14ac:dyDescent="0.35">
      <c r="A142" s="6" t="s">
        <v>543</v>
      </c>
      <c r="B142" s="48" t="s">
        <v>65</v>
      </c>
      <c r="C142" s="1" t="str" cm="1">
        <f t="array" ref="C142">GetURL(B142)</f>
        <v>https://explore-education-statistics.service.gov.uk/find-statistics/leo-graduate-and-postgraduate-outcomes</v>
      </c>
      <c r="D142" s="1" t="s">
        <v>2600</v>
      </c>
      <c r="E142" s="1" t="s">
        <v>918</v>
      </c>
      <c r="F142" s="1" t="s">
        <v>778</v>
      </c>
      <c r="G142" s="1" t="s">
        <v>778</v>
      </c>
      <c r="H142" s="1" t="s">
        <v>778</v>
      </c>
      <c r="I142" s="1" t="s">
        <v>778</v>
      </c>
      <c r="J142" s="1" t="s">
        <v>778</v>
      </c>
      <c r="TD142" s="1" t="s">
        <v>778</v>
      </c>
      <c r="TE142" s="1" t="s">
        <v>778</v>
      </c>
      <c r="TF142" s="1" t="s">
        <v>778</v>
      </c>
      <c r="TG142" s="1" t="s">
        <v>778</v>
      </c>
      <c r="TH142" s="1" t="s">
        <v>778</v>
      </c>
      <c r="TI142" s="1" t="s">
        <v>778</v>
      </c>
    </row>
    <row r="143" spans="1:534" ht="159.5" hidden="1" x14ac:dyDescent="0.35">
      <c r="A143" s="6" t="s">
        <v>543</v>
      </c>
      <c r="B143" s="48" t="s">
        <v>65</v>
      </c>
      <c r="C143" s="1" t="str" cm="1">
        <f t="array" ref="C143">GetURL(B143)</f>
        <v>https://explore-education-statistics.service.gov.uk/find-statistics/leo-graduate-and-postgraduate-outcomes</v>
      </c>
      <c r="D143" s="1" t="s">
        <v>2600</v>
      </c>
      <c r="E143" s="6" t="s">
        <v>919</v>
      </c>
      <c r="F143" s="1" t="s">
        <v>778</v>
      </c>
      <c r="G143" s="1" t="s">
        <v>778</v>
      </c>
      <c r="H143" s="1" t="s">
        <v>778</v>
      </c>
      <c r="I143" s="1" t="s">
        <v>778</v>
      </c>
      <c r="J143" s="1" t="s">
        <v>778</v>
      </c>
      <c r="AZ143" s="1" t="s">
        <v>778</v>
      </c>
      <c r="BK143" s="1" t="s">
        <v>778</v>
      </c>
      <c r="TJ143" s="1" t="s">
        <v>778</v>
      </c>
      <c r="TK143" s="1" t="s">
        <v>778</v>
      </c>
      <c r="TM143" s="1" t="s">
        <v>778</v>
      </c>
      <c r="TN143" s="1" t="s">
        <v>778</v>
      </c>
    </row>
    <row r="144" spans="1:534" ht="159.5" hidden="1" x14ac:dyDescent="0.35">
      <c r="A144" s="6" t="s">
        <v>543</v>
      </c>
      <c r="B144" s="48" t="s">
        <v>65</v>
      </c>
      <c r="C144" s="1" t="str" cm="1">
        <f t="array" ref="C144">GetURL(B144)</f>
        <v>https://explore-education-statistics.service.gov.uk/find-statistics/leo-graduate-and-postgraduate-outcomes</v>
      </c>
      <c r="D144" s="1" t="s">
        <v>2600</v>
      </c>
      <c r="E144" s="6" t="s">
        <v>920</v>
      </c>
      <c r="F144" s="1" t="s">
        <v>778</v>
      </c>
      <c r="G144" s="1" t="s">
        <v>778</v>
      </c>
      <c r="H144" s="1" t="s">
        <v>778</v>
      </c>
      <c r="I144" s="1" t="s">
        <v>778</v>
      </c>
      <c r="J144" s="1" t="s">
        <v>778</v>
      </c>
      <c r="AZ144" s="1" t="s">
        <v>778</v>
      </c>
      <c r="BK144" s="1" t="s">
        <v>778</v>
      </c>
      <c r="TK144" s="1" t="s">
        <v>778</v>
      </c>
      <c r="TL144" s="1" t="s">
        <v>778</v>
      </c>
      <c r="TM144" s="1" t="s">
        <v>778</v>
      </c>
      <c r="TN144" s="1" t="s">
        <v>778</v>
      </c>
    </row>
    <row r="145" spans="1:588" ht="144.65" hidden="1" customHeight="1" x14ac:dyDescent="0.35">
      <c r="A145" s="6" t="s">
        <v>543</v>
      </c>
      <c r="B145" s="48" t="s">
        <v>65</v>
      </c>
      <c r="C145" s="1" t="str" cm="1">
        <f t="array" ref="C145">GetURL(B145)</f>
        <v>https://explore-education-statistics.service.gov.uk/find-statistics/leo-graduate-and-postgraduate-outcomes</v>
      </c>
      <c r="D145" s="1" t="s">
        <v>2600</v>
      </c>
      <c r="E145" s="6" t="s">
        <v>921</v>
      </c>
      <c r="F145" s="1" t="s">
        <v>778</v>
      </c>
      <c r="G145" s="1" t="s">
        <v>778</v>
      </c>
      <c r="H145" s="1" t="s">
        <v>778</v>
      </c>
      <c r="I145" s="1" t="s">
        <v>778</v>
      </c>
      <c r="J145" s="1" t="s">
        <v>778</v>
      </c>
      <c r="K145" s="1" t="s">
        <v>778</v>
      </c>
      <c r="L145" s="1" t="s">
        <v>778</v>
      </c>
      <c r="BK145" s="1" t="s">
        <v>778</v>
      </c>
      <c r="SC145" s="1" t="s">
        <v>778</v>
      </c>
      <c r="SW145" s="1" t="s">
        <v>778</v>
      </c>
      <c r="TM145" s="1" t="s">
        <v>778</v>
      </c>
      <c r="TO145" s="1" t="s">
        <v>778</v>
      </c>
      <c r="TP145" s="1" t="s">
        <v>778</v>
      </c>
      <c r="TQ145" s="1" t="s">
        <v>778</v>
      </c>
      <c r="TR145" s="1" t="s">
        <v>778</v>
      </c>
      <c r="TS145" s="1" t="s">
        <v>778</v>
      </c>
      <c r="TT145" s="1" t="s">
        <v>778</v>
      </c>
    </row>
    <row r="146" spans="1:588" ht="159.5" hidden="1" x14ac:dyDescent="0.35">
      <c r="A146" s="6" t="s">
        <v>543</v>
      </c>
      <c r="B146" s="48" t="s">
        <v>65</v>
      </c>
      <c r="C146" s="1" t="str" cm="1">
        <f t="array" ref="C146">GetURL(B146)</f>
        <v>https://explore-education-statistics.service.gov.uk/find-statistics/leo-graduate-and-postgraduate-outcomes</v>
      </c>
      <c r="D146" s="1" t="s">
        <v>2600</v>
      </c>
      <c r="E146" s="6" t="s">
        <v>922</v>
      </c>
      <c r="F146" s="1" t="s">
        <v>778</v>
      </c>
      <c r="G146" s="1" t="s">
        <v>778</v>
      </c>
      <c r="H146" s="1" t="s">
        <v>778</v>
      </c>
      <c r="I146" s="1" t="s">
        <v>778</v>
      </c>
      <c r="J146" s="1" t="s">
        <v>778</v>
      </c>
      <c r="T146" s="1" t="s">
        <v>778</v>
      </c>
      <c r="U146" s="1" t="s">
        <v>778</v>
      </c>
      <c r="BK146" s="1" t="s">
        <v>778</v>
      </c>
      <c r="SC146" s="1" t="s">
        <v>778</v>
      </c>
      <c r="TM146" s="1" t="s">
        <v>778</v>
      </c>
      <c r="TN146" s="1" t="s">
        <v>778</v>
      </c>
      <c r="TO146" s="1" t="s">
        <v>778</v>
      </c>
    </row>
    <row r="147" spans="1:588" ht="131.5" hidden="1" customHeight="1" x14ac:dyDescent="0.35">
      <c r="A147" s="6" t="s">
        <v>543</v>
      </c>
      <c r="B147" s="48" t="s">
        <v>65</v>
      </c>
      <c r="C147" s="1" t="str" cm="1">
        <f t="array" ref="C147">GetURL(B147)</f>
        <v>https://explore-education-statistics.service.gov.uk/find-statistics/leo-graduate-and-postgraduate-outcomes</v>
      </c>
      <c r="D147" s="1" t="s">
        <v>2600</v>
      </c>
      <c r="E147" s="6" t="s">
        <v>923</v>
      </c>
      <c r="F147" s="1" t="s">
        <v>778</v>
      </c>
      <c r="G147" s="1" t="s">
        <v>778</v>
      </c>
      <c r="H147" s="1" t="s">
        <v>778</v>
      </c>
      <c r="I147" s="1" t="s">
        <v>778</v>
      </c>
      <c r="J147" s="1" t="s">
        <v>778</v>
      </c>
      <c r="U147" s="1" t="s">
        <v>778</v>
      </c>
      <c r="AZ147" s="1" t="s">
        <v>778</v>
      </c>
      <c r="BK147" s="1" t="s">
        <v>778</v>
      </c>
      <c r="BR147" s="1" t="s">
        <v>778</v>
      </c>
      <c r="BY147" s="1" t="s">
        <v>778</v>
      </c>
      <c r="IM147" s="1" t="s">
        <v>778</v>
      </c>
      <c r="SC147" s="1" t="s">
        <v>778</v>
      </c>
      <c r="SW147" s="1" t="s">
        <v>778</v>
      </c>
      <c r="TM147" s="1" t="s">
        <v>778</v>
      </c>
      <c r="TN147" s="1" t="s">
        <v>778</v>
      </c>
      <c r="TO147" s="1" t="s">
        <v>778</v>
      </c>
      <c r="TU147" s="1" t="s">
        <v>778</v>
      </c>
    </row>
    <row r="148" spans="1:588" ht="159.5" hidden="1" x14ac:dyDescent="0.35">
      <c r="A148" s="6" t="s">
        <v>543</v>
      </c>
      <c r="B148" s="14" t="s">
        <v>68</v>
      </c>
      <c r="C148" s="1" t="str" cm="1">
        <f t="array" ref="C148">GetURL(B148)</f>
        <v>https://explore-education-statistics.service.gov.uk/find-statistics/graduate-outcomes-leo-provider-level-data</v>
      </c>
      <c r="D148" s="1" t="s">
        <v>2601</v>
      </c>
      <c r="E148" s="6" t="s">
        <v>924</v>
      </c>
      <c r="F148" s="1" t="s">
        <v>778</v>
      </c>
      <c r="G148" s="1" t="s">
        <v>778</v>
      </c>
      <c r="H148" s="1" t="s">
        <v>778</v>
      </c>
      <c r="I148" s="1" t="s">
        <v>778</v>
      </c>
      <c r="J148" s="1" t="s">
        <v>778</v>
      </c>
      <c r="K148" s="1" t="s">
        <v>778</v>
      </c>
      <c r="L148" s="1" t="s">
        <v>778</v>
      </c>
      <c r="T148" s="1" t="s">
        <v>778</v>
      </c>
      <c r="TV148" s="1" t="s">
        <v>778</v>
      </c>
      <c r="TW148" s="1" t="s">
        <v>778</v>
      </c>
    </row>
    <row r="149" spans="1:588" ht="159.5" hidden="1" x14ac:dyDescent="0.35">
      <c r="A149" s="6" t="s">
        <v>543</v>
      </c>
      <c r="B149" s="14" t="s">
        <v>68</v>
      </c>
      <c r="C149" s="1" t="str" cm="1">
        <f t="array" ref="C149">GetURL(B149)</f>
        <v>https://explore-education-statistics.service.gov.uk/find-statistics/graduate-outcomes-leo-provider-level-data</v>
      </c>
      <c r="D149" s="1" t="s">
        <v>2601</v>
      </c>
      <c r="E149" s="6" t="s">
        <v>925</v>
      </c>
      <c r="F149" s="1" t="s">
        <v>778</v>
      </c>
      <c r="G149" s="1" t="s">
        <v>778</v>
      </c>
      <c r="H149" s="1" t="s">
        <v>778</v>
      </c>
      <c r="I149" s="1" t="s">
        <v>778</v>
      </c>
      <c r="J149" s="1" t="s">
        <v>778</v>
      </c>
      <c r="BK149" s="1" t="s">
        <v>778</v>
      </c>
      <c r="TV149" s="1" t="s">
        <v>778</v>
      </c>
      <c r="TX149" s="1" t="s">
        <v>778</v>
      </c>
      <c r="TY149" s="1" t="s">
        <v>778</v>
      </c>
      <c r="TZ149" s="1" t="s">
        <v>778</v>
      </c>
      <c r="UA149" s="1" t="s">
        <v>778</v>
      </c>
      <c r="UB149" s="1" t="s">
        <v>778</v>
      </c>
      <c r="UC149" s="1" t="s">
        <v>778</v>
      </c>
      <c r="UD149" s="1" t="s">
        <v>778</v>
      </c>
      <c r="UE149" s="1" t="s">
        <v>778</v>
      </c>
      <c r="UF149" s="1" t="s">
        <v>778</v>
      </c>
      <c r="UG149" s="1" t="s">
        <v>778</v>
      </c>
      <c r="UH149" s="1" t="s">
        <v>778</v>
      </c>
    </row>
    <row r="150" spans="1:588" ht="159.5" hidden="1" x14ac:dyDescent="0.35">
      <c r="A150" s="6" t="s">
        <v>543</v>
      </c>
      <c r="B150" s="14" t="s">
        <v>68</v>
      </c>
      <c r="C150" s="1" t="str" cm="1">
        <f t="array" ref="C150">GetURL(B150)</f>
        <v>https://explore-education-statistics.service.gov.uk/find-statistics/graduate-outcomes-leo-provider-level-data</v>
      </c>
      <c r="D150" s="1" t="s">
        <v>2601</v>
      </c>
      <c r="E150" s="1" t="s">
        <v>926</v>
      </c>
      <c r="F150" s="1" t="s">
        <v>778</v>
      </c>
      <c r="G150" s="1" t="s">
        <v>778</v>
      </c>
      <c r="H150" s="1" t="s">
        <v>778</v>
      </c>
      <c r="I150" s="1" t="s">
        <v>778</v>
      </c>
      <c r="J150" s="1" t="s">
        <v>778</v>
      </c>
      <c r="BK150" s="1" t="s">
        <v>778</v>
      </c>
      <c r="SV150" s="1" t="s">
        <v>778</v>
      </c>
      <c r="SW150" s="1" t="s">
        <v>778</v>
      </c>
      <c r="SX150" s="1" t="s">
        <v>778</v>
      </c>
      <c r="UI150" s="1" t="s">
        <v>778</v>
      </c>
      <c r="UJ150" s="1" t="s">
        <v>778</v>
      </c>
      <c r="UK150" s="1" t="s">
        <v>778</v>
      </c>
      <c r="UL150" s="1" t="s">
        <v>778</v>
      </c>
      <c r="UM150" s="1" t="s">
        <v>778</v>
      </c>
    </row>
    <row r="151" spans="1:588" ht="159.5" hidden="1" x14ac:dyDescent="0.35">
      <c r="A151" s="6" t="s">
        <v>543</v>
      </c>
      <c r="B151" s="14" t="s">
        <v>68</v>
      </c>
      <c r="C151" s="1" t="str" cm="1">
        <f t="array" ref="C151">GetURL(B151)</f>
        <v>https://explore-education-statistics.service.gov.uk/find-statistics/graduate-outcomes-leo-provider-level-data</v>
      </c>
      <c r="D151" s="1" t="s">
        <v>2601</v>
      </c>
      <c r="E151" s="6" t="s">
        <v>927</v>
      </c>
      <c r="F151" s="1" t="s">
        <v>778</v>
      </c>
      <c r="G151" s="1" t="s">
        <v>778</v>
      </c>
      <c r="H151" s="1" t="s">
        <v>778</v>
      </c>
      <c r="I151" s="1" t="s">
        <v>778</v>
      </c>
      <c r="J151" s="1" t="s">
        <v>778</v>
      </c>
      <c r="U151" s="1" t="s">
        <v>778</v>
      </c>
      <c r="SV151" s="1" t="s">
        <v>778</v>
      </c>
      <c r="SW151" s="1" t="s">
        <v>778</v>
      </c>
      <c r="SX151" s="1" t="s">
        <v>778</v>
      </c>
      <c r="UJ151" s="1" t="s">
        <v>778</v>
      </c>
      <c r="UM151" s="1" t="s">
        <v>778</v>
      </c>
      <c r="UN151" s="1" t="s">
        <v>778</v>
      </c>
      <c r="UO151" s="1" t="s">
        <v>778</v>
      </c>
    </row>
    <row r="152" spans="1:588" ht="159.5" hidden="1" x14ac:dyDescent="0.35">
      <c r="A152" s="6" t="s">
        <v>543</v>
      </c>
      <c r="B152" s="14" t="s">
        <v>68</v>
      </c>
      <c r="C152" s="1" t="str" cm="1">
        <f t="array" ref="C152">GetURL(B152)</f>
        <v>https://explore-education-statistics.service.gov.uk/find-statistics/graduate-outcomes-leo-provider-level-data</v>
      </c>
      <c r="D152" s="1" t="s">
        <v>2601</v>
      </c>
      <c r="E152" s="6" t="s">
        <v>928</v>
      </c>
      <c r="F152" s="1" t="s">
        <v>778</v>
      </c>
      <c r="G152" s="1" t="s">
        <v>778</v>
      </c>
      <c r="H152" s="1" t="s">
        <v>778</v>
      </c>
      <c r="I152" s="1" t="s">
        <v>778</v>
      </c>
      <c r="J152" s="1" t="s">
        <v>778</v>
      </c>
      <c r="T152" s="1" t="s">
        <v>778</v>
      </c>
      <c r="TV152" s="1" t="s">
        <v>778</v>
      </c>
      <c r="UP152" s="1" t="s">
        <v>778</v>
      </c>
      <c r="UQ152" s="1" t="s">
        <v>778</v>
      </c>
      <c r="UR152" s="1" t="s">
        <v>778</v>
      </c>
      <c r="US152" s="1" t="s">
        <v>778</v>
      </c>
      <c r="UT152" s="1" t="s">
        <v>778</v>
      </c>
    </row>
    <row r="153" spans="1:588" ht="159.5" hidden="1" x14ac:dyDescent="0.35">
      <c r="A153" s="6" t="s">
        <v>543</v>
      </c>
      <c r="B153" s="14" t="s">
        <v>68</v>
      </c>
      <c r="C153" s="1" t="str" cm="1">
        <f t="array" ref="C153">GetURL(B153)</f>
        <v>https://explore-education-statistics.service.gov.uk/find-statistics/graduate-outcomes-leo-provider-level-data</v>
      </c>
      <c r="D153" s="1" t="s">
        <v>2601</v>
      </c>
      <c r="E153" s="6" t="s">
        <v>929</v>
      </c>
      <c r="F153" s="1" t="s">
        <v>778</v>
      </c>
      <c r="G153" s="1" t="s">
        <v>778</v>
      </c>
      <c r="H153" s="1" t="s">
        <v>778</v>
      </c>
      <c r="I153" s="1" t="s">
        <v>778</v>
      </c>
      <c r="J153" s="1" t="s">
        <v>778</v>
      </c>
      <c r="BK153" s="1" t="s">
        <v>778</v>
      </c>
      <c r="SV153" s="1" t="s">
        <v>778</v>
      </c>
      <c r="SW153" s="1" t="s">
        <v>778</v>
      </c>
      <c r="SX153" s="1" t="s">
        <v>778</v>
      </c>
      <c r="UJ153" s="1" t="s">
        <v>778</v>
      </c>
      <c r="UM153" s="1" t="s">
        <v>778</v>
      </c>
      <c r="UN153" s="1" t="s">
        <v>778</v>
      </c>
      <c r="UO153" s="1" t="s">
        <v>778</v>
      </c>
      <c r="UU153" s="1" t="s">
        <v>778</v>
      </c>
      <c r="UV153" s="1" t="s">
        <v>778</v>
      </c>
      <c r="UW153" s="1" t="s">
        <v>778</v>
      </c>
      <c r="UX153" s="1" t="s">
        <v>778</v>
      </c>
      <c r="UY153" s="1" t="s">
        <v>778</v>
      </c>
      <c r="UZ153" s="1" t="s">
        <v>778</v>
      </c>
      <c r="VA153" s="1" t="s">
        <v>778</v>
      </c>
    </row>
    <row r="154" spans="1:588" ht="159.5" hidden="1" x14ac:dyDescent="0.35">
      <c r="A154" s="6" t="s">
        <v>543</v>
      </c>
      <c r="B154" s="14" t="s">
        <v>68</v>
      </c>
      <c r="C154" s="1" t="str" cm="1">
        <f t="array" ref="C154">GetURL(B154)</f>
        <v>https://explore-education-statistics.service.gov.uk/find-statistics/graduate-outcomes-leo-provider-level-data</v>
      </c>
      <c r="D154" s="1" t="s">
        <v>2601</v>
      </c>
      <c r="E154" s="2" t="s">
        <v>930</v>
      </c>
      <c r="F154" s="1" t="s">
        <v>778</v>
      </c>
      <c r="G154" s="1" t="s">
        <v>778</v>
      </c>
      <c r="H154" s="1" t="s">
        <v>778</v>
      </c>
      <c r="I154" s="1" t="s">
        <v>778</v>
      </c>
      <c r="J154" s="1" t="s">
        <v>778</v>
      </c>
      <c r="BK154" s="1" t="s">
        <v>778</v>
      </c>
      <c r="VB154" s="1" t="s">
        <v>778</v>
      </c>
      <c r="VC154" s="1" t="s">
        <v>778</v>
      </c>
      <c r="VD154" s="1" t="s">
        <v>778</v>
      </c>
      <c r="VE154" s="1" t="s">
        <v>778</v>
      </c>
      <c r="VF154" s="1" t="s">
        <v>778</v>
      </c>
      <c r="VG154" s="1" t="s">
        <v>778</v>
      </c>
    </row>
    <row r="155" spans="1:588" ht="159.5" hidden="1" x14ac:dyDescent="0.35">
      <c r="A155" s="6" t="s">
        <v>543</v>
      </c>
      <c r="B155" s="14" t="s">
        <v>99</v>
      </c>
      <c r="C155" s="1" t="str" cm="1">
        <f t="array" ref="C155">GetURL(B155)</f>
        <v>https://explore-education-statistics.service.gov.uk/find-statistics/widening-participation-in-higher-education</v>
      </c>
      <c r="D155" s="1" t="s">
        <v>2602</v>
      </c>
      <c r="E155" s="6" t="s">
        <v>931</v>
      </c>
      <c r="F155" s="1" t="s">
        <v>778</v>
      </c>
      <c r="G155" s="1" t="s">
        <v>778</v>
      </c>
      <c r="H155" s="1" t="s">
        <v>778</v>
      </c>
      <c r="I155" s="1" t="s">
        <v>778</v>
      </c>
      <c r="J155" s="1" t="s">
        <v>778</v>
      </c>
      <c r="AF155" s="1" t="s">
        <v>778</v>
      </c>
      <c r="AI155" s="1" t="s">
        <v>778</v>
      </c>
      <c r="VH155" s="1" t="s">
        <v>778</v>
      </c>
      <c r="VK155" s="1" t="s">
        <v>778</v>
      </c>
      <c r="VN155" s="1" t="s">
        <v>778</v>
      </c>
      <c r="VO155" s="1" t="s">
        <v>778</v>
      </c>
      <c r="VP155" s="1" t="s">
        <v>778</v>
      </c>
    </row>
    <row r="156" spans="1:588" ht="159.5" hidden="1" x14ac:dyDescent="0.35">
      <c r="A156" s="6" t="s">
        <v>543</v>
      </c>
      <c r="B156" s="14" t="s">
        <v>99</v>
      </c>
      <c r="C156" s="1" t="str" cm="1">
        <f t="array" ref="C156">GetURL(B156)</f>
        <v>https://explore-education-statistics.service.gov.uk/find-statistics/widening-participation-in-higher-education</v>
      </c>
      <c r="D156" s="1" t="s">
        <v>2602</v>
      </c>
      <c r="E156" s="6" t="s">
        <v>932</v>
      </c>
      <c r="F156" s="1" t="s">
        <v>778</v>
      </c>
      <c r="G156" s="1" t="s">
        <v>778</v>
      </c>
      <c r="H156" s="1" t="s">
        <v>778</v>
      </c>
      <c r="I156" s="1" t="s">
        <v>778</v>
      </c>
      <c r="J156" s="1" t="s">
        <v>778</v>
      </c>
      <c r="K156" s="1" t="s">
        <v>778</v>
      </c>
      <c r="L156" s="1" t="s">
        <v>778</v>
      </c>
      <c r="M156" s="1" t="s">
        <v>778</v>
      </c>
      <c r="N156" s="1" t="s">
        <v>778</v>
      </c>
      <c r="O156" s="1" t="s">
        <v>778</v>
      </c>
      <c r="BU156" s="1" t="s">
        <v>778</v>
      </c>
      <c r="BV156" s="1" t="s">
        <v>778</v>
      </c>
      <c r="VH156" s="1" t="s">
        <v>778</v>
      </c>
      <c r="VK156" s="1" t="s">
        <v>778</v>
      </c>
      <c r="VN156" s="1" t="s">
        <v>778</v>
      </c>
      <c r="VO156" s="1" t="s">
        <v>778</v>
      </c>
      <c r="VP156" s="1" t="s">
        <v>778</v>
      </c>
    </row>
    <row r="157" spans="1:588" ht="159.5" hidden="1" x14ac:dyDescent="0.35">
      <c r="A157" s="6" t="s">
        <v>543</v>
      </c>
      <c r="B157" s="14" t="s">
        <v>99</v>
      </c>
      <c r="C157" s="1" t="str" cm="1">
        <f t="array" ref="C157">GetURL(B157)</f>
        <v>https://explore-education-statistics.service.gov.uk/find-statistics/widening-participation-in-higher-education</v>
      </c>
      <c r="D157" s="1" t="s">
        <v>2602</v>
      </c>
      <c r="E157" s="6" t="s">
        <v>933</v>
      </c>
      <c r="F157" s="1" t="s">
        <v>778</v>
      </c>
      <c r="G157" s="1" t="s">
        <v>778</v>
      </c>
      <c r="H157" s="1" t="s">
        <v>778</v>
      </c>
      <c r="I157" s="1" t="s">
        <v>778</v>
      </c>
      <c r="J157" s="1" t="s">
        <v>778</v>
      </c>
      <c r="K157" s="1" t="s">
        <v>778</v>
      </c>
      <c r="L157" s="1" t="s">
        <v>778</v>
      </c>
      <c r="M157" s="1" t="s">
        <v>778</v>
      </c>
      <c r="N157" s="1" t="s">
        <v>778</v>
      </c>
      <c r="O157" s="1" t="s">
        <v>778</v>
      </c>
      <c r="BY157" s="1" t="s">
        <v>778</v>
      </c>
      <c r="VH157" s="1" t="s">
        <v>778</v>
      </c>
      <c r="VK157" s="1" t="s">
        <v>778</v>
      </c>
      <c r="VN157" s="1" t="s">
        <v>778</v>
      </c>
      <c r="VO157" s="1" t="s">
        <v>778</v>
      </c>
      <c r="VP157" s="1" t="s">
        <v>778</v>
      </c>
    </row>
    <row r="158" spans="1:588" ht="159.5" hidden="1" x14ac:dyDescent="0.35">
      <c r="A158" s="6" t="s">
        <v>543</v>
      </c>
      <c r="B158" s="14" t="s">
        <v>99</v>
      </c>
      <c r="C158" s="1" t="str" cm="1">
        <f t="array" ref="C158">GetURL(B158)</f>
        <v>https://explore-education-statistics.service.gov.uk/find-statistics/widening-participation-in-higher-education</v>
      </c>
      <c r="D158" s="1" t="s">
        <v>2602</v>
      </c>
      <c r="E158" s="1" t="s">
        <v>934</v>
      </c>
      <c r="F158" s="1" t="s">
        <v>778</v>
      </c>
      <c r="G158" s="1" t="s">
        <v>778</v>
      </c>
      <c r="H158" s="1" t="s">
        <v>778</v>
      </c>
      <c r="I158" s="1" t="s">
        <v>778</v>
      </c>
      <c r="J158" s="1" t="s">
        <v>778</v>
      </c>
      <c r="K158" s="1" t="s">
        <v>778</v>
      </c>
      <c r="L158" s="1" t="s">
        <v>778</v>
      </c>
      <c r="M158" s="1" t="s">
        <v>778</v>
      </c>
      <c r="N158" s="1" t="s">
        <v>778</v>
      </c>
      <c r="O158" s="1" t="s">
        <v>778</v>
      </c>
      <c r="BZ158" s="1" t="s">
        <v>778</v>
      </c>
      <c r="CA158" s="1" t="s">
        <v>778</v>
      </c>
      <c r="VH158" s="1" t="s">
        <v>778</v>
      </c>
      <c r="VI158" s="1" t="s">
        <v>778</v>
      </c>
      <c r="VJ158" s="1" t="s">
        <v>778</v>
      </c>
      <c r="VK158" s="1" t="s">
        <v>778</v>
      </c>
      <c r="VL158" s="1" t="s">
        <v>778</v>
      </c>
      <c r="VM158" s="1" t="s">
        <v>778</v>
      </c>
    </row>
    <row r="159" spans="1:588" ht="159.5" hidden="1" x14ac:dyDescent="0.35">
      <c r="A159" s="6" t="s">
        <v>543</v>
      </c>
      <c r="B159" s="14" t="s">
        <v>99</v>
      </c>
      <c r="C159" s="1" t="str" cm="1">
        <f t="array" ref="C159">GetURL(B159)</f>
        <v>https://explore-education-statistics.service.gov.uk/find-statistics/widening-participation-in-higher-education</v>
      </c>
      <c r="D159" s="1" t="s">
        <v>2602</v>
      </c>
      <c r="E159" s="6" t="s">
        <v>935</v>
      </c>
      <c r="F159" s="1" t="s">
        <v>778</v>
      </c>
      <c r="G159" s="1" t="s">
        <v>778</v>
      </c>
      <c r="H159" s="1" t="s">
        <v>778</v>
      </c>
      <c r="I159" s="1" t="s">
        <v>778</v>
      </c>
      <c r="J159" s="1" t="s">
        <v>778</v>
      </c>
      <c r="AZ159" s="1" t="s">
        <v>778</v>
      </c>
      <c r="BU159" s="1" t="s">
        <v>778</v>
      </c>
      <c r="BV159" s="1" t="s">
        <v>778</v>
      </c>
      <c r="BY159" s="1" t="s">
        <v>778</v>
      </c>
      <c r="VH159" s="1" t="s">
        <v>778</v>
      </c>
      <c r="VK159" s="1" t="s">
        <v>778</v>
      </c>
      <c r="VN159" s="1" t="s">
        <v>778</v>
      </c>
      <c r="VO159" s="1" t="s">
        <v>778</v>
      </c>
      <c r="VP159" s="1" t="s">
        <v>778</v>
      </c>
    </row>
    <row r="160" spans="1:588" ht="159.5" hidden="1" x14ac:dyDescent="0.35">
      <c r="A160" s="6" t="s">
        <v>543</v>
      </c>
      <c r="B160" s="14" t="s">
        <v>99</v>
      </c>
      <c r="C160" s="1" t="str" cm="1">
        <f t="array" ref="C160">GetURL(B160)</f>
        <v>https://explore-education-statistics.service.gov.uk/find-statistics/widening-participation-in-higher-education</v>
      </c>
      <c r="D160" s="1" t="s">
        <v>2602</v>
      </c>
      <c r="E160" s="6" t="s">
        <v>936</v>
      </c>
      <c r="F160" s="1" t="s">
        <v>778</v>
      </c>
      <c r="G160" s="1" t="s">
        <v>778</v>
      </c>
      <c r="H160" s="1" t="s">
        <v>778</v>
      </c>
      <c r="I160" s="1" t="s">
        <v>778</v>
      </c>
      <c r="J160" s="1" t="s">
        <v>778</v>
      </c>
      <c r="K160" s="1" t="s">
        <v>778</v>
      </c>
      <c r="L160" s="1" t="s">
        <v>778</v>
      </c>
      <c r="AZ160" s="1" t="s">
        <v>778</v>
      </c>
      <c r="BU160" s="1" t="s">
        <v>778</v>
      </c>
      <c r="BY160" s="1" t="s">
        <v>778</v>
      </c>
      <c r="VH160" s="1" t="s">
        <v>778</v>
      </c>
      <c r="VK160" s="1" t="s">
        <v>778</v>
      </c>
      <c r="VN160" s="1" t="s">
        <v>778</v>
      </c>
      <c r="VO160" s="1" t="s">
        <v>778</v>
      </c>
      <c r="VP160" s="1" t="s">
        <v>778</v>
      </c>
    </row>
    <row r="161" spans="1:616" ht="159.5" hidden="1" x14ac:dyDescent="0.35">
      <c r="A161" s="6" t="s">
        <v>543</v>
      </c>
      <c r="B161" s="14" t="s">
        <v>99</v>
      </c>
      <c r="C161" s="1" t="str" cm="1">
        <f t="array" ref="C161">GetURL(B161)</f>
        <v>https://explore-education-statistics.service.gov.uk/find-statistics/widening-participation-in-higher-education</v>
      </c>
      <c r="D161" s="1" t="s">
        <v>2602</v>
      </c>
      <c r="E161" s="6" t="s">
        <v>937</v>
      </c>
      <c r="F161" s="1" t="s">
        <v>778</v>
      </c>
      <c r="G161" s="1" t="s">
        <v>778</v>
      </c>
      <c r="H161" s="1" t="s">
        <v>778</v>
      </c>
      <c r="I161" s="1" t="s">
        <v>778</v>
      </c>
      <c r="J161" s="1" t="s">
        <v>778</v>
      </c>
      <c r="K161" s="1" t="s">
        <v>778</v>
      </c>
      <c r="L161" s="1" t="s">
        <v>778</v>
      </c>
      <c r="M161" s="1" t="s">
        <v>778</v>
      </c>
      <c r="N161" s="1" t="s">
        <v>778</v>
      </c>
      <c r="O161" s="1" t="s">
        <v>778</v>
      </c>
      <c r="AZ161" s="1" t="s">
        <v>778</v>
      </c>
      <c r="VH161" s="1" t="s">
        <v>778</v>
      </c>
      <c r="VK161" s="1" t="s">
        <v>778</v>
      </c>
      <c r="VN161" s="1" t="s">
        <v>778</v>
      </c>
      <c r="VO161" s="1" t="s">
        <v>778</v>
      </c>
      <c r="VP161" s="1" t="s">
        <v>778</v>
      </c>
    </row>
    <row r="162" spans="1:616" ht="159.5" hidden="1" x14ac:dyDescent="0.35">
      <c r="A162" s="6" t="s">
        <v>543</v>
      </c>
      <c r="B162" s="14" t="s">
        <v>99</v>
      </c>
      <c r="C162" s="1" t="str" cm="1">
        <f t="array" ref="C162">GetURL(B162)</f>
        <v>https://explore-education-statistics.service.gov.uk/find-statistics/widening-participation-in-higher-education</v>
      </c>
      <c r="D162" s="1" t="s">
        <v>2602</v>
      </c>
      <c r="E162" s="6" t="s">
        <v>938</v>
      </c>
      <c r="F162" s="1" t="s">
        <v>778</v>
      </c>
      <c r="G162" s="1" t="s">
        <v>778</v>
      </c>
      <c r="H162" s="1" t="s">
        <v>778</v>
      </c>
      <c r="I162" s="1" t="s">
        <v>778</v>
      </c>
      <c r="J162" s="1" t="s">
        <v>778</v>
      </c>
      <c r="BZ162" s="1" t="s">
        <v>786</v>
      </c>
      <c r="VQ162" s="1" t="s">
        <v>786</v>
      </c>
      <c r="VR162" s="1" t="s">
        <v>786</v>
      </c>
      <c r="VS162" s="1" t="s">
        <v>786</v>
      </c>
      <c r="VT162" s="1" t="s">
        <v>786</v>
      </c>
      <c r="VU162" s="1" t="s">
        <v>786</v>
      </c>
    </row>
    <row r="163" spans="1:616" ht="159.5" hidden="1" x14ac:dyDescent="0.35">
      <c r="A163" s="6" t="s">
        <v>543</v>
      </c>
      <c r="B163" s="14" t="s">
        <v>99</v>
      </c>
      <c r="C163" s="1" t="str" cm="1">
        <f t="array" ref="C163">GetURL(B163)</f>
        <v>https://explore-education-statistics.service.gov.uk/find-statistics/widening-participation-in-higher-education</v>
      </c>
      <c r="D163" s="1" t="s">
        <v>2602</v>
      </c>
      <c r="E163" s="1" t="s">
        <v>939</v>
      </c>
      <c r="F163" s="1" t="s">
        <v>778</v>
      </c>
      <c r="G163" s="1" t="s">
        <v>778</v>
      </c>
      <c r="H163" s="1" t="s">
        <v>778</v>
      </c>
      <c r="I163" s="1" t="s">
        <v>778</v>
      </c>
      <c r="J163" s="1" t="s">
        <v>778</v>
      </c>
      <c r="RE163" s="1" t="s">
        <v>778</v>
      </c>
      <c r="RG163" s="1" t="s">
        <v>778</v>
      </c>
      <c r="VH163" s="1" t="s">
        <v>778</v>
      </c>
      <c r="VK163" s="1" t="s">
        <v>778</v>
      </c>
      <c r="VN163" s="1" t="s">
        <v>778</v>
      </c>
      <c r="VO163" s="1" t="s">
        <v>778</v>
      </c>
      <c r="VP163" s="1" t="s">
        <v>778</v>
      </c>
    </row>
    <row r="164" spans="1:616" ht="159.5" hidden="1" x14ac:dyDescent="0.35">
      <c r="A164" s="6" t="s">
        <v>543</v>
      </c>
      <c r="B164" s="14" t="s">
        <v>99</v>
      </c>
      <c r="C164" s="1" t="str" cm="1">
        <f t="array" ref="C164">GetURL(B164)</f>
        <v>https://explore-education-statistics.service.gov.uk/find-statistics/widening-participation-in-higher-education</v>
      </c>
      <c r="D164" s="1" t="s">
        <v>2602</v>
      </c>
      <c r="E164" s="1" t="s">
        <v>940</v>
      </c>
      <c r="F164" s="1" t="s">
        <v>778</v>
      </c>
      <c r="G164" s="1" t="s">
        <v>778</v>
      </c>
      <c r="H164" s="1" t="s">
        <v>778</v>
      </c>
      <c r="I164" s="1" t="s">
        <v>778</v>
      </c>
      <c r="J164" s="1" t="s">
        <v>778</v>
      </c>
      <c r="RG164" s="1">
        <f>IF(ISERROR(HLOOKUP(RG1,[1]school_type_gap!$A$1:$L$1,1,FALSE)),0,1)</f>
        <v>1</v>
      </c>
      <c r="VL164" s="1" t="s">
        <v>778</v>
      </c>
      <c r="VM164" s="1" t="s">
        <v>778</v>
      </c>
      <c r="VV164" s="1" t="s">
        <v>778</v>
      </c>
      <c r="VW164" s="1" t="s">
        <v>778</v>
      </c>
      <c r="VX164" s="1" t="s">
        <v>778</v>
      </c>
      <c r="VY164" s="1" t="s">
        <v>778</v>
      </c>
    </row>
    <row r="165" spans="1:616" ht="159.5" hidden="1" x14ac:dyDescent="0.35">
      <c r="A165" s="6" t="s">
        <v>543</v>
      </c>
      <c r="B165" s="14" t="s">
        <v>99</v>
      </c>
      <c r="C165" s="1" t="str" cm="1">
        <f t="array" ref="C165">GetURL(B165)</f>
        <v>https://explore-education-statistics.service.gov.uk/find-statistics/widening-participation-in-higher-education</v>
      </c>
      <c r="D165" s="1" t="s">
        <v>2602</v>
      </c>
      <c r="E165" s="6" t="s">
        <v>941</v>
      </c>
      <c r="F165" s="1" t="s">
        <v>778</v>
      </c>
      <c r="G165" s="1" t="s">
        <v>778</v>
      </c>
      <c r="H165" s="1" t="s">
        <v>778</v>
      </c>
      <c r="I165" s="1" t="s">
        <v>778</v>
      </c>
      <c r="J165" s="1" t="s">
        <v>778</v>
      </c>
      <c r="K165" s="1" t="s">
        <v>778</v>
      </c>
      <c r="L165" s="1" t="s">
        <v>778</v>
      </c>
      <c r="M165" s="1" t="s">
        <v>778</v>
      </c>
      <c r="N165" s="1" t="s">
        <v>778</v>
      </c>
      <c r="O165" s="1" t="s">
        <v>778</v>
      </c>
      <c r="VH165" s="1" t="s">
        <v>778</v>
      </c>
      <c r="VK165" s="1" t="s">
        <v>778</v>
      </c>
      <c r="VN165" s="1" t="s">
        <v>778</v>
      </c>
      <c r="VO165" s="1" t="s">
        <v>778</v>
      </c>
      <c r="VP165" s="1" t="s">
        <v>778</v>
      </c>
      <c r="VZ165" s="1" t="s">
        <v>778</v>
      </c>
    </row>
    <row r="166" spans="1:616" ht="159.5" hidden="1" x14ac:dyDescent="0.35">
      <c r="A166" s="6" t="s">
        <v>543</v>
      </c>
      <c r="B166" s="14" t="s">
        <v>99</v>
      </c>
      <c r="C166" s="1" t="str" cm="1">
        <f t="array" ref="C166">GetURL(B166)</f>
        <v>https://explore-education-statistics.service.gov.uk/find-statistics/widening-participation-in-higher-education</v>
      </c>
      <c r="D166" s="1" t="s">
        <v>2602</v>
      </c>
      <c r="E166" s="6" t="s">
        <v>942</v>
      </c>
      <c r="F166" s="1" t="s">
        <v>778</v>
      </c>
      <c r="G166" s="1" t="s">
        <v>778</v>
      </c>
      <c r="H166" s="1" t="s">
        <v>778</v>
      </c>
      <c r="I166" s="1" t="s">
        <v>778</v>
      </c>
      <c r="J166" s="1" t="s">
        <v>778</v>
      </c>
      <c r="FH166" s="1" t="s">
        <v>778</v>
      </c>
      <c r="FI166" s="1" t="s">
        <v>778</v>
      </c>
      <c r="WA166" s="1" t="s">
        <v>778</v>
      </c>
      <c r="WB166" s="1" t="s">
        <v>778</v>
      </c>
    </row>
    <row r="167" spans="1:616" ht="159.5" hidden="1" x14ac:dyDescent="0.35">
      <c r="A167" s="6" t="s">
        <v>543</v>
      </c>
      <c r="B167" s="14" t="s">
        <v>99</v>
      </c>
      <c r="C167" s="1" t="str" cm="1">
        <f t="array" ref="C167">GetURL(B167)</f>
        <v>https://explore-education-statistics.service.gov.uk/find-statistics/widening-participation-in-higher-education</v>
      </c>
      <c r="D167" s="1" t="s">
        <v>2602</v>
      </c>
      <c r="E167" s="6" t="s">
        <v>943</v>
      </c>
      <c r="F167" s="1" t="s">
        <v>778</v>
      </c>
      <c r="G167" s="1" t="s">
        <v>778</v>
      </c>
      <c r="H167" s="1" t="s">
        <v>778</v>
      </c>
      <c r="I167" s="1" t="s">
        <v>778</v>
      </c>
      <c r="J167" s="1" t="s">
        <v>778</v>
      </c>
      <c r="RE167" s="1" t="s">
        <v>778</v>
      </c>
      <c r="VH167" s="1" t="s">
        <v>778</v>
      </c>
      <c r="VN167" s="1" t="s">
        <v>778</v>
      </c>
      <c r="WC167" s="1" t="s">
        <v>778</v>
      </c>
      <c r="WD167" s="1" t="s">
        <v>778</v>
      </c>
    </row>
    <row r="168" spans="1:616" ht="159.5" hidden="1" x14ac:dyDescent="0.35">
      <c r="A168" s="6" t="s">
        <v>543</v>
      </c>
      <c r="B168" s="14" t="s">
        <v>60</v>
      </c>
      <c r="C168" s="1" t="str" cm="1">
        <f t="array" ref="C168">GetURL(B168)</f>
        <v>https://explore-education-statistics.service.gov.uk/find-statistics/higher-level-learners-in-england</v>
      </c>
      <c r="D168" s="1" t="s">
        <v>2603</v>
      </c>
      <c r="E168" s="6" t="s">
        <v>944</v>
      </c>
      <c r="F168" s="1" t="s">
        <v>778</v>
      </c>
      <c r="G168" s="1" t="s">
        <v>778</v>
      </c>
      <c r="H168" s="1" t="s">
        <v>778</v>
      </c>
      <c r="I168" s="1" t="s">
        <v>778</v>
      </c>
      <c r="J168" s="1" t="s">
        <v>778</v>
      </c>
      <c r="WJ168" s="1" t="s">
        <v>778</v>
      </c>
      <c r="WK168" s="1" t="s">
        <v>778</v>
      </c>
      <c r="WL168" s="1" t="s">
        <v>778</v>
      </c>
      <c r="WM168" s="1" t="s">
        <v>778</v>
      </c>
      <c r="WN168" s="1" t="s">
        <v>778</v>
      </c>
      <c r="WO168" s="1" t="s">
        <v>778</v>
      </c>
    </row>
    <row r="169" spans="1:616" ht="159.5" hidden="1" x14ac:dyDescent="0.35">
      <c r="A169" s="6" t="s">
        <v>543</v>
      </c>
      <c r="B169" s="14" t="s">
        <v>60</v>
      </c>
      <c r="C169" s="1" t="str" cm="1">
        <f t="array" ref="C169">GetURL(B169)</f>
        <v>https://explore-education-statistics.service.gov.uk/find-statistics/higher-level-learners-in-england</v>
      </c>
      <c r="D169" s="1" t="s">
        <v>2603</v>
      </c>
      <c r="E169" s="1" t="s">
        <v>945</v>
      </c>
      <c r="F169" s="1" t="s">
        <v>778</v>
      </c>
      <c r="G169" s="1" t="s">
        <v>778</v>
      </c>
      <c r="H169" s="1" t="s">
        <v>778</v>
      </c>
      <c r="I169" s="1" t="s">
        <v>778</v>
      </c>
      <c r="J169" s="1" t="s">
        <v>778</v>
      </c>
      <c r="AL169" s="1" t="s">
        <v>778</v>
      </c>
      <c r="AU169" s="1" t="s">
        <v>778</v>
      </c>
      <c r="JR169" s="1" t="s">
        <v>778</v>
      </c>
      <c r="WE169" s="1" t="s">
        <v>778</v>
      </c>
      <c r="WF169" s="1" t="s">
        <v>778</v>
      </c>
      <c r="WG169" s="1" t="s">
        <v>778</v>
      </c>
    </row>
    <row r="170" spans="1:616" ht="159.5" hidden="1" x14ac:dyDescent="0.35">
      <c r="A170" s="6" t="s">
        <v>543</v>
      </c>
      <c r="B170" s="14" t="s">
        <v>60</v>
      </c>
      <c r="C170" s="1" t="str" cm="1">
        <f t="array" ref="C170">GetURL(B170)</f>
        <v>https://explore-education-statistics.service.gov.uk/find-statistics/higher-level-learners-in-england</v>
      </c>
      <c r="D170" s="1" t="s">
        <v>2603</v>
      </c>
      <c r="E170" s="6" t="s">
        <v>946</v>
      </c>
      <c r="F170" s="1" t="s">
        <v>778</v>
      </c>
      <c r="G170" s="1" t="s">
        <v>778</v>
      </c>
      <c r="H170" s="1" t="s">
        <v>778</v>
      </c>
      <c r="I170" s="1" t="s">
        <v>778</v>
      </c>
      <c r="J170" s="1" t="s">
        <v>778</v>
      </c>
      <c r="AM170" s="1" t="s">
        <v>778</v>
      </c>
      <c r="BP170" s="1" t="s">
        <v>778</v>
      </c>
      <c r="WF170" s="1" t="s">
        <v>778</v>
      </c>
      <c r="WG170" s="1" t="s">
        <v>778</v>
      </c>
      <c r="WJ170" s="1" t="s">
        <v>778</v>
      </c>
    </row>
    <row r="171" spans="1:616" ht="159.5" hidden="1" x14ac:dyDescent="0.35">
      <c r="A171" s="6" t="s">
        <v>543</v>
      </c>
      <c r="B171" s="14" t="s">
        <v>60</v>
      </c>
      <c r="C171" s="1" t="str" cm="1">
        <f t="array" ref="C171">GetURL(B171)</f>
        <v>https://explore-education-statistics.service.gov.uk/find-statistics/higher-level-learners-in-england</v>
      </c>
      <c r="D171" s="1" t="s">
        <v>2603</v>
      </c>
      <c r="E171" s="6" t="s">
        <v>947</v>
      </c>
      <c r="F171" s="1" t="s">
        <v>778</v>
      </c>
      <c r="G171" s="1" t="s">
        <v>778</v>
      </c>
      <c r="H171" s="1" t="s">
        <v>778</v>
      </c>
      <c r="I171" s="1" t="s">
        <v>778</v>
      </c>
      <c r="J171" s="1" t="s">
        <v>778</v>
      </c>
      <c r="AL171" s="1" t="s">
        <v>778</v>
      </c>
      <c r="BR171" s="1" t="s">
        <v>778</v>
      </c>
      <c r="WE171" s="1" t="s">
        <v>778</v>
      </c>
      <c r="WF171" s="1" t="s">
        <v>778</v>
      </c>
      <c r="WG171" s="1" t="s">
        <v>778</v>
      </c>
    </row>
    <row r="172" spans="1:616" ht="159.5" hidden="1" x14ac:dyDescent="0.35">
      <c r="A172" s="6" t="s">
        <v>543</v>
      </c>
      <c r="B172" s="14" t="s">
        <v>60</v>
      </c>
      <c r="C172" s="1" t="str" cm="1">
        <f t="array" ref="C172">GetURL(B172)</f>
        <v>https://explore-education-statistics.service.gov.uk/find-statistics/higher-level-learners-in-england</v>
      </c>
      <c r="D172" s="1" t="s">
        <v>2603</v>
      </c>
      <c r="E172" s="6" t="s">
        <v>948</v>
      </c>
      <c r="F172" s="1" t="s">
        <v>778</v>
      </c>
      <c r="G172" s="1" t="s">
        <v>778</v>
      </c>
      <c r="H172" s="1" t="s">
        <v>778</v>
      </c>
      <c r="I172" s="1" t="s">
        <v>778</v>
      </c>
      <c r="J172" s="1" t="s">
        <v>778</v>
      </c>
      <c r="AL172" s="1" t="s">
        <v>778</v>
      </c>
      <c r="WE172" s="1" t="s">
        <v>778</v>
      </c>
      <c r="WF172" s="1" t="s">
        <v>778</v>
      </c>
      <c r="WG172" s="1" t="s">
        <v>778</v>
      </c>
      <c r="WP172" s="1" t="s">
        <v>778</v>
      </c>
    </row>
    <row r="173" spans="1:616" ht="159.5" hidden="1" x14ac:dyDescent="0.35">
      <c r="A173" s="6" t="s">
        <v>543</v>
      </c>
      <c r="B173" s="14" t="s">
        <v>60</v>
      </c>
      <c r="C173" s="1" t="str" cm="1">
        <f t="array" ref="C173">GetURL(B173)</f>
        <v>https://explore-education-statistics.service.gov.uk/find-statistics/higher-level-learners-in-england</v>
      </c>
      <c r="D173" s="1" t="s">
        <v>2603</v>
      </c>
      <c r="E173" s="6" t="s">
        <v>949</v>
      </c>
      <c r="F173" s="1" t="s">
        <v>778</v>
      </c>
      <c r="G173" s="1" t="s">
        <v>778</v>
      </c>
      <c r="H173" s="1" t="s">
        <v>778</v>
      </c>
      <c r="I173" s="1" t="s">
        <v>778</v>
      </c>
      <c r="J173" s="1" t="s">
        <v>778</v>
      </c>
      <c r="AL173" s="1" t="s">
        <v>778</v>
      </c>
      <c r="JR173" s="1" t="s">
        <v>778</v>
      </c>
      <c r="WE173" s="1" t="s">
        <v>778</v>
      </c>
      <c r="WF173" s="1" t="s">
        <v>778</v>
      </c>
      <c r="WG173" s="1" t="s">
        <v>778</v>
      </c>
    </row>
    <row r="174" spans="1:616" ht="159.5" hidden="1" x14ac:dyDescent="0.35">
      <c r="A174" s="6" t="s">
        <v>543</v>
      </c>
      <c r="B174" s="14" t="s">
        <v>60</v>
      </c>
      <c r="C174" s="1" t="str" cm="1">
        <f t="array" ref="C174">GetURL(B174)</f>
        <v>https://explore-education-statistics.service.gov.uk/find-statistics/higher-level-learners-in-england</v>
      </c>
      <c r="D174" s="1" t="s">
        <v>2603</v>
      </c>
      <c r="E174" s="6" t="s">
        <v>950</v>
      </c>
      <c r="F174" s="1" t="s">
        <v>778</v>
      </c>
      <c r="G174" s="1" t="s">
        <v>778</v>
      </c>
      <c r="H174" s="1" t="s">
        <v>778</v>
      </c>
      <c r="I174" s="1" t="s">
        <v>778</v>
      </c>
      <c r="J174" s="1" t="s">
        <v>778</v>
      </c>
      <c r="AL174" s="1" t="s">
        <v>778</v>
      </c>
      <c r="JR174" s="1" t="s">
        <v>778</v>
      </c>
      <c r="WE174" s="1" t="s">
        <v>778</v>
      </c>
      <c r="WF174" s="1" t="s">
        <v>778</v>
      </c>
      <c r="WG174" s="1" t="s">
        <v>778</v>
      </c>
      <c r="WQ174" s="1" t="s">
        <v>778</v>
      </c>
    </row>
    <row r="175" spans="1:616" ht="159.5" hidden="1" x14ac:dyDescent="0.35">
      <c r="A175" s="6" t="s">
        <v>543</v>
      </c>
      <c r="B175" s="14" t="s">
        <v>60</v>
      </c>
      <c r="C175" s="1" t="str" cm="1">
        <f t="array" ref="C175">GetURL(B175)</f>
        <v>https://explore-education-statistics.service.gov.uk/find-statistics/higher-level-learners-in-england</v>
      </c>
      <c r="D175" s="1" t="s">
        <v>2603</v>
      </c>
      <c r="E175" s="6" t="s">
        <v>951</v>
      </c>
      <c r="F175" s="1" t="s">
        <v>778</v>
      </c>
      <c r="G175" s="1" t="s">
        <v>778</v>
      </c>
      <c r="H175" s="1" t="s">
        <v>778</v>
      </c>
      <c r="I175" s="1" t="s">
        <v>778</v>
      </c>
      <c r="J175" s="1" t="s">
        <v>778</v>
      </c>
      <c r="AL175" s="1" t="s">
        <v>778</v>
      </c>
      <c r="WE175" s="1" t="s">
        <v>778</v>
      </c>
      <c r="WF175" s="1" t="s">
        <v>778</v>
      </c>
      <c r="WG175" s="1" t="s">
        <v>778</v>
      </c>
      <c r="WR175" s="1" t="s">
        <v>778</v>
      </c>
    </row>
    <row r="176" spans="1:616" ht="159.5" hidden="1" x14ac:dyDescent="0.35">
      <c r="A176" s="6" t="s">
        <v>543</v>
      </c>
      <c r="B176" s="14" t="s">
        <v>60</v>
      </c>
      <c r="C176" s="1" t="str" cm="1">
        <f t="array" ref="C176">GetURL(B176)</f>
        <v>https://explore-education-statistics.service.gov.uk/find-statistics/higher-level-learners-in-england</v>
      </c>
      <c r="D176" s="1" t="s">
        <v>2603</v>
      </c>
      <c r="E176" s="6" t="s">
        <v>952</v>
      </c>
      <c r="F176" s="1" t="s">
        <v>778</v>
      </c>
      <c r="G176" s="1" t="s">
        <v>778</v>
      </c>
      <c r="H176" s="1" t="s">
        <v>778</v>
      </c>
      <c r="I176" s="1" t="s">
        <v>778</v>
      </c>
      <c r="J176" s="1" t="s">
        <v>778</v>
      </c>
      <c r="K176" s="1" t="s">
        <v>778</v>
      </c>
      <c r="L176" s="1" t="s">
        <v>778</v>
      </c>
      <c r="AL176" s="1" t="s">
        <v>778</v>
      </c>
      <c r="WE176" s="1" t="s">
        <v>778</v>
      </c>
      <c r="WF176" s="1" t="s">
        <v>778</v>
      </c>
      <c r="WG176" s="1" t="s">
        <v>778</v>
      </c>
    </row>
    <row r="177" spans="1:619" ht="159.5" hidden="1" x14ac:dyDescent="0.35">
      <c r="A177" s="6" t="s">
        <v>543</v>
      </c>
      <c r="B177" s="14" t="s">
        <v>60</v>
      </c>
      <c r="C177" s="1" t="str" cm="1">
        <f t="array" ref="C177">GetURL(B177)</f>
        <v>https://explore-education-statistics.service.gov.uk/find-statistics/higher-level-learners-in-england</v>
      </c>
      <c r="D177" s="1" t="s">
        <v>2603</v>
      </c>
      <c r="E177" s="6" t="s">
        <v>953</v>
      </c>
      <c r="F177" s="1" t="s">
        <v>778</v>
      </c>
      <c r="G177" s="1" t="s">
        <v>778</v>
      </c>
      <c r="H177" s="1" t="s">
        <v>778</v>
      </c>
      <c r="I177" s="1" t="s">
        <v>778</v>
      </c>
      <c r="J177" s="1" t="s">
        <v>778</v>
      </c>
      <c r="AL177" s="1" t="s">
        <v>778</v>
      </c>
      <c r="AZ177" s="1" t="s">
        <v>778</v>
      </c>
      <c r="WE177" s="1" t="s">
        <v>778</v>
      </c>
      <c r="WF177" s="1" t="s">
        <v>778</v>
      </c>
      <c r="WG177" s="1" t="s">
        <v>778</v>
      </c>
    </row>
    <row r="178" spans="1:619" ht="159.5" hidden="1" x14ac:dyDescent="0.35">
      <c r="A178" s="6" t="s">
        <v>543</v>
      </c>
      <c r="B178" s="14" t="s">
        <v>60</v>
      </c>
      <c r="C178" s="1" t="str" cm="1">
        <f t="array" ref="C178">GetURL(B178)</f>
        <v>https://explore-education-statistics.service.gov.uk/find-statistics/higher-level-learners-in-england</v>
      </c>
      <c r="D178" s="1" t="s">
        <v>2603</v>
      </c>
      <c r="E178" s="6" t="s">
        <v>954</v>
      </c>
      <c r="F178" s="1" t="s">
        <v>778</v>
      </c>
      <c r="G178" s="1" t="s">
        <v>778</v>
      </c>
      <c r="H178" s="1" t="s">
        <v>778</v>
      </c>
      <c r="I178" s="1" t="s">
        <v>778</v>
      </c>
      <c r="J178" s="1" t="s">
        <v>778</v>
      </c>
      <c r="AL178" s="1" t="s">
        <v>778</v>
      </c>
      <c r="WE178" s="1" t="s">
        <v>778</v>
      </c>
      <c r="WF178" s="1" t="s">
        <v>778</v>
      </c>
      <c r="WG178" s="1" t="s">
        <v>778</v>
      </c>
      <c r="WS178" s="1" t="s">
        <v>778</v>
      </c>
    </row>
    <row r="179" spans="1:619" ht="159.5" hidden="1" x14ac:dyDescent="0.35">
      <c r="A179" s="6" t="s">
        <v>543</v>
      </c>
      <c r="B179" s="14" t="s">
        <v>60</v>
      </c>
      <c r="C179" s="1" t="str" cm="1">
        <f t="array" ref="C179">GetURL(B179)</f>
        <v>https://explore-education-statistics.service.gov.uk/find-statistics/higher-level-learners-in-england</v>
      </c>
      <c r="D179" s="1" t="s">
        <v>2603</v>
      </c>
      <c r="E179" s="6" t="s">
        <v>955</v>
      </c>
      <c r="F179" s="1" t="s">
        <v>778</v>
      </c>
      <c r="G179" s="1" t="s">
        <v>778</v>
      </c>
      <c r="H179" s="1" t="s">
        <v>778</v>
      </c>
      <c r="I179" s="1" t="s">
        <v>778</v>
      </c>
      <c r="J179" s="1" t="s">
        <v>778</v>
      </c>
      <c r="AL179" s="1" t="s">
        <v>778</v>
      </c>
      <c r="WE179" s="1" t="s">
        <v>778</v>
      </c>
      <c r="WF179" s="1" t="s">
        <v>778</v>
      </c>
      <c r="WG179" s="1" t="s">
        <v>778</v>
      </c>
      <c r="WT179" s="1" t="s">
        <v>778</v>
      </c>
    </row>
    <row r="180" spans="1:619" ht="159.5" hidden="1" x14ac:dyDescent="0.35">
      <c r="A180" s="6" t="s">
        <v>543</v>
      </c>
      <c r="B180" s="14" t="s">
        <v>60</v>
      </c>
      <c r="C180" s="1" t="str" cm="1">
        <f t="array" ref="C180">GetURL(B180)</f>
        <v>https://explore-education-statistics.service.gov.uk/find-statistics/higher-level-learners-in-england</v>
      </c>
      <c r="D180" s="1" t="s">
        <v>2603</v>
      </c>
      <c r="E180" s="6" t="s">
        <v>956</v>
      </c>
      <c r="F180" s="1" t="s">
        <v>778</v>
      </c>
      <c r="G180" s="1" t="s">
        <v>778</v>
      </c>
      <c r="H180" s="1" t="s">
        <v>778</v>
      </c>
      <c r="I180" s="1" t="s">
        <v>778</v>
      </c>
      <c r="J180" s="1" t="s">
        <v>778</v>
      </c>
      <c r="AL180" s="1" t="s">
        <v>778</v>
      </c>
      <c r="WE180" s="1" t="s">
        <v>778</v>
      </c>
      <c r="WF180" s="1" t="s">
        <v>778</v>
      </c>
      <c r="WG180" s="1" t="s">
        <v>778</v>
      </c>
      <c r="WU180" s="1" t="s">
        <v>778</v>
      </c>
    </row>
    <row r="181" spans="1:619" ht="159.5" hidden="1" x14ac:dyDescent="0.35">
      <c r="A181" s="6" t="s">
        <v>543</v>
      </c>
      <c r="B181" s="14" t="s">
        <v>60</v>
      </c>
      <c r="C181" s="1" t="str" cm="1">
        <f t="array" ref="C181">GetURL(B181)</f>
        <v>https://explore-education-statistics.service.gov.uk/find-statistics/higher-level-learners-in-england</v>
      </c>
      <c r="D181" s="1" t="s">
        <v>2603</v>
      </c>
      <c r="E181" s="6" t="s">
        <v>957</v>
      </c>
      <c r="F181" s="1" t="s">
        <v>778</v>
      </c>
      <c r="G181" s="1" t="s">
        <v>778</v>
      </c>
      <c r="H181" s="1" t="s">
        <v>778</v>
      </c>
      <c r="I181" s="1" t="s">
        <v>778</v>
      </c>
      <c r="J181" s="1" t="s">
        <v>778</v>
      </c>
      <c r="AL181" s="1" t="s">
        <v>778</v>
      </c>
      <c r="OT181" s="1" t="s">
        <v>778</v>
      </c>
      <c r="WE181" s="1" t="s">
        <v>778</v>
      </c>
      <c r="WG181" s="1" t="s">
        <v>778</v>
      </c>
    </row>
    <row r="182" spans="1:619" ht="159.5" hidden="1" x14ac:dyDescent="0.35">
      <c r="A182" s="6" t="s">
        <v>543</v>
      </c>
      <c r="B182" s="14" t="s">
        <v>60</v>
      </c>
      <c r="C182" s="1" t="str" cm="1">
        <f t="array" ref="C182">GetURL(B182)</f>
        <v>https://explore-education-statistics.service.gov.uk/find-statistics/higher-level-learners-in-england</v>
      </c>
      <c r="D182" s="1" t="s">
        <v>2603</v>
      </c>
      <c r="E182" s="6" t="s">
        <v>958</v>
      </c>
      <c r="F182" s="1" t="s">
        <v>778</v>
      </c>
      <c r="G182" s="1" t="s">
        <v>778</v>
      </c>
      <c r="H182" s="1" t="s">
        <v>778</v>
      </c>
      <c r="I182" s="1" t="s">
        <v>778</v>
      </c>
      <c r="J182" s="1" t="s">
        <v>778</v>
      </c>
      <c r="AL182" s="1" t="s">
        <v>778</v>
      </c>
      <c r="AU182" s="1" t="s">
        <v>778</v>
      </c>
      <c r="EE182" s="1" t="s">
        <v>778</v>
      </c>
      <c r="JR182" s="1" t="s">
        <v>778</v>
      </c>
      <c r="RU182" s="1" t="s">
        <v>778</v>
      </c>
      <c r="WF182" s="1" t="s">
        <v>778</v>
      </c>
      <c r="WH182" s="1" t="s">
        <v>778</v>
      </c>
      <c r="WI182" s="1" t="s">
        <v>778</v>
      </c>
    </row>
    <row r="183" spans="1:619" ht="159.5" hidden="1" x14ac:dyDescent="0.35">
      <c r="A183" s="6" t="s">
        <v>543</v>
      </c>
      <c r="B183" s="14" t="s">
        <v>60</v>
      </c>
      <c r="C183" s="1" t="str" cm="1">
        <f t="array" ref="C183">GetURL(B183)</f>
        <v>https://explore-education-statistics.service.gov.uk/find-statistics/higher-level-learners-in-england</v>
      </c>
      <c r="D183" s="1" t="s">
        <v>2603</v>
      </c>
      <c r="E183" s="6" t="s">
        <v>959</v>
      </c>
      <c r="F183" s="1" t="s">
        <v>778</v>
      </c>
      <c r="G183" s="1" t="s">
        <v>778</v>
      </c>
      <c r="H183" s="1" t="s">
        <v>778</v>
      </c>
      <c r="I183" s="1" t="s">
        <v>778</v>
      </c>
      <c r="J183" s="1" t="s">
        <v>778</v>
      </c>
      <c r="AL183" s="1" t="s">
        <v>778</v>
      </c>
      <c r="BO183" s="1" t="s">
        <v>778</v>
      </c>
      <c r="EE183" s="1" t="s">
        <v>778</v>
      </c>
      <c r="RU183" s="1" t="s">
        <v>778</v>
      </c>
      <c r="WF183" s="1" t="s">
        <v>778</v>
      </c>
      <c r="WH183" s="1" t="s">
        <v>778</v>
      </c>
      <c r="WI183" s="1" t="s">
        <v>778</v>
      </c>
    </row>
    <row r="184" spans="1:619" ht="159.5" hidden="1" x14ac:dyDescent="0.35">
      <c r="A184" s="6" t="s">
        <v>543</v>
      </c>
      <c r="B184" s="14" t="s">
        <v>60</v>
      </c>
      <c r="C184" s="1" t="str" cm="1">
        <f t="array" ref="C184">GetURL(B184)</f>
        <v>https://explore-education-statistics.service.gov.uk/find-statistics/higher-level-learners-in-england</v>
      </c>
      <c r="D184" s="1" t="s">
        <v>2603</v>
      </c>
      <c r="E184" s="6" t="s">
        <v>960</v>
      </c>
      <c r="F184" s="1" t="s">
        <v>778</v>
      </c>
      <c r="G184" s="1" t="s">
        <v>778</v>
      </c>
      <c r="H184" s="1" t="s">
        <v>778</v>
      </c>
      <c r="I184" s="1" t="s">
        <v>778</v>
      </c>
      <c r="J184" s="1" t="s">
        <v>778</v>
      </c>
      <c r="AL184" s="1" t="s">
        <v>778</v>
      </c>
      <c r="EE184" s="1" t="s">
        <v>778</v>
      </c>
      <c r="GV184" s="1" t="s">
        <v>778</v>
      </c>
      <c r="RU184" s="1" t="s">
        <v>778</v>
      </c>
      <c r="WF184" s="1" t="s">
        <v>778</v>
      </c>
      <c r="WH184" s="1" t="s">
        <v>778</v>
      </c>
      <c r="WI184" s="1" t="s">
        <v>778</v>
      </c>
    </row>
    <row r="185" spans="1:619" ht="159.5" hidden="1" x14ac:dyDescent="0.35">
      <c r="A185" s="6" t="s">
        <v>543</v>
      </c>
      <c r="B185" s="14" t="s">
        <v>60</v>
      </c>
      <c r="C185" s="1" t="str" cm="1">
        <f t="array" ref="C185">GetURL(B185)</f>
        <v>https://explore-education-statistics.service.gov.uk/find-statistics/higher-level-learners-in-england</v>
      </c>
      <c r="D185" s="1" t="s">
        <v>2603</v>
      </c>
      <c r="E185" s="6" t="s">
        <v>961</v>
      </c>
      <c r="F185" s="1" t="s">
        <v>778</v>
      </c>
      <c r="G185" s="1" t="s">
        <v>778</v>
      </c>
      <c r="H185" s="1" t="s">
        <v>778</v>
      </c>
      <c r="I185" s="1" t="s">
        <v>778</v>
      </c>
      <c r="J185" s="1" t="s">
        <v>778</v>
      </c>
      <c r="AL185" s="1" t="s">
        <v>778</v>
      </c>
      <c r="BR185" s="1" t="s">
        <v>778</v>
      </c>
      <c r="EE185" s="1" t="s">
        <v>778</v>
      </c>
      <c r="RU185" s="1" t="s">
        <v>778</v>
      </c>
      <c r="WF185" s="1" t="s">
        <v>778</v>
      </c>
      <c r="WH185" s="1" t="s">
        <v>778</v>
      </c>
      <c r="WI185" s="1" t="s">
        <v>778</v>
      </c>
    </row>
    <row r="186" spans="1:619" ht="159.5" hidden="1" x14ac:dyDescent="0.35">
      <c r="A186" s="6" t="s">
        <v>543</v>
      </c>
      <c r="B186" s="14" t="s">
        <v>60</v>
      </c>
      <c r="C186" s="1" t="str" cm="1">
        <f t="array" ref="C186">GetURL(B186)</f>
        <v>https://explore-education-statistics.service.gov.uk/find-statistics/higher-level-learners-in-england</v>
      </c>
      <c r="D186" s="1" t="s">
        <v>2603</v>
      </c>
      <c r="E186" s="6" t="s">
        <v>962</v>
      </c>
      <c r="F186" s="1" t="s">
        <v>778</v>
      </c>
      <c r="G186" s="1" t="s">
        <v>778</v>
      </c>
      <c r="H186" s="1" t="s">
        <v>778</v>
      </c>
      <c r="I186" s="1" t="s">
        <v>778</v>
      </c>
      <c r="J186" s="1" t="s">
        <v>778</v>
      </c>
      <c r="AL186" s="1" t="s">
        <v>778</v>
      </c>
      <c r="EE186" s="1" t="s">
        <v>778</v>
      </c>
      <c r="RU186" s="1" t="s">
        <v>778</v>
      </c>
      <c r="WF186" s="1" t="s">
        <v>778</v>
      </c>
      <c r="WH186" s="1" t="s">
        <v>778</v>
      </c>
      <c r="WI186" s="1" t="s">
        <v>778</v>
      </c>
      <c r="WP186" s="1" t="s">
        <v>778</v>
      </c>
    </row>
    <row r="187" spans="1:619" ht="159.5" hidden="1" x14ac:dyDescent="0.35">
      <c r="A187" s="6" t="s">
        <v>543</v>
      </c>
      <c r="B187" s="14" t="s">
        <v>60</v>
      </c>
      <c r="C187" s="1" t="str" cm="1">
        <f t="array" ref="C187">GetURL(B187)</f>
        <v>https://explore-education-statistics.service.gov.uk/find-statistics/higher-level-learners-in-england</v>
      </c>
      <c r="D187" s="1" t="s">
        <v>2603</v>
      </c>
      <c r="E187" s="6" t="s">
        <v>963</v>
      </c>
      <c r="F187" s="1" t="s">
        <v>778</v>
      </c>
      <c r="G187" s="1" t="s">
        <v>778</v>
      </c>
      <c r="H187" s="1" t="s">
        <v>778</v>
      </c>
      <c r="I187" s="1" t="s">
        <v>778</v>
      </c>
      <c r="J187" s="1" t="s">
        <v>778</v>
      </c>
      <c r="AL187" s="1" t="s">
        <v>778</v>
      </c>
      <c r="EE187" s="1" t="s">
        <v>778</v>
      </c>
      <c r="JR187" s="1" t="s">
        <v>778</v>
      </c>
      <c r="RU187" s="1" t="s">
        <v>778</v>
      </c>
      <c r="WF187" s="1" t="s">
        <v>778</v>
      </c>
      <c r="WH187" s="1" t="s">
        <v>778</v>
      </c>
      <c r="WI187" s="1" t="s">
        <v>778</v>
      </c>
    </row>
    <row r="188" spans="1:619" ht="159.5" hidden="1" x14ac:dyDescent="0.35">
      <c r="A188" s="6" t="s">
        <v>543</v>
      </c>
      <c r="B188" s="14" t="s">
        <v>60</v>
      </c>
      <c r="C188" s="1" t="str" cm="1">
        <f t="array" ref="C188">GetURL(B188)</f>
        <v>https://explore-education-statistics.service.gov.uk/find-statistics/higher-level-learners-in-england</v>
      </c>
      <c r="D188" s="1" t="s">
        <v>2603</v>
      </c>
      <c r="E188" s="6" t="s">
        <v>964</v>
      </c>
      <c r="F188" s="1" t="s">
        <v>778</v>
      </c>
      <c r="G188" s="1" t="s">
        <v>778</v>
      </c>
      <c r="H188" s="1" t="s">
        <v>778</v>
      </c>
      <c r="I188" s="1" t="s">
        <v>778</v>
      </c>
      <c r="J188" s="1" t="s">
        <v>778</v>
      </c>
      <c r="AL188" s="1" t="s">
        <v>778</v>
      </c>
      <c r="EE188" s="1" t="s">
        <v>778</v>
      </c>
      <c r="JR188" s="1" t="s">
        <v>778</v>
      </c>
      <c r="RU188" s="1" t="s">
        <v>778</v>
      </c>
      <c r="WF188" s="1" t="s">
        <v>778</v>
      </c>
      <c r="WH188" s="1" t="s">
        <v>778</v>
      </c>
      <c r="WI188" s="1" t="s">
        <v>778</v>
      </c>
      <c r="WQ188" s="1" t="s">
        <v>778</v>
      </c>
    </row>
    <row r="189" spans="1:619" ht="159.5" hidden="1" x14ac:dyDescent="0.35">
      <c r="A189" s="6" t="s">
        <v>543</v>
      </c>
      <c r="B189" s="14" t="s">
        <v>60</v>
      </c>
      <c r="C189" s="1" t="str" cm="1">
        <f t="array" ref="C189">GetURL(B189)</f>
        <v>https://explore-education-statistics.service.gov.uk/find-statistics/higher-level-learners-in-england</v>
      </c>
      <c r="D189" s="1" t="s">
        <v>2603</v>
      </c>
      <c r="E189" s="6" t="s">
        <v>965</v>
      </c>
      <c r="F189" s="1" t="s">
        <v>778</v>
      </c>
      <c r="G189" s="1" t="s">
        <v>778</v>
      </c>
      <c r="H189" s="1" t="s">
        <v>778</v>
      </c>
      <c r="I189" s="1" t="s">
        <v>778</v>
      </c>
      <c r="J189" s="1" t="s">
        <v>778</v>
      </c>
      <c r="AL189" s="1" t="s">
        <v>778</v>
      </c>
      <c r="EE189" s="1" t="s">
        <v>778</v>
      </c>
      <c r="RU189" s="1" t="s">
        <v>778</v>
      </c>
      <c r="WF189" s="1" t="s">
        <v>778</v>
      </c>
      <c r="WH189" s="1" t="s">
        <v>778</v>
      </c>
      <c r="WI189" s="1" t="s">
        <v>778</v>
      </c>
      <c r="WR189" s="1" t="s">
        <v>778</v>
      </c>
    </row>
    <row r="190" spans="1:619" ht="159.5" hidden="1" x14ac:dyDescent="0.35">
      <c r="A190" s="6" t="s">
        <v>543</v>
      </c>
      <c r="B190" s="14" t="s">
        <v>60</v>
      </c>
      <c r="C190" s="1" t="str" cm="1">
        <f t="array" ref="C190">GetURL(B190)</f>
        <v>https://explore-education-statistics.service.gov.uk/find-statistics/higher-level-learners-in-england</v>
      </c>
      <c r="D190" s="1" t="s">
        <v>2603</v>
      </c>
      <c r="E190" s="6" t="s">
        <v>966</v>
      </c>
      <c r="F190" s="1" t="s">
        <v>778</v>
      </c>
      <c r="G190" s="1" t="s">
        <v>778</v>
      </c>
      <c r="H190" s="1" t="s">
        <v>778</v>
      </c>
      <c r="I190" s="1" t="s">
        <v>778</v>
      </c>
      <c r="J190" s="1" t="s">
        <v>778</v>
      </c>
      <c r="AL190" s="1" t="s">
        <v>778</v>
      </c>
      <c r="EE190" s="1" t="s">
        <v>778</v>
      </c>
      <c r="GX190" s="1" t="s">
        <v>778</v>
      </c>
      <c r="RU190" s="1" t="s">
        <v>778</v>
      </c>
      <c r="WF190" s="1" t="s">
        <v>778</v>
      </c>
      <c r="WH190" s="1" t="s">
        <v>778</v>
      </c>
      <c r="WI190" s="1" t="s">
        <v>778</v>
      </c>
    </row>
    <row r="191" spans="1:619" ht="159.5" hidden="1" x14ac:dyDescent="0.35">
      <c r="A191" s="6" t="s">
        <v>543</v>
      </c>
      <c r="B191" s="14" t="s">
        <v>60</v>
      </c>
      <c r="C191" s="1" t="str" cm="1">
        <f t="array" ref="C191">GetURL(B191)</f>
        <v>https://explore-education-statistics.service.gov.uk/find-statistics/higher-level-learners-in-england</v>
      </c>
      <c r="D191" s="1" t="s">
        <v>2603</v>
      </c>
      <c r="E191" s="6" t="s">
        <v>967</v>
      </c>
      <c r="F191" s="1" t="s">
        <v>778</v>
      </c>
      <c r="G191" s="1" t="s">
        <v>778</v>
      </c>
      <c r="H191" s="1" t="s">
        <v>778</v>
      </c>
      <c r="I191" s="1" t="s">
        <v>778</v>
      </c>
      <c r="J191" s="1" t="s">
        <v>778</v>
      </c>
      <c r="K191" s="1" t="s">
        <v>778</v>
      </c>
      <c r="L191" s="1" t="s">
        <v>778</v>
      </c>
      <c r="AL191" s="1" t="s">
        <v>778</v>
      </c>
      <c r="EE191" s="1" t="s">
        <v>778</v>
      </c>
      <c r="RU191" s="1" t="s">
        <v>778</v>
      </c>
      <c r="WF191" s="1" t="s">
        <v>778</v>
      </c>
      <c r="WH191" s="1" t="s">
        <v>778</v>
      </c>
      <c r="WI191" s="1" t="s">
        <v>778</v>
      </c>
    </row>
    <row r="192" spans="1:619" ht="159.5" hidden="1" x14ac:dyDescent="0.35">
      <c r="A192" s="6" t="s">
        <v>543</v>
      </c>
      <c r="B192" s="14" t="s">
        <v>60</v>
      </c>
      <c r="C192" s="1" t="str" cm="1">
        <f t="array" ref="C192">GetURL(B192)</f>
        <v>https://explore-education-statistics.service.gov.uk/find-statistics/higher-level-learners-in-england</v>
      </c>
      <c r="D192" s="1" t="s">
        <v>2603</v>
      </c>
      <c r="E192" s="6" t="s">
        <v>968</v>
      </c>
      <c r="F192" s="1" t="s">
        <v>778</v>
      </c>
      <c r="G192" s="1" t="s">
        <v>778</v>
      </c>
      <c r="H192" s="1" t="s">
        <v>778</v>
      </c>
      <c r="I192" s="1" t="s">
        <v>778</v>
      </c>
      <c r="J192" s="1" t="s">
        <v>778</v>
      </c>
      <c r="AL192" s="1" t="s">
        <v>778</v>
      </c>
      <c r="AZ192" s="1" t="s">
        <v>778</v>
      </c>
      <c r="EE192" s="1" t="s">
        <v>778</v>
      </c>
      <c r="RU192" s="1" t="s">
        <v>778</v>
      </c>
      <c r="WF192" s="1" t="s">
        <v>778</v>
      </c>
      <c r="WH192" s="1" t="s">
        <v>778</v>
      </c>
      <c r="WI192" s="1" t="s">
        <v>778</v>
      </c>
    </row>
    <row r="193" spans="1:689" ht="159.5" hidden="1" x14ac:dyDescent="0.35">
      <c r="A193" s="6" t="s">
        <v>543</v>
      </c>
      <c r="B193" s="14" t="s">
        <v>60</v>
      </c>
      <c r="C193" s="1" t="str" cm="1">
        <f t="array" ref="C193">GetURL(B193)</f>
        <v>https://explore-education-statistics.service.gov.uk/find-statistics/higher-level-learners-in-england</v>
      </c>
      <c r="D193" s="1" t="s">
        <v>2603</v>
      </c>
      <c r="E193" s="6" t="s">
        <v>969</v>
      </c>
      <c r="F193" s="1" t="s">
        <v>778</v>
      </c>
      <c r="G193" s="1" t="s">
        <v>778</v>
      </c>
      <c r="H193" s="1" t="s">
        <v>778</v>
      </c>
      <c r="I193" s="1" t="s">
        <v>778</v>
      </c>
      <c r="J193" s="1" t="s">
        <v>778</v>
      </c>
      <c r="AL193" s="1" t="s">
        <v>778</v>
      </c>
      <c r="EE193" s="1" t="s">
        <v>778</v>
      </c>
      <c r="RU193" s="1" t="s">
        <v>778</v>
      </c>
      <c r="WF193" s="1" t="s">
        <v>778</v>
      </c>
      <c r="WH193" s="1" t="s">
        <v>778</v>
      </c>
      <c r="WI193" s="1" t="s">
        <v>778</v>
      </c>
      <c r="WS193" s="1" t="s">
        <v>778</v>
      </c>
    </row>
    <row r="194" spans="1:689" ht="159.5" hidden="1" x14ac:dyDescent="0.35">
      <c r="A194" s="6" t="s">
        <v>543</v>
      </c>
      <c r="B194" s="14" t="s">
        <v>60</v>
      </c>
      <c r="C194" s="1" t="str" cm="1">
        <f t="array" ref="C194">GetURL(B194)</f>
        <v>https://explore-education-statistics.service.gov.uk/find-statistics/higher-level-learners-in-england</v>
      </c>
      <c r="D194" s="1" t="s">
        <v>2603</v>
      </c>
      <c r="E194" s="6" t="s">
        <v>970</v>
      </c>
      <c r="F194" s="1" t="s">
        <v>778</v>
      </c>
      <c r="G194" s="1" t="s">
        <v>778</v>
      </c>
      <c r="H194" s="1" t="s">
        <v>778</v>
      </c>
      <c r="I194" s="1" t="s">
        <v>778</v>
      </c>
      <c r="J194" s="1" t="s">
        <v>778</v>
      </c>
      <c r="AL194" s="1" t="s">
        <v>778</v>
      </c>
      <c r="EE194" s="1" t="s">
        <v>778</v>
      </c>
      <c r="RU194" s="1" t="s">
        <v>778</v>
      </c>
      <c r="WF194" s="1" t="s">
        <v>778</v>
      </c>
      <c r="WH194" s="1" t="s">
        <v>778</v>
      </c>
      <c r="WI194" s="1" t="s">
        <v>778</v>
      </c>
      <c r="WT194" s="1" t="s">
        <v>778</v>
      </c>
    </row>
    <row r="195" spans="1:689" ht="159.5" hidden="1" x14ac:dyDescent="0.35">
      <c r="A195" s="6" t="s">
        <v>543</v>
      </c>
      <c r="B195" s="14" t="s">
        <v>60</v>
      </c>
      <c r="C195" s="1" t="str" cm="1">
        <f t="array" ref="C195">GetURL(B195)</f>
        <v>https://explore-education-statistics.service.gov.uk/find-statistics/higher-level-learners-in-england</v>
      </c>
      <c r="D195" s="1" t="s">
        <v>2603</v>
      </c>
      <c r="E195" s="6" t="s">
        <v>971</v>
      </c>
      <c r="F195" s="1" t="s">
        <v>778</v>
      </c>
      <c r="G195" s="1" t="s">
        <v>778</v>
      </c>
      <c r="H195" s="1" t="s">
        <v>778</v>
      </c>
      <c r="I195" s="1" t="s">
        <v>778</v>
      </c>
      <c r="J195" s="1" t="s">
        <v>778</v>
      </c>
      <c r="AL195" s="1" t="s">
        <v>778</v>
      </c>
      <c r="EE195" s="1" t="s">
        <v>778</v>
      </c>
      <c r="RU195" s="1" t="s">
        <v>778</v>
      </c>
      <c r="WF195" s="1" t="s">
        <v>778</v>
      </c>
      <c r="WH195" s="1" t="s">
        <v>778</v>
      </c>
      <c r="WI195" s="1" t="s">
        <v>778</v>
      </c>
      <c r="WU195" s="1" t="s">
        <v>778</v>
      </c>
    </row>
    <row r="196" spans="1:689" ht="159.5" hidden="1" x14ac:dyDescent="0.35">
      <c r="A196" s="6" t="s">
        <v>543</v>
      </c>
      <c r="B196" s="14" t="s">
        <v>60</v>
      </c>
      <c r="C196" s="1" t="str" cm="1">
        <f t="array" ref="C196">GetURL(B196)</f>
        <v>https://explore-education-statistics.service.gov.uk/find-statistics/higher-level-learners-in-england</v>
      </c>
      <c r="D196" s="1" t="s">
        <v>2603</v>
      </c>
      <c r="E196" s="6" t="s">
        <v>972</v>
      </c>
      <c r="F196" s="1" t="s">
        <v>778</v>
      </c>
      <c r="G196" s="1" t="s">
        <v>778</v>
      </c>
      <c r="H196" s="1" t="s">
        <v>778</v>
      </c>
      <c r="I196" s="1" t="s">
        <v>778</v>
      </c>
      <c r="J196" s="1" t="s">
        <v>778</v>
      </c>
      <c r="AL196" s="1" t="s">
        <v>778</v>
      </c>
      <c r="EE196" s="1" t="s">
        <v>778</v>
      </c>
      <c r="OT196" s="1" t="s">
        <v>778</v>
      </c>
      <c r="RU196" s="1" t="s">
        <v>778</v>
      </c>
      <c r="WH196" s="1" t="s">
        <v>778</v>
      </c>
      <c r="WI196" s="1" t="s">
        <v>778</v>
      </c>
    </row>
    <row r="197" spans="1:689" ht="159.5" hidden="1" x14ac:dyDescent="0.35">
      <c r="A197" s="6" t="s">
        <v>543</v>
      </c>
      <c r="B197" s="14" t="s">
        <v>973</v>
      </c>
      <c r="C197" s="1" t="str" cm="1">
        <f t="array" ref="C197">GetURL(B197)</f>
        <v>https://explore-education-statistics.service.gov.uk/find-statistics/graduate-labour-markets</v>
      </c>
      <c r="D197" s="1" t="s">
        <v>2604</v>
      </c>
      <c r="E197" s="6" t="s">
        <v>974</v>
      </c>
      <c r="F197" s="1" t="s">
        <v>778</v>
      </c>
      <c r="G197" s="1" t="s">
        <v>778</v>
      </c>
      <c r="H197" s="1" t="s">
        <v>778</v>
      </c>
      <c r="I197" s="1" t="s">
        <v>778</v>
      </c>
      <c r="J197" s="1" t="s">
        <v>778</v>
      </c>
      <c r="BO197" s="1" t="s">
        <v>778</v>
      </c>
      <c r="WY197" s="1" t="s">
        <v>778</v>
      </c>
      <c r="XD197" s="1" t="s">
        <v>778</v>
      </c>
      <c r="XE197" s="1" t="s">
        <v>778</v>
      </c>
      <c r="XF197" s="1" t="s">
        <v>778</v>
      </c>
      <c r="XG197" s="1" t="s">
        <v>778</v>
      </c>
    </row>
    <row r="198" spans="1:689" ht="159.5" hidden="1" x14ac:dyDescent="0.35">
      <c r="A198" s="6" t="s">
        <v>543</v>
      </c>
      <c r="B198" s="14" t="s">
        <v>973</v>
      </c>
      <c r="C198" s="1" t="str" cm="1">
        <f t="array" ref="C198">GetURL(B198)</f>
        <v>https://explore-education-statistics.service.gov.uk/find-statistics/graduate-labour-markets</v>
      </c>
      <c r="D198" s="1" t="s">
        <v>2604</v>
      </c>
      <c r="E198" s="6" t="s">
        <v>975</v>
      </c>
      <c r="F198" s="1" t="s">
        <v>778</v>
      </c>
      <c r="G198" s="1" t="s">
        <v>778</v>
      </c>
      <c r="H198" s="1" t="s">
        <v>778</v>
      </c>
      <c r="I198" s="1" t="s">
        <v>778</v>
      </c>
      <c r="J198" s="1" t="s">
        <v>778</v>
      </c>
      <c r="BR198" s="1" t="s">
        <v>778</v>
      </c>
      <c r="WY198" s="1" t="s">
        <v>778</v>
      </c>
      <c r="XD198" s="1" t="s">
        <v>778</v>
      </c>
      <c r="XE198" s="1" t="s">
        <v>778</v>
      </c>
      <c r="XF198" s="1" t="s">
        <v>778</v>
      </c>
      <c r="XG198" s="1" t="s">
        <v>778</v>
      </c>
    </row>
    <row r="199" spans="1:689" ht="159.5" hidden="1" x14ac:dyDescent="0.35">
      <c r="A199" s="6" t="s">
        <v>543</v>
      </c>
      <c r="B199" s="14" t="s">
        <v>973</v>
      </c>
      <c r="C199" s="1" t="str" cm="1">
        <f t="array" ref="C199">GetURL(B199)</f>
        <v>https://explore-education-statistics.service.gov.uk/find-statistics/graduate-labour-markets</v>
      </c>
      <c r="D199" s="1" t="s">
        <v>2604</v>
      </c>
      <c r="E199" s="6" t="s">
        <v>976</v>
      </c>
      <c r="F199" s="1" t="s">
        <v>778</v>
      </c>
      <c r="G199" s="1" t="s">
        <v>778</v>
      </c>
      <c r="H199" s="1" t="s">
        <v>778</v>
      </c>
      <c r="I199" s="1" t="s">
        <v>778</v>
      </c>
      <c r="J199" s="1" t="s">
        <v>778</v>
      </c>
      <c r="PT199" s="1" t="s">
        <v>778</v>
      </c>
      <c r="WV199" s="1" t="s">
        <v>778</v>
      </c>
      <c r="WW199" s="1" t="s">
        <v>778</v>
      </c>
      <c r="XD199" s="1" t="s">
        <v>778</v>
      </c>
      <c r="XE199" s="1" t="s">
        <v>778</v>
      </c>
      <c r="XF199" s="1" t="s">
        <v>778</v>
      </c>
      <c r="XG199" s="1" t="s">
        <v>778</v>
      </c>
    </row>
    <row r="200" spans="1:689" ht="159.5" hidden="1" x14ac:dyDescent="0.35">
      <c r="A200" s="6" t="s">
        <v>543</v>
      </c>
      <c r="B200" s="14" t="s">
        <v>973</v>
      </c>
      <c r="C200" s="1" t="str" cm="1">
        <f t="array" ref="C200">GetURL(B200)</f>
        <v>https://explore-education-statistics.service.gov.uk/find-statistics/graduate-labour-markets</v>
      </c>
      <c r="D200" s="1" t="s">
        <v>2604</v>
      </c>
      <c r="E200" s="6" t="s">
        <v>977</v>
      </c>
      <c r="F200" s="1" t="s">
        <v>778</v>
      </c>
      <c r="G200" s="1" t="s">
        <v>778</v>
      </c>
      <c r="H200" s="1" t="s">
        <v>778</v>
      </c>
      <c r="I200" s="1" t="s">
        <v>778</v>
      </c>
      <c r="J200" s="1" t="s">
        <v>778</v>
      </c>
      <c r="QJ200" s="1" t="s">
        <v>778</v>
      </c>
      <c r="WY200" s="1" t="s">
        <v>778</v>
      </c>
      <c r="XD200" s="1" t="s">
        <v>778</v>
      </c>
      <c r="XE200" s="1" t="s">
        <v>778</v>
      </c>
      <c r="XF200" s="1" t="s">
        <v>778</v>
      </c>
      <c r="XG200" s="1" t="s">
        <v>778</v>
      </c>
    </row>
    <row r="201" spans="1:689" ht="159.5" hidden="1" x14ac:dyDescent="0.35">
      <c r="A201" s="6" t="s">
        <v>543</v>
      </c>
      <c r="B201" s="14" t="s">
        <v>973</v>
      </c>
      <c r="C201" s="1" t="str" cm="1">
        <f t="array" ref="C201">GetURL(B201)</f>
        <v>https://explore-education-statistics.service.gov.uk/find-statistics/graduate-labour-markets</v>
      </c>
      <c r="D201" s="1" t="s">
        <v>2604</v>
      </c>
      <c r="E201" s="6" t="s">
        <v>978</v>
      </c>
      <c r="F201" s="1" t="s">
        <v>778</v>
      </c>
      <c r="G201" s="1" t="s">
        <v>778</v>
      </c>
      <c r="H201" s="1" t="s">
        <v>778</v>
      </c>
      <c r="I201" s="1" t="s">
        <v>778</v>
      </c>
      <c r="J201" s="1" t="s">
        <v>778</v>
      </c>
      <c r="WV201" s="1" t="s">
        <v>778</v>
      </c>
      <c r="WW201" s="1" t="s">
        <v>778</v>
      </c>
      <c r="WY201" s="1" t="s">
        <v>778</v>
      </c>
      <c r="XD201" s="1" t="s">
        <v>778</v>
      </c>
      <c r="XE201" s="1" t="s">
        <v>778</v>
      </c>
      <c r="XF201" s="1" t="s">
        <v>778</v>
      </c>
      <c r="XG201" s="1" t="s">
        <v>778</v>
      </c>
    </row>
    <row r="202" spans="1:689" ht="159.5" hidden="1" x14ac:dyDescent="0.35">
      <c r="A202" s="6" t="s">
        <v>543</v>
      </c>
      <c r="B202" s="14" t="s">
        <v>973</v>
      </c>
      <c r="C202" s="1" t="str" cm="1">
        <f t="array" ref="C202">GetURL(B202)</f>
        <v>https://explore-education-statistics.service.gov.uk/find-statistics/graduate-labour-markets</v>
      </c>
      <c r="D202" s="1" t="s">
        <v>2604</v>
      </c>
      <c r="E202" s="6" t="s">
        <v>979</v>
      </c>
      <c r="F202" s="1" t="s">
        <v>778</v>
      </c>
      <c r="G202" s="1" t="s">
        <v>778</v>
      </c>
      <c r="H202" s="1" t="s">
        <v>778</v>
      </c>
      <c r="I202" s="1" t="s">
        <v>778</v>
      </c>
      <c r="J202" s="1" t="s">
        <v>778</v>
      </c>
      <c r="NA202" s="1" t="s">
        <v>778</v>
      </c>
      <c r="PT202" s="1" t="s">
        <v>778</v>
      </c>
      <c r="WV202" s="1" t="s">
        <v>778</v>
      </c>
      <c r="WW202" s="1" t="s">
        <v>778</v>
      </c>
      <c r="WY202" s="1" t="s">
        <v>778</v>
      </c>
    </row>
    <row r="203" spans="1:689" ht="159.5" hidden="1" x14ac:dyDescent="0.35">
      <c r="A203" s="6" t="s">
        <v>543</v>
      </c>
      <c r="B203" s="14" t="s">
        <v>973</v>
      </c>
      <c r="C203" s="1" t="str" cm="1">
        <f t="array" ref="C203">GetURL(B203)</f>
        <v>https://explore-education-statistics.service.gov.uk/find-statistics/graduate-labour-markets</v>
      </c>
      <c r="D203" s="1" t="s">
        <v>2604</v>
      </c>
      <c r="E203" s="6" t="s">
        <v>980</v>
      </c>
      <c r="F203" s="1" t="s">
        <v>778</v>
      </c>
      <c r="G203" s="1" t="s">
        <v>778</v>
      </c>
      <c r="H203" s="1" t="s">
        <v>778</v>
      </c>
      <c r="I203" s="1" t="s">
        <v>778</v>
      </c>
      <c r="J203" s="1" t="s">
        <v>778</v>
      </c>
      <c r="AZ203" s="1" t="s">
        <v>778</v>
      </c>
      <c r="BC203" s="1" t="s">
        <v>778</v>
      </c>
      <c r="NA203" s="1" t="s">
        <v>778</v>
      </c>
      <c r="PT203" s="1" t="s">
        <v>778</v>
      </c>
      <c r="WY203" s="1" t="s">
        <v>778</v>
      </c>
    </row>
    <row r="204" spans="1:689" ht="159.5" hidden="1" x14ac:dyDescent="0.35">
      <c r="A204" s="6" t="s">
        <v>543</v>
      </c>
      <c r="B204" s="14" t="s">
        <v>973</v>
      </c>
      <c r="C204" s="1" t="str" cm="1">
        <f t="array" ref="C204">GetURL(B204)</f>
        <v>https://explore-education-statistics.service.gov.uk/find-statistics/graduate-labour-markets</v>
      </c>
      <c r="D204" s="1" t="s">
        <v>2604</v>
      </c>
      <c r="E204" s="6" t="s">
        <v>981</v>
      </c>
      <c r="F204" s="1" t="s">
        <v>778</v>
      </c>
      <c r="G204" s="1" t="s">
        <v>778</v>
      </c>
      <c r="H204" s="1" t="s">
        <v>778</v>
      </c>
      <c r="I204" s="1" t="s">
        <v>778</v>
      </c>
      <c r="J204" s="1" t="s">
        <v>778</v>
      </c>
      <c r="AU204" s="1" t="s">
        <v>778</v>
      </c>
      <c r="WZ204" s="1" t="s">
        <v>778</v>
      </c>
      <c r="XA204" s="1" t="s">
        <v>778</v>
      </c>
      <c r="XB204" s="1" t="s">
        <v>778</v>
      </c>
      <c r="XC204" s="1" t="s">
        <v>778</v>
      </c>
    </row>
    <row r="205" spans="1:689" ht="159.5" hidden="1" x14ac:dyDescent="0.35">
      <c r="A205" s="6" t="s">
        <v>543</v>
      </c>
      <c r="B205" s="14" t="s">
        <v>973</v>
      </c>
      <c r="C205" s="1" t="str" cm="1">
        <f t="array" ref="C205">GetURL(B205)</f>
        <v>https://explore-education-statistics.service.gov.uk/find-statistics/graduate-labour-markets</v>
      </c>
      <c r="D205" s="1" t="s">
        <v>2604</v>
      </c>
      <c r="E205" s="6" t="s">
        <v>982</v>
      </c>
      <c r="F205" s="1" t="s">
        <v>778</v>
      </c>
      <c r="G205" s="1" t="s">
        <v>778</v>
      </c>
      <c r="H205" s="1" t="s">
        <v>778</v>
      </c>
      <c r="I205" s="1" t="s">
        <v>778</v>
      </c>
      <c r="J205" s="1" t="s">
        <v>778</v>
      </c>
      <c r="AU205" s="1" t="s">
        <v>778</v>
      </c>
      <c r="WX205" s="1" t="s">
        <v>778</v>
      </c>
      <c r="XD205" s="1" t="s">
        <v>778</v>
      </c>
      <c r="XE205" s="1" t="s">
        <v>778</v>
      </c>
      <c r="XF205" s="1" t="s">
        <v>778</v>
      </c>
      <c r="XG205" s="1" t="s">
        <v>778</v>
      </c>
    </row>
    <row r="206" spans="1:689" ht="159.5" hidden="1" x14ac:dyDescent="0.35">
      <c r="A206" s="6" t="s">
        <v>543</v>
      </c>
      <c r="B206" s="14" t="s">
        <v>973</v>
      </c>
      <c r="C206" s="1" t="str" cm="1">
        <f t="array" ref="C206">GetURL(B206)</f>
        <v>https://explore-education-statistics.service.gov.uk/find-statistics/graduate-labour-markets</v>
      </c>
      <c r="D206" s="1" t="s">
        <v>2604</v>
      </c>
      <c r="E206" s="6" t="s">
        <v>983</v>
      </c>
      <c r="F206" s="1" t="s">
        <v>778</v>
      </c>
      <c r="G206" s="1" t="s">
        <v>778</v>
      </c>
      <c r="H206" s="1" t="s">
        <v>778</v>
      </c>
      <c r="I206" s="1" t="s">
        <v>778</v>
      </c>
      <c r="J206" s="1" t="s">
        <v>778</v>
      </c>
      <c r="WV206" s="1" t="s">
        <v>778</v>
      </c>
      <c r="WW206" s="1" t="s">
        <v>778</v>
      </c>
      <c r="WX206" s="1" t="s">
        <v>778</v>
      </c>
      <c r="XH206" s="1" t="s">
        <v>778</v>
      </c>
    </row>
    <row r="207" spans="1:689" ht="159.5" hidden="1" x14ac:dyDescent="0.35">
      <c r="A207" s="6" t="s">
        <v>543</v>
      </c>
      <c r="B207" s="14" t="s">
        <v>973</v>
      </c>
      <c r="C207" s="1" t="str" cm="1">
        <f t="array" ref="C207">GetURL(B207)</f>
        <v>https://explore-education-statistics.service.gov.uk/find-statistics/graduate-labour-markets</v>
      </c>
      <c r="D207" s="1" t="s">
        <v>2604</v>
      </c>
      <c r="E207" s="6" t="s">
        <v>984</v>
      </c>
      <c r="F207" s="1" t="s">
        <v>778</v>
      </c>
      <c r="G207" s="1" t="s">
        <v>778</v>
      </c>
      <c r="H207" s="1" t="s">
        <v>778</v>
      </c>
      <c r="I207" s="1" t="s">
        <v>778</v>
      </c>
      <c r="J207" s="1" t="s">
        <v>778</v>
      </c>
      <c r="AR207" s="1" t="s">
        <v>778</v>
      </c>
      <c r="AU207" s="1" t="s">
        <v>778</v>
      </c>
      <c r="WX207" s="1" t="s">
        <v>778</v>
      </c>
      <c r="XI207" s="1" t="s">
        <v>778</v>
      </c>
      <c r="XJ207" s="1" t="s">
        <v>778</v>
      </c>
      <c r="XK207" s="1" t="s">
        <v>778</v>
      </c>
      <c r="XL207" s="1" t="s">
        <v>778</v>
      </c>
      <c r="XM207" s="1" t="s">
        <v>778</v>
      </c>
      <c r="XN207" s="1" t="s">
        <v>778</v>
      </c>
      <c r="XO207" s="1" t="s">
        <v>778</v>
      </c>
      <c r="XP207" s="1" t="s">
        <v>778</v>
      </c>
      <c r="XQ207" s="1" t="s">
        <v>778</v>
      </c>
      <c r="ZM207" s="1">
        <f>SUM(F207:XQ207)</f>
        <v>0</v>
      </c>
    </row>
    <row r="208" spans="1:689" ht="159.5" hidden="1" x14ac:dyDescent="0.35">
      <c r="A208" s="6" t="s">
        <v>543</v>
      </c>
      <c r="B208" s="14" t="s">
        <v>973</v>
      </c>
      <c r="C208" s="1" t="str" cm="1">
        <f t="array" ref="C208">GetURL(B208)</f>
        <v>https://explore-education-statistics.service.gov.uk/find-statistics/graduate-labour-markets</v>
      </c>
      <c r="D208" s="1" t="s">
        <v>2604</v>
      </c>
      <c r="E208" s="6" t="s">
        <v>985</v>
      </c>
      <c r="F208" s="1" t="s">
        <v>778</v>
      </c>
      <c r="G208" s="1" t="s">
        <v>778</v>
      </c>
      <c r="H208" s="1" t="s">
        <v>778</v>
      </c>
      <c r="I208" s="1" t="s">
        <v>778</v>
      </c>
      <c r="K208" s="1" t="s">
        <v>778</v>
      </c>
      <c r="AU208" s="1" t="s">
        <v>778</v>
      </c>
      <c r="AZ208" s="1" t="s">
        <v>778</v>
      </c>
      <c r="PT208" s="1" t="s">
        <v>778</v>
      </c>
      <c r="WX208" s="1" t="s">
        <v>778</v>
      </c>
      <c r="ZM208" s="1">
        <f>SUM(F208:XQ208)</f>
        <v>0</v>
      </c>
    </row>
    <row r="209" spans="1:707" ht="159.5" hidden="1" x14ac:dyDescent="0.35">
      <c r="A209" s="4" t="s">
        <v>776</v>
      </c>
      <c r="B209" s="14" t="s">
        <v>96</v>
      </c>
      <c r="C209" s="1" t="str" cm="1">
        <f t="array" ref="C209">GetURL(B209)</f>
        <v>https://explore-education-statistics.service.gov.uk/find-statistics/skills-bootcamps-starts</v>
      </c>
      <c r="D209" s="1" t="s">
        <v>2605</v>
      </c>
      <c r="E209" s="4" t="s">
        <v>1164</v>
      </c>
      <c r="F209" s="1" t="s">
        <v>778</v>
      </c>
      <c r="G209" s="1" t="s">
        <v>778</v>
      </c>
      <c r="H209" s="1" t="s">
        <v>778</v>
      </c>
      <c r="I209" s="1" t="s">
        <v>778</v>
      </c>
      <c r="J209" s="1" t="s">
        <v>778</v>
      </c>
      <c r="XR209" s="1" t="s">
        <v>778</v>
      </c>
      <c r="XS209" s="1" t="s">
        <v>778</v>
      </c>
      <c r="XT209" s="1" t="s">
        <v>778</v>
      </c>
    </row>
    <row r="210" spans="1:707" ht="188.5" hidden="1" x14ac:dyDescent="0.35">
      <c r="A210" s="1" t="s">
        <v>776</v>
      </c>
      <c r="B210" s="14" t="s">
        <v>1165</v>
      </c>
      <c r="C210" s="1" t="str" cm="1">
        <f t="array" ref="C210">GetURL(B210)</f>
        <v>https://explore-education-statistics.service.gov.uk/find-statistics/detailed-destinations-of-16-to-18-year-olds-in-further-education</v>
      </c>
      <c r="D210" s="1" t="s">
        <v>2606</v>
      </c>
      <c r="E210" s="13" t="s">
        <v>1166</v>
      </c>
      <c r="F210" s="1" t="s">
        <v>778</v>
      </c>
      <c r="G210" s="1" t="s">
        <v>778</v>
      </c>
      <c r="H210" s="1" t="s">
        <v>778</v>
      </c>
      <c r="I210" s="1" t="s">
        <v>778</v>
      </c>
      <c r="J210" s="1" t="s">
        <v>778</v>
      </c>
      <c r="BE210" s="1" t="s">
        <v>778</v>
      </c>
      <c r="BF210" s="1" t="s">
        <v>778</v>
      </c>
      <c r="BY210" s="1" t="s">
        <v>778</v>
      </c>
      <c r="ER210" s="1" t="s">
        <v>778</v>
      </c>
      <c r="EU210" s="1" t="s">
        <v>778</v>
      </c>
      <c r="GS210" s="1" t="s">
        <v>778</v>
      </c>
      <c r="GT210" s="1" t="s">
        <v>778</v>
      </c>
      <c r="GU210" s="1" t="s">
        <v>778</v>
      </c>
      <c r="XU210" s="1" t="s">
        <v>778</v>
      </c>
      <c r="XV210" s="1" t="s">
        <v>778</v>
      </c>
      <c r="XW210" s="1" t="s">
        <v>778</v>
      </c>
      <c r="XX210" s="1" t="s">
        <v>778</v>
      </c>
      <c r="XY210" s="1" t="s">
        <v>778</v>
      </c>
      <c r="XZ210" s="1" t="s">
        <v>778</v>
      </c>
      <c r="YA210" s="1" t="s">
        <v>778</v>
      </c>
      <c r="YB210" s="1" t="s">
        <v>778</v>
      </c>
      <c r="YC210" s="1" t="s">
        <v>778</v>
      </c>
    </row>
    <row r="211" spans="1:707" ht="188.5" hidden="1" x14ac:dyDescent="0.35">
      <c r="A211" s="1" t="s">
        <v>776</v>
      </c>
      <c r="B211" s="14" t="s">
        <v>1165</v>
      </c>
      <c r="C211" s="1" t="str" cm="1">
        <f t="array" ref="C211">GetURL(B211)</f>
        <v>https://explore-education-statistics.service.gov.uk/find-statistics/detailed-destinations-of-16-to-18-year-olds-in-further-education</v>
      </c>
      <c r="D211" s="1" t="s">
        <v>2606</v>
      </c>
      <c r="E211" s="4" t="s">
        <v>1167</v>
      </c>
      <c r="F211" s="1" t="s">
        <v>778</v>
      </c>
      <c r="G211" s="1" t="s">
        <v>778</v>
      </c>
      <c r="H211" s="1" t="s">
        <v>778</v>
      </c>
      <c r="I211" s="1" t="s">
        <v>778</v>
      </c>
      <c r="J211" s="1" t="s">
        <v>778</v>
      </c>
      <c r="BE211" s="1" t="s">
        <v>778</v>
      </c>
      <c r="BF211" s="1" t="s">
        <v>778</v>
      </c>
      <c r="ER211" s="1" t="s">
        <v>778</v>
      </c>
      <c r="GS211" s="1" t="s">
        <v>778</v>
      </c>
      <c r="GT211" s="1" t="s">
        <v>778</v>
      </c>
      <c r="GU211" s="1" t="s">
        <v>778</v>
      </c>
      <c r="XU211" s="1" t="s">
        <v>778</v>
      </c>
      <c r="YD211" s="1" t="s">
        <v>778</v>
      </c>
      <c r="YE211" s="1" t="s">
        <v>778</v>
      </c>
      <c r="YF211" s="1" t="s">
        <v>778</v>
      </c>
      <c r="YG211" s="1" t="s">
        <v>778</v>
      </c>
      <c r="YH211" s="1" t="s">
        <v>778</v>
      </c>
      <c r="YI211" s="1" t="s">
        <v>778</v>
      </c>
      <c r="YJ211" s="1" t="s">
        <v>778</v>
      </c>
      <c r="YK211" s="1" t="s">
        <v>778</v>
      </c>
      <c r="YL211" s="1" t="s">
        <v>778</v>
      </c>
      <c r="YM211" s="1" t="s">
        <v>778</v>
      </c>
      <c r="YN211" s="1" t="s">
        <v>778</v>
      </c>
      <c r="YO211" s="1" t="s">
        <v>778</v>
      </c>
      <c r="YP211" s="1" t="s">
        <v>778</v>
      </c>
      <c r="YQ211" s="1" t="s">
        <v>778</v>
      </c>
      <c r="YR211" s="1" t="s">
        <v>778</v>
      </c>
      <c r="YS211" s="1" t="s">
        <v>778</v>
      </c>
      <c r="YT211" s="1" t="s">
        <v>778</v>
      </c>
    </row>
    <row r="212" spans="1:707" ht="188.5" hidden="1" x14ac:dyDescent="0.35">
      <c r="A212" s="1" t="s">
        <v>776</v>
      </c>
      <c r="B212" s="14" t="s">
        <v>1165</v>
      </c>
      <c r="C212" s="1" t="str" cm="1">
        <f t="array" ref="C212">GetURL(B212)</f>
        <v>https://explore-education-statistics.service.gov.uk/find-statistics/detailed-destinations-of-16-to-18-year-olds-in-further-education</v>
      </c>
      <c r="D212" s="1" t="s">
        <v>2606</v>
      </c>
      <c r="E212" s="4" t="s">
        <v>1168</v>
      </c>
      <c r="F212" s="1" t="s">
        <v>778</v>
      </c>
      <c r="G212" s="1" t="s">
        <v>778</v>
      </c>
      <c r="H212" s="1" t="s">
        <v>778</v>
      </c>
      <c r="I212" s="1" t="s">
        <v>778</v>
      </c>
      <c r="J212" s="1" t="s">
        <v>778</v>
      </c>
      <c r="BE212" s="1" t="s">
        <v>778</v>
      </c>
      <c r="BF212" s="1" t="s">
        <v>778</v>
      </c>
      <c r="ER212" s="1" t="s">
        <v>778</v>
      </c>
      <c r="GS212" s="1" t="s">
        <v>778</v>
      </c>
      <c r="GT212" s="1" t="s">
        <v>778</v>
      </c>
      <c r="GU212" s="1" t="s">
        <v>778</v>
      </c>
      <c r="XU212" s="1" t="s">
        <v>778</v>
      </c>
      <c r="YD212" s="1" t="s">
        <v>778</v>
      </c>
      <c r="YK212" s="1" t="s">
        <v>778</v>
      </c>
      <c r="YU212" s="1" t="s">
        <v>778</v>
      </c>
      <c r="YV212" s="1" t="s">
        <v>778</v>
      </c>
      <c r="YW212" s="1" t="s">
        <v>778</v>
      </c>
      <c r="YX212" s="1" t="s">
        <v>778</v>
      </c>
      <c r="YY212" s="1" t="s">
        <v>778</v>
      </c>
      <c r="YZ212" s="1" t="s">
        <v>778</v>
      </c>
      <c r="ZA212" s="1" t="s">
        <v>778</v>
      </c>
      <c r="ZB212" s="1" t="s">
        <v>778</v>
      </c>
      <c r="ZC212" s="1" t="s">
        <v>778</v>
      </c>
      <c r="ZD212" s="1" t="s">
        <v>778</v>
      </c>
      <c r="ZE212" s="1" t="s">
        <v>778</v>
      </c>
      <c r="ZF212" s="1" t="s">
        <v>778</v>
      </c>
      <c r="ZG212" s="1" t="s">
        <v>778</v>
      </c>
      <c r="ZH212" s="1" t="s">
        <v>778</v>
      </c>
      <c r="ZI212" s="1" t="s">
        <v>778</v>
      </c>
    </row>
    <row r="213" spans="1:707" ht="188.5" hidden="1" x14ac:dyDescent="0.35">
      <c r="A213" s="1" t="s">
        <v>776</v>
      </c>
      <c r="B213" s="14" t="s">
        <v>29</v>
      </c>
      <c r="C213" s="1" t="str" cm="1">
        <f t="array" ref="C213">GetURL(B213)</f>
        <v>https://explore-education-statistics.service.gov.uk/find-statistics/career-pathways-post-16-qualifications-held-by-employees</v>
      </c>
      <c r="D213" s="1" t="s">
        <v>2607</v>
      </c>
      <c r="E213" s="4" t="s">
        <v>1169</v>
      </c>
      <c r="F213" s="1" t="s">
        <v>778</v>
      </c>
      <c r="G213" s="1" t="s">
        <v>778</v>
      </c>
      <c r="H213" s="1" t="s">
        <v>778</v>
      </c>
      <c r="I213" s="1" t="s">
        <v>778</v>
      </c>
      <c r="J213" s="1" t="s">
        <v>778</v>
      </c>
      <c r="K213" s="1" t="s">
        <v>778</v>
      </c>
      <c r="L213" s="1" t="s">
        <v>778</v>
      </c>
      <c r="BI213" s="1" t="s">
        <v>778</v>
      </c>
      <c r="GU213" s="1" t="s">
        <v>778</v>
      </c>
      <c r="SW213" s="1" t="s">
        <v>778</v>
      </c>
      <c r="ZJ213" s="1" t="s">
        <v>778</v>
      </c>
      <c r="ZK213" s="1" t="s">
        <v>778</v>
      </c>
      <c r="ZL213" s="1" t="s">
        <v>778</v>
      </c>
      <c r="ZM213" s="1" t="s">
        <v>778</v>
      </c>
      <c r="ZN213" s="1" t="s">
        <v>778</v>
      </c>
      <c r="ZO213" s="1" t="s">
        <v>778</v>
      </c>
    </row>
    <row r="214" spans="1:707" ht="188.5" hidden="1" x14ac:dyDescent="0.35">
      <c r="A214" s="1" t="s">
        <v>776</v>
      </c>
      <c r="B214" s="14" t="s">
        <v>29</v>
      </c>
      <c r="C214" s="1" t="str" cm="1">
        <f t="array" ref="C214">GetURL(B214)</f>
        <v>https://explore-education-statistics.service.gov.uk/find-statistics/career-pathways-post-16-qualifications-held-by-employees</v>
      </c>
      <c r="D214" s="1" t="s">
        <v>2607</v>
      </c>
      <c r="E214" s="4" t="s">
        <v>1170</v>
      </c>
      <c r="F214" s="1" t="s">
        <v>778</v>
      </c>
      <c r="G214" s="1" t="s">
        <v>778</v>
      </c>
      <c r="H214" s="1" t="s">
        <v>778</v>
      </c>
      <c r="I214" s="1" t="s">
        <v>778</v>
      </c>
      <c r="J214" s="1" t="s">
        <v>778</v>
      </c>
      <c r="K214" s="1" t="s">
        <v>778</v>
      </c>
      <c r="L214" s="1" t="s">
        <v>778</v>
      </c>
      <c r="BI214" s="1" t="s">
        <v>778</v>
      </c>
      <c r="GU214" s="1" t="s">
        <v>778</v>
      </c>
      <c r="SW214" s="1" t="s">
        <v>778</v>
      </c>
      <c r="ZJ214" s="1" t="s">
        <v>778</v>
      </c>
      <c r="ZK214" s="1" t="s">
        <v>778</v>
      </c>
      <c r="ZL214" s="1" t="s">
        <v>778</v>
      </c>
      <c r="ZN214" s="1" t="s">
        <v>778</v>
      </c>
      <c r="ZO214" s="1" t="s">
        <v>778</v>
      </c>
    </row>
    <row r="215" spans="1:707" ht="188.5" hidden="1" x14ac:dyDescent="0.35">
      <c r="A215" s="1" t="s">
        <v>776</v>
      </c>
      <c r="B215" s="14" t="s">
        <v>29</v>
      </c>
      <c r="C215" s="1" t="str" cm="1">
        <f t="array" ref="C215">GetURL(B215)</f>
        <v>https://explore-education-statistics.service.gov.uk/find-statistics/career-pathways-post-16-qualifications-held-by-employees</v>
      </c>
      <c r="D215" s="1" t="s">
        <v>2607</v>
      </c>
      <c r="E215" s="4" t="s">
        <v>1171</v>
      </c>
      <c r="F215" s="1" t="s">
        <v>778</v>
      </c>
      <c r="G215" s="1" t="s">
        <v>778</v>
      </c>
      <c r="H215" s="1" t="s">
        <v>778</v>
      </c>
      <c r="I215" s="1" t="s">
        <v>778</v>
      </c>
      <c r="J215" s="1" t="s">
        <v>778</v>
      </c>
      <c r="K215" s="1" t="s">
        <v>778</v>
      </c>
      <c r="L215" s="1" t="s">
        <v>778</v>
      </c>
      <c r="BI215" s="1" t="s">
        <v>778</v>
      </c>
      <c r="GU215" s="1" t="s">
        <v>778</v>
      </c>
      <c r="SW215" s="1" t="s">
        <v>778</v>
      </c>
      <c r="ZJ215" s="1" t="s">
        <v>778</v>
      </c>
      <c r="ZK215" s="1" t="s">
        <v>778</v>
      </c>
      <c r="ZL215" s="1" t="s">
        <v>778</v>
      </c>
      <c r="ZN215" s="1" t="s">
        <v>778</v>
      </c>
      <c r="ZO215" s="1" t="s">
        <v>778</v>
      </c>
    </row>
    <row r="216" spans="1:707" ht="188.5" hidden="1" x14ac:dyDescent="0.35">
      <c r="A216" s="1" t="s">
        <v>776</v>
      </c>
      <c r="B216" s="14" t="s">
        <v>29</v>
      </c>
      <c r="C216" s="1" t="str" cm="1">
        <f t="array" ref="C216">GetURL(B216)</f>
        <v>https://explore-education-statistics.service.gov.uk/find-statistics/career-pathways-post-16-qualifications-held-by-employees</v>
      </c>
      <c r="D216" s="1" t="s">
        <v>2607</v>
      </c>
      <c r="E216" s="4" t="s">
        <v>1172</v>
      </c>
      <c r="F216" s="1" t="s">
        <v>778</v>
      </c>
      <c r="G216" s="1" t="s">
        <v>778</v>
      </c>
      <c r="H216" s="1" t="s">
        <v>778</v>
      </c>
      <c r="I216" s="1" t="s">
        <v>778</v>
      </c>
      <c r="J216" s="1" t="s">
        <v>778</v>
      </c>
      <c r="K216" s="1" t="s">
        <v>778</v>
      </c>
      <c r="L216" s="1" t="s">
        <v>778</v>
      </c>
      <c r="BI216" s="1" t="s">
        <v>778</v>
      </c>
      <c r="SW216" s="1" t="s">
        <v>778</v>
      </c>
      <c r="ZJ216" s="1" t="s">
        <v>778</v>
      </c>
      <c r="ZK216" s="1" t="s">
        <v>778</v>
      </c>
      <c r="ZL216" s="1" t="s">
        <v>778</v>
      </c>
      <c r="ZN216" s="1" t="s">
        <v>778</v>
      </c>
      <c r="ZP216" s="1" t="s">
        <v>778</v>
      </c>
      <c r="ZQ216" s="1" t="s">
        <v>778</v>
      </c>
      <c r="ZR216" s="1" t="s">
        <v>778</v>
      </c>
      <c r="ZS216" s="1" t="s">
        <v>778</v>
      </c>
      <c r="ZT216" s="1" t="s">
        <v>778</v>
      </c>
    </row>
    <row r="217" spans="1:707" ht="188.5" hidden="1" x14ac:dyDescent="0.35">
      <c r="A217" s="1" t="s">
        <v>776</v>
      </c>
      <c r="B217" s="14" t="s">
        <v>29</v>
      </c>
      <c r="C217" s="1" t="str" cm="1">
        <f t="array" ref="C217">GetURL(B217)</f>
        <v>https://explore-education-statistics.service.gov.uk/find-statistics/career-pathways-post-16-qualifications-held-by-employees</v>
      </c>
      <c r="D217" s="1" t="s">
        <v>2607</v>
      </c>
      <c r="E217" s="4" t="s">
        <v>1173</v>
      </c>
      <c r="F217" s="1" t="s">
        <v>778</v>
      </c>
      <c r="G217" s="1" t="s">
        <v>778</v>
      </c>
      <c r="H217" s="1" t="s">
        <v>778</v>
      </c>
      <c r="I217" s="1" t="s">
        <v>778</v>
      </c>
      <c r="J217" s="1" t="s">
        <v>778</v>
      </c>
      <c r="K217" s="1" t="s">
        <v>778</v>
      </c>
      <c r="L217" s="1" t="s">
        <v>778</v>
      </c>
      <c r="BI217" s="1" t="s">
        <v>778</v>
      </c>
      <c r="GU217" s="1" t="s">
        <v>778</v>
      </c>
      <c r="ZJ217" s="1" t="s">
        <v>778</v>
      </c>
      <c r="ZL217" s="1" t="s">
        <v>778</v>
      </c>
      <c r="ZM217" s="1" t="s">
        <v>778</v>
      </c>
      <c r="ZN217" s="1" t="s">
        <v>778</v>
      </c>
      <c r="ZU217" s="1" t="s">
        <v>778</v>
      </c>
      <c r="ZV217" s="1" t="s">
        <v>778</v>
      </c>
      <c r="ZW217" s="1" t="s">
        <v>778</v>
      </c>
      <c r="ZX217" s="1" t="s">
        <v>778</v>
      </c>
      <c r="ZY217" s="1" t="s">
        <v>778</v>
      </c>
    </row>
    <row r="218" spans="1:707" ht="174" hidden="1" x14ac:dyDescent="0.35">
      <c r="A218" s="1" t="s">
        <v>776</v>
      </c>
      <c r="B218" s="14" t="s">
        <v>1174</v>
      </c>
      <c r="C218" s="1" t="str" cm="1">
        <f t="array" ref="C218">GetURL(B218)</f>
        <v>https://explore-education-statistics.service.gov.uk/find-statistics/apprenticeships-in-england-by-industry-characteristics</v>
      </c>
      <c r="D218" s="1" t="s">
        <v>2608</v>
      </c>
      <c r="E218" s="1" t="s">
        <v>1175</v>
      </c>
      <c r="F218" s="1" t="s">
        <v>778</v>
      </c>
      <c r="G218" s="1" t="s">
        <v>778</v>
      </c>
      <c r="H218" s="1" t="s">
        <v>778</v>
      </c>
      <c r="I218" s="1" t="s">
        <v>778</v>
      </c>
      <c r="J218" s="1" t="s">
        <v>778</v>
      </c>
      <c r="K218" s="1" t="s">
        <v>778</v>
      </c>
      <c r="L218" s="1" t="s">
        <v>778</v>
      </c>
      <c r="AL218" s="1" t="s">
        <v>778</v>
      </c>
      <c r="BE218" s="1" t="s">
        <v>778</v>
      </c>
      <c r="CQ218" s="1" t="s">
        <v>778</v>
      </c>
      <c r="DN218" s="1" t="s">
        <v>778</v>
      </c>
      <c r="GW218" s="1" t="s">
        <v>778</v>
      </c>
      <c r="ZJ218" s="1" t="s">
        <v>778</v>
      </c>
      <c r="ZZ218" s="1" t="s">
        <v>778</v>
      </c>
      <c r="AAA218" s="1" t="s">
        <v>778</v>
      </c>
    </row>
    <row r="219" spans="1:707" ht="174" hidden="1" x14ac:dyDescent="0.35">
      <c r="A219" s="1" t="s">
        <v>776</v>
      </c>
      <c r="B219" s="14" t="s">
        <v>1174</v>
      </c>
      <c r="C219" s="1" t="str" cm="1">
        <f t="array" ref="C219">GetURL(B219)</f>
        <v>https://explore-education-statistics.service.gov.uk/find-statistics/apprenticeships-in-england-by-industry-characteristics</v>
      </c>
      <c r="D219" s="1" t="s">
        <v>2608</v>
      </c>
      <c r="E219" s="1" t="s">
        <v>1176</v>
      </c>
      <c r="F219" s="1" t="s">
        <v>778</v>
      </c>
      <c r="G219" s="1" t="s">
        <v>778</v>
      </c>
      <c r="H219" s="1" t="s">
        <v>778</v>
      </c>
      <c r="I219" s="1" t="s">
        <v>778</v>
      </c>
      <c r="J219" s="1" t="s">
        <v>778</v>
      </c>
      <c r="AL219" s="1" t="s">
        <v>778</v>
      </c>
      <c r="AT219" s="1" t="s">
        <v>778</v>
      </c>
      <c r="AZ219" s="1" t="s">
        <v>778</v>
      </c>
      <c r="BE219" s="1" t="s">
        <v>778</v>
      </c>
      <c r="BL219" s="1" t="s">
        <v>778</v>
      </c>
      <c r="BR219" s="1" t="s">
        <v>778</v>
      </c>
      <c r="CQ219" s="1" t="s">
        <v>778</v>
      </c>
      <c r="DN219" s="1" t="s">
        <v>778</v>
      </c>
      <c r="GW219" s="1" t="s">
        <v>778</v>
      </c>
      <c r="ZJ219" s="1" t="s">
        <v>778</v>
      </c>
      <c r="ZZ219" s="1" t="s">
        <v>778</v>
      </c>
      <c r="AAA219" s="1" t="s">
        <v>778</v>
      </c>
      <c r="AAB219" s="1" t="s">
        <v>778</v>
      </c>
    </row>
    <row r="220" spans="1:707" ht="174" hidden="1" x14ac:dyDescent="0.35">
      <c r="A220" s="1" t="s">
        <v>776</v>
      </c>
      <c r="B220" s="14" t="s">
        <v>1174</v>
      </c>
      <c r="C220" s="1" t="str" cm="1">
        <f t="array" ref="C220">GetURL(B220)</f>
        <v>https://explore-education-statistics.service.gov.uk/find-statistics/apprenticeships-in-england-by-industry-characteristics</v>
      </c>
      <c r="D220" s="1" t="s">
        <v>2608</v>
      </c>
      <c r="E220" s="1" t="s">
        <v>1177</v>
      </c>
      <c r="F220" s="1" t="s">
        <v>778</v>
      </c>
      <c r="G220" s="1" t="s">
        <v>778</v>
      </c>
      <c r="H220" s="1" t="s">
        <v>778</v>
      </c>
      <c r="I220" s="1" t="s">
        <v>778</v>
      </c>
      <c r="J220" s="1" t="s">
        <v>778</v>
      </c>
      <c r="ZJ220" s="1"/>
      <c r="AAC220" s="1" t="s">
        <v>778</v>
      </c>
    </row>
    <row r="221" spans="1:707" ht="174" hidden="1" x14ac:dyDescent="0.35">
      <c r="A221" s="1" t="s">
        <v>776</v>
      </c>
      <c r="B221" s="14" t="s">
        <v>1174</v>
      </c>
      <c r="C221" s="1" t="str" cm="1">
        <f t="array" ref="C221">GetURL(B221)</f>
        <v>https://explore-education-statistics.service.gov.uk/find-statistics/apprenticeships-in-england-by-industry-characteristics</v>
      </c>
      <c r="D221" s="1" t="s">
        <v>2608</v>
      </c>
      <c r="E221" s="1" t="s">
        <v>1178</v>
      </c>
      <c r="F221" s="1" t="s">
        <v>778</v>
      </c>
      <c r="G221" s="1" t="s">
        <v>778</v>
      </c>
      <c r="H221" s="1" t="s">
        <v>778</v>
      </c>
      <c r="I221" s="1" t="s">
        <v>778</v>
      </c>
      <c r="J221" s="1" t="s">
        <v>778</v>
      </c>
      <c r="ZJ221" s="1"/>
      <c r="AAD221" s="1" t="s">
        <v>778</v>
      </c>
    </row>
    <row r="222" spans="1:707" ht="174" hidden="1" x14ac:dyDescent="0.35">
      <c r="A222" s="1" t="s">
        <v>776</v>
      </c>
      <c r="B222" s="14" t="s">
        <v>1174</v>
      </c>
      <c r="C222" s="1" t="str" cm="1">
        <f t="array" ref="C222">GetURL(B222)</f>
        <v>https://explore-education-statistics.service.gov.uk/find-statistics/apprenticeships-in-england-by-industry-characteristics</v>
      </c>
      <c r="D222" s="1" t="s">
        <v>2608</v>
      </c>
      <c r="E222" s="1" t="s">
        <v>1179</v>
      </c>
      <c r="F222" s="1" t="s">
        <v>778</v>
      </c>
      <c r="G222" s="1" t="s">
        <v>778</v>
      </c>
      <c r="H222" s="1" t="s">
        <v>778</v>
      </c>
      <c r="I222" s="1" t="s">
        <v>778</v>
      </c>
      <c r="J222" s="1" t="s">
        <v>778</v>
      </c>
      <c r="K222" s="1" t="s">
        <v>778</v>
      </c>
      <c r="L222" s="1" t="s">
        <v>778</v>
      </c>
      <c r="AD222" s="1" t="s">
        <v>778</v>
      </c>
      <c r="CQ222" s="1" t="s">
        <v>778</v>
      </c>
      <c r="ZJ222" s="1" t="s">
        <v>778</v>
      </c>
      <c r="ZZ222" s="1" t="s">
        <v>778</v>
      </c>
      <c r="AAA222" s="1" t="s">
        <v>778</v>
      </c>
      <c r="AAB222" s="1" t="s">
        <v>778</v>
      </c>
      <c r="AAE222" s="1" t="s">
        <v>778</v>
      </c>
    </row>
    <row r="223" spans="1:707" ht="174" hidden="1" x14ac:dyDescent="0.35">
      <c r="A223" s="1" t="s">
        <v>776</v>
      </c>
      <c r="B223" s="14" t="s">
        <v>1174</v>
      </c>
      <c r="C223" s="1" t="str" cm="1">
        <f t="array" ref="C223">GetURL(B223)</f>
        <v>https://explore-education-statistics.service.gov.uk/find-statistics/apprenticeships-in-england-by-industry-characteristics</v>
      </c>
      <c r="D223" s="1" t="s">
        <v>2608</v>
      </c>
      <c r="E223" s="1" t="s">
        <v>1180</v>
      </c>
      <c r="F223" s="1" t="s">
        <v>778</v>
      </c>
      <c r="G223" s="1" t="s">
        <v>778</v>
      </c>
      <c r="H223" s="1" t="s">
        <v>778</v>
      </c>
      <c r="I223" s="1" t="s">
        <v>778</v>
      </c>
      <c r="J223" s="1" t="s">
        <v>778</v>
      </c>
      <c r="K223" s="1" t="s">
        <v>778</v>
      </c>
      <c r="L223" s="1" t="s">
        <v>778</v>
      </c>
      <c r="P223" s="1" t="s">
        <v>778</v>
      </c>
      <c r="Q223" s="1" t="s">
        <v>778</v>
      </c>
      <c r="CQ223" s="1" t="s">
        <v>778</v>
      </c>
      <c r="ZJ223" s="1" t="s">
        <v>778</v>
      </c>
      <c r="ZZ223" s="1" t="s">
        <v>778</v>
      </c>
      <c r="AAE223" s="1" t="s">
        <v>778</v>
      </c>
    </row>
    <row r="224" spans="1:707" ht="174" hidden="1" x14ac:dyDescent="0.35">
      <c r="A224" s="1" t="s">
        <v>776</v>
      </c>
      <c r="B224" s="14" t="s">
        <v>1174</v>
      </c>
      <c r="C224" s="1" t="str" cm="1">
        <f t="array" ref="C224">GetURL(B224)</f>
        <v>https://explore-education-statistics.service.gov.uk/find-statistics/apprenticeships-in-england-by-industry-characteristics</v>
      </c>
      <c r="D224" s="1" t="s">
        <v>2608</v>
      </c>
      <c r="E224" s="1" t="s">
        <v>1181</v>
      </c>
      <c r="F224" s="1" t="s">
        <v>778</v>
      </c>
      <c r="G224" s="1" t="s">
        <v>778</v>
      </c>
      <c r="H224" s="1" t="s">
        <v>778</v>
      </c>
      <c r="I224" s="1" t="s">
        <v>778</v>
      </c>
      <c r="J224" s="1" t="s">
        <v>778</v>
      </c>
      <c r="K224" s="1" t="s">
        <v>778</v>
      </c>
      <c r="L224" s="1" t="s">
        <v>778</v>
      </c>
      <c r="R224" s="1" t="s">
        <v>778</v>
      </c>
      <c r="S224" s="1" t="s">
        <v>778</v>
      </c>
      <c r="CQ224" s="1" t="s">
        <v>778</v>
      </c>
      <c r="ZJ224" s="1" t="s">
        <v>778</v>
      </c>
      <c r="ZZ224" s="1" t="s">
        <v>778</v>
      </c>
      <c r="AAE224" s="1" t="s">
        <v>778</v>
      </c>
    </row>
    <row r="225" spans="1:781" ht="174" hidden="1" x14ac:dyDescent="0.35">
      <c r="A225" s="1" t="s">
        <v>776</v>
      </c>
      <c r="B225" s="14" t="s">
        <v>1174</v>
      </c>
      <c r="C225" s="1" t="str" cm="1">
        <f t="array" ref="C225">GetURL(B225)</f>
        <v>https://explore-education-statistics.service.gov.uk/find-statistics/apprenticeships-in-england-by-industry-characteristics</v>
      </c>
      <c r="D225" s="1" t="s">
        <v>2608</v>
      </c>
      <c r="E225" s="1" t="s">
        <v>1182</v>
      </c>
      <c r="F225" s="1" t="s">
        <v>778</v>
      </c>
      <c r="G225" s="1" t="s">
        <v>778</v>
      </c>
      <c r="H225" s="1" t="s">
        <v>778</v>
      </c>
      <c r="I225" s="1" t="s">
        <v>778</v>
      </c>
      <c r="J225" s="1" t="s">
        <v>778</v>
      </c>
      <c r="AD225" s="1" t="s">
        <v>778</v>
      </c>
      <c r="AL225" s="1" t="s">
        <v>778</v>
      </c>
      <c r="BE225" s="1" t="s">
        <v>778</v>
      </c>
      <c r="CQ225" s="1" t="s">
        <v>778</v>
      </c>
      <c r="ZJ225" s="1" t="s">
        <v>778</v>
      </c>
      <c r="ZZ225" s="1" t="s">
        <v>778</v>
      </c>
      <c r="AAE225" s="1" t="s">
        <v>778</v>
      </c>
    </row>
    <row r="226" spans="1:781" ht="174" hidden="1" x14ac:dyDescent="0.35">
      <c r="A226" s="1" t="s">
        <v>776</v>
      </c>
      <c r="B226" s="14" t="s">
        <v>1174</v>
      </c>
      <c r="C226" s="1" t="str" cm="1">
        <f t="array" ref="C226">GetURL(B226)</f>
        <v>https://explore-education-statistics.service.gov.uk/find-statistics/apprenticeships-in-england-by-industry-characteristics</v>
      </c>
      <c r="D226" s="1" t="s">
        <v>2608</v>
      </c>
      <c r="E226" s="1" t="s">
        <v>1183</v>
      </c>
      <c r="F226" s="1" t="s">
        <v>778</v>
      </c>
      <c r="G226" s="1" t="s">
        <v>778</v>
      </c>
      <c r="H226" s="1" t="s">
        <v>778</v>
      </c>
      <c r="I226" s="1" t="s">
        <v>778</v>
      </c>
      <c r="J226" s="1" t="s">
        <v>778</v>
      </c>
      <c r="AD226" s="1" t="s">
        <v>778</v>
      </c>
      <c r="AL226" s="1" t="s">
        <v>778</v>
      </c>
      <c r="AT226" s="1" t="s">
        <v>778</v>
      </c>
      <c r="AZ226" s="1" t="s">
        <v>778</v>
      </c>
      <c r="BL226" s="1" t="s">
        <v>778</v>
      </c>
      <c r="BR226" s="1" t="s">
        <v>778</v>
      </c>
      <c r="CQ226" s="1" t="s">
        <v>778</v>
      </c>
      <c r="ZJ226" s="1" t="s">
        <v>778</v>
      </c>
      <c r="AAB226" s="1" t="s">
        <v>778</v>
      </c>
      <c r="AAE226" s="1" t="s">
        <v>778</v>
      </c>
    </row>
    <row r="227" spans="1:781" ht="174" hidden="1" x14ac:dyDescent="0.35">
      <c r="A227" s="1" t="s">
        <v>776</v>
      </c>
      <c r="B227" s="14" t="s">
        <v>1174</v>
      </c>
      <c r="C227" s="1" t="str" cm="1">
        <f t="array" ref="C227">GetURL(B227)</f>
        <v>https://explore-education-statistics.service.gov.uk/find-statistics/apprenticeships-in-england-by-industry-characteristics</v>
      </c>
      <c r="D227" s="1" t="s">
        <v>2608</v>
      </c>
      <c r="E227" s="1" t="s">
        <v>1184</v>
      </c>
      <c r="F227" s="1" t="s">
        <v>778</v>
      </c>
      <c r="G227" s="1" t="s">
        <v>778</v>
      </c>
      <c r="H227" s="1" t="s">
        <v>778</v>
      </c>
      <c r="I227" s="1" t="s">
        <v>778</v>
      </c>
      <c r="J227" s="1" t="s">
        <v>778</v>
      </c>
      <c r="AL227" s="1" t="s">
        <v>778</v>
      </c>
      <c r="BE227" s="1" t="s">
        <v>778</v>
      </c>
      <c r="CQ227" s="1" t="s">
        <v>778</v>
      </c>
      <c r="GW227" s="1" t="s">
        <v>778</v>
      </c>
      <c r="ZJ227" s="1" t="s">
        <v>778</v>
      </c>
      <c r="AAF227" s="1" t="s">
        <v>778</v>
      </c>
    </row>
    <row r="228" spans="1:781" ht="174" hidden="1" x14ac:dyDescent="0.35">
      <c r="A228" s="1" t="s">
        <v>776</v>
      </c>
      <c r="B228" s="14" t="s">
        <v>1174</v>
      </c>
      <c r="C228" s="1" t="str" cm="1">
        <f t="array" ref="C228">GetURL(B228)</f>
        <v>https://explore-education-statistics.service.gov.uk/find-statistics/apprenticeships-in-england-by-industry-characteristics</v>
      </c>
      <c r="D228" s="1" t="s">
        <v>2608</v>
      </c>
      <c r="E228" s="1" t="s">
        <v>1185</v>
      </c>
      <c r="F228" s="1" t="s">
        <v>778</v>
      </c>
      <c r="G228" s="1" t="s">
        <v>778</v>
      </c>
      <c r="H228" s="1" t="s">
        <v>778</v>
      </c>
      <c r="I228" s="1" t="s">
        <v>778</v>
      </c>
      <c r="J228" s="1" t="s">
        <v>778</v>
      </c>
      <c r="ZJ228" s="1" t="s">
        <v>778</v>
      </c>
      <c r="AAA228" s="1" t="s">
        <v>778</v>
      </c>
      <c r="AAG228" s="1" t="s">
        <v>778</v>
      </c>
      <c r="AAH228" s="1" t="s">
        <v>778</v>
      </c>
      <c r="AAI228" s="1" t="s">
        <v>778</v>
      </c>
    </row>
    <row r="229" spans="1:781" ht="174" hidden="1" x14ac:dyDescent="0.35">
      <c r="A229" s="1" t="s">
        <v>776</v>
      </c>
      <c r="B229" s="14" t="s">
        <v>1174</v>
      </c>
      <c r="C229" s="1" t="str" cm="1">
        <f t="array" ref="C229">GetURL(B229)</f>
        <v>https://explore-education-statistics.service.gov.uk/find-statistics/apprenticeships-in-england-by-industry-characteristics</v>
      </c>
      <c r="D229" s="1" t="s">
        <v>2608</v>
      </c>
      <c r="E229" s="1" t="s">
        <v>1186</v>
      </c>
      <c r="F229" s="1" t="s">
        <v>778</v>
      </c>
      <c r="G229" s="1" t="s">
        <v>778</v>
      </c>
      <c r="H229" s="1" t="s">
        <v>778</v>
      </c>
      <c r="I229" s="1" t="s">
        <v>778</v>
      </c>
      <c r="J229" s="1" t="s">
        <v>778</v>
      </c>
      <c r="K229" s="1" t="s">
        <v>778</v>
      </c>
      <c r="L229" s="1" t="s">
        <v>778</v>
      </c>
      <c r="AD229" s="1" t="s">
        <v>778</v>
      </c>
      <c r="DN229" s="1" t="s">
        <v>778</v>
      </c>
      <c r="ZJ229" s="1" t="s">
        <v>778</v>
      </c>
      <c r="ZZ229" s="1" t="s">
        <v>778</v>
      </c>
      <c r="AAA229" s="1" t="s">
        <v>778</v>
      </c>
      <c r="AAB229" s="1" t="s">
        <v>778</v>
      </c>
      <c r="AAE229" s="1" t="s">
        <v>778</v>
      </c>
    </row>
    <row r="230" spans="1:781" ht="174" hidden="1" x14ac:dyDescent="0.35">
      <c r="A230" s="1" t="s">
        <v>776</v>
      </c>
      <c r="B230" s="14" t="s">
        <v>1174</v>
      </c>
      <c r="C230" s="1" t="str" cm="1">
        <f t="array" ref="C230">GetURL(B230)</f>
        <v>https://explore-education-statistics.service.gov.uk/find-statistics/apprenticeships-in-england-by-industry-characteristics</v>
      </c>
      <c r="D230" s="1" t="s">
        <v>2608</v>
      </c>
      <c r="E230" s="1" t="s">
        <v>1187</v>
      </c>
      <c r="F230" s="1" t="s">
        <v>778</v>
      </c>
      <c r="G230" s="1" t="s">
        <v>778</v>
      </c>
      <c r="H230" s="1" t="s">
        <v>778</v>
      </c>
      <c r="I230" s="1" t="s">
        <v>778</v>
      </c>
      <c r="J230" s="1" t="s">
        <v>778</v>
      </c>
      <c r="K230" s="1" t="s">
        <v>778</v>
      </c>
      <c r="L230" s="1" t="s">
        <v>778</v>
      </c>
      <c r="P230" s="1" t="s">
        <v>778</v>
      </c>
      <c r="Q230" s="1" t="s">
        <v>778</v>
      </c>
      <c r="DN230" s="1" t="s">
        <v>778</v>
      </c>
      <c r="ZJ230" s="1" t="s">
        <v>778</v>
      </c>
      <c r="ZZ230" s="1" t="s">
        <v>778</v>
      </c>
      <c r="AAE230" s="1" t="s">
        <v>778</v>
      </c>
    </row>
    <row r="231" spans="1:781" ht="174" hidden="1" x14ac:dyDescent="0.35">
      <c r="A231" s="1" t="s">
        <v>776</v>
      </c>
      <c r="B231" s="14" t="s">
        <v>1174</v>
      </c>
      <c r="C231" s="1" t="str" cm="1">
        <f t="array" ref="C231">GetURL(B231)</f>
        <v>https://explore-education-statistics.service.gov.uk/find-statistics/apprenticeships-in-england-by-industry-characteristics</v>
      </c>
      <c r="D231" s="1" t="s">
        <v>2608</v>
      </c>
      <c r="E231" s="1" t="s">
        <v>1188</v>
      </c>
      <c r="F231" s="1" t="s">
        <v>778</v>
      </c>
      <c r="G231" s="1" t="s">
        <v>778</v>
      </c>
      <c r="H231" s="1" t="s">
        <v>778</v>
      </c>
      <c r="I231" s="1" t="s">
        <v>778</v>
      </c>
      <c r="J231" s="1" t="s">
        <v>778</v>
      </c>
      <c r="K231" s="1" t="s">
        <v>778</v>
      </c>
      <c r="L231" s="1" t="s">
        <v>778</v>
      </c>
      <c r="R231" s="1" t="s">
        <v>778</v>
      </c>
      <c r="S231" s="1" t="s">
        <v>778</v>
      </c>
      <c r="DN231" s="1" t="s">
        <v>778</v>
      </c>
      <c r="ZJ231" s="1" t="s">
        <v>778</v>
      </c>
      <c r="ZZ231" s="1" t="s">
        <v>778</v>
      </c>
      <c r="AAE231" s="1" t="s">
        <v>778</v>
      </c>
    </row>
    <row r="232" spans="1:781" ht="174" hidden="1" x14ac:dyDescent="0.35">
      <c r="A232" s="1" t="s">
        <v>776</v>
      </c>
      <c r="B232" s="14" t="s">
        <v>1174</v>
      </c>
      <c r="C232" s="1" t="str" cm="1">
        <f t="array" ref="C232">GetURL(B232)</f>
        <v>https://explore-education-statistics.service.gov.uk/find-statistics/apprenticeships-in-england-by-industry-characteristics</v>
      </c>
      <c r="D232" s="1" t="s">
        <v>2608</v>
      </c>
      <c r="E232" s="1" t="s">
        <v>1189</v>
      </c>
      <c r="F232" s="1" t="s">
        <v>778</v>
      </c>
      <c r="G232" s="1" t="s">
        <v>778</v>
      </c>
      <c r="H232" s="1" t="s">
        <v>778</v>
      </c>
      <c r="I232" s="1" t="s">
        <v>778</v>
      </c>
      <c r="J232" s="1" t="s">
        <v>778</v>
      </c>
      <c r="AD232" s="1" t="s">
        <v>778</v>
      </c>
      <c r="AL232" s="1" t="s">
        <v>778</v>
      </c>
      <c r="BE232" s="1" t="s">
        <v>778</v>
      </c>
      <c r="DN232" s="1" t="s">
        <v>778</v>
      </c>
      <c r="ZJ232" s="1" t="s">
        <v>778</v>
      </c>
      <c r="ZZ232" s="1" t="s">
        <v>778</v>
      </c>
      <c r="AAE232" s="1" t="s">
        <v>778</v>
      </c>
    </row>
    <row r="233" spans="1:781" ht="174" hidden="1" x14ac:dyDescent="0.35">
      <c r="A233" s="1" t="s">
        <v>776</v>
      </c>
      <c r="B233" s="14" t="s">
        <v>1174</v>
      </c>
      <c r="C233" s="1" t="str" cm="1">
        <f t="array" ref="C233">GetURL(B233)</f>
        <v>https://explore-education-statistics.service.gov.uk/find-statistics/apprenticeships-in-england-by-industry-characteristics</v>
      </c>
      <c r="D233" s="1" t="s">
        <v>2608</v>
      </c>
      <c r="E233" s="1" t="s">
        <v>1190</v>
      </c>
      <c r="F233" s="1" t="s">
        <v>778</v>
      </c>
      <c r="G233" s="1" t="s">
        <v>778</v>
      </c>
      <c r="H233" s="1" t="s">
        <v>778</v>
      </c>
      <c r="I233" s="1" t="s">
        <v>778</v>
      </c>
      <c r="J233" s="1" t="s">
        <v>778</v>
      </c>
      <c r="AD233" s="1" t="s">
        <v>778</v>
      </c>
      <c r="AL233" s="1" t="s">
        <v>778</v>
      </c>
      <c r="AT233" s="1" t="s">
        <v>778</v>
      </c>
      <c r="AZ233" s="1" t="s">
        <v>778</v>
      </c>
      <c r="BL233" s="1" t="s">
        <v>778</v>
      </c>
      <c r="BR233" s="1" t="s">
        <v>778</v>
      </c>
      <c r="DN233" s="1" t="s">
        <v>778</v>
      </c>
      <c r="ZJ233" s="1" t="s">
        <v>778</v>
      </c>
      <c r="AAB233" s="1" t="s">
        <v>778</v>
      </c>
      <c r="AAE233" s="1" t="s">
        <v>778</v>
      </c>
    </row>
    <row r="234" spans="1:781" ht="174" hidden="1" x14ac:dyDescent="0.35">
      <c r="A234" s="1" t="s">
        <v>776</v>
      </c>
      <c r="B234" s="14" t="s">
        <v>1174</v>
      </c>
      <c r="C234" s="1" t="str" cm="1">
        <f t="array" ref="C234">GetURL(B234)</f>
        <v>https://explore-education-statistics.service.gov.uk/find-statistics/apprenticeships-in-england-by-industry-characteristics</v>
      </c>
      <c r="D234" s="1" t="s">
        <v>2608</v>
      </c>
      <c r="E234" s="1" t="s">
        <v>1191</v>
      </c>
      <c r="F234" s="1" t="s">
        <v>778</v>
      </c>
      <c r="G234" s="1" t="s">
        <v>778</v>
      </c>
      <c r="H234" s="1" t="s">
        <v>778</v>
      </c>
      <c r="I234" s="1" t="s">
        <v>778</v>
      </c>
      <c r="J234" s="1" t="s">
        <v>778</v>
      </c>
      <c r="CQ234" s="1" t="s">
        <v>778</v>
      </c>
      <c r="ZJ234" s="1" t="s">
        <v>778</v>
      </c>
      <c r="AAJ234" s="1" t="s">
        <v>778</v>
      </c>
      <c r="AAK234" s="1" t="s">
        <v>778</v>
      </c>
    </row>
    <row r="235" spans="1:781" ht="159.5" hidden="1" x14ac:dyDescent="0.35">
      <c r="A235" s="1" t="s">
        <v>776</v>
      </c>
      <c r="B235" s="14" t="s">
        <v>93</v>
      </c>
      <c r="C235" s="1" t="str" cm="1">
        <f t="array" ref="C235">GetURL(B235)</f>
        <v>https://explore-education-statistics.service.gov.uk/find-statistics/skills-bootcamps-outcomes</v>
      </c>
      <c r="D235" s="1" t="s">
        <v>2609</v>
      </c>
      <c r="E235" s="1" t="s">
        <v>93</v>
      </c>
      <c r="F235" s="1" t="s">
        <v>778</v>
      </c>
      <c r="G235" s="1" t="s">
        <v>778</v>
      </c>
      <c r="H235" s="1" t="s">
        <v>778</v>
      </c>
      <c r="I235" s="1" t="s">
        <v>778</v>
      </c>
      <c r="J235" s="1" t="s">
        <v>778</v>
      </c>
      <c r="TT235" s="1" t="s">
        <v>778</v>
      </c>
      <c r="ZJ235" s="1"/>
      <c r="AAL235" s="1" t="s">
        <v>778</v>
      </c>
      <c r="AAM235" s="1" t="s">
        <v>778</v>
      </c>
      <c r="AAN235" s="1" t="s">
        <v>778</v>
      </c>
      <c r="AAO235" s="1" t="s">
        <v>778</v>
      </c>
      <c r="AAP235" s="1" t="s">
        <v>778</v>
      </c>
      <c r="AAQ235" s="1" t="s">
        <v>778</v>
      </c>
      <c r="AAR235" s="1" t="s">
        <v>778</v>
      </c>
    </row>
    <row r="236" spans="1:781" ht="232" hidden="1" x14ac:dyDescent="0.35">
      <c r="A236" s="1" t="s">
        <v>776</v>
      </c>
      <c r="B236" s="14" t="s">
        <v>45</v>
      </c>
      <c r="C236" s="1" t="str" cm="1">
        <f t="array" ref="C236">GetURL(B236)</f>
        <v>https://explore-education-statistics.service.gov.uk/find-statistics/fe-learners-going-into-employment-and-learning-destinations-by-local-authority-district</v>
      </c>
      <c r="D236" s="1" t="s">
        <v>2610</v>
      </c>
      <c r="E236" s="1" t="s">
        <v>1192</v>
      </c>
      <c r="F236" s="1" t="s">
        <v>778</v>
      </c>
      <c r="G236" s="1" t="s">
        <v>778</v>
      </c>
      <c r="H236" s="1" t="s">
        <v>778</v>
      </c>
      <c r="I236" s="1" t="s">
        <v>778</v>
      </c>
      <c r="J236" s="1" t="s">
        <v>778</v>
      </c>
      <c r="K236" s="1" t="s">
        <v>778</v>
      </c>
      <c r="L236" s="1" t="s">
        <v>778</v>
      </c>
      <c r="P236" s="1" t="s">
        <v>778</v>
      </c>
      <c r="Q236" s="1" t="s">
        <v>778</v>
      </c>
      <c r="AM236" s="1" t="s">
        <v>778</v>
      </c>
      <c r="ER236" s="1" t="s">
        <v>778</v>
      </c>
      <c r="EX236" s="1" t="s">
        <v>778</v>
      </c>
      <c r="NU236" s="1" t="s">
        <v>778</v>
      </c>
      <c r="OS236" s="1" t="s">
        <v>778</v>
      </c>
      <c r="SQ236" s="1" t="s">
        <v>778</v>
      </c>
      <c r="XZ236" s="1" t="s">
        <v>778</v>
      </c>
      <c r="ZJ236" s="1"/>
      <c r="AAS236" s="1" t="s">
        <v>778</v>
      </c>
      <c r="AAT236" s="1" t="s">
        <v>778</v>
      </c>
      <c r="AAU236" s="1" t="s">
        <v>778</v>
      </c>
      <c r="AAV236" s="1" t="s">
        <v>778</v>
      </c>
      <c r="AAW236" s="1" t="s">
        <v>778</v>
      </c>
      <c r="AAX236" s="1" t="s">
        <v>778</v>
      </c>
      <c r="AAY236" s="1" t="s">
        <v>778</v>
      </c>
      <c r="AAZ236" s="1" t="s">
        <v>778</v>
      </c>
      <c r="ABA236" s="1" t="s">
        <v>778</v>
      </c>
      <c r="ABB236" s="1" t="s">
        <v>778</v>
      </c>
      <c r="ABC236" s="1" t="s">
        <v>778</v>
      </c>
      <c r="ABD236" s="1" t="s">
        <v>778</v>
      </c>
      <c r="ABE236" s="1" t="s">
        <v>778</v>
      </c>
      <c r="ABF236" s="1" t="s">
        <v>778</v>
      </c>
      <c r="ABG236" s="1" t="s">
        <v>778</v>
      </c>
      <c r="ABH236" s="1" t="s">
        <v>778</v>
      </c>
      <c r="ABI236" s="1" t="s">
        <v>778</v>
      </c>
      <c r="ABJ236" s="1" t="s">
        <v>778</v>
      </c>
      <c r="ABK236" s="1" t="s">
        <v>778</v>
      </c>
      <c r="ABL236" s="1" t="s">
        <v>778</v>
      </c>
      <c r="ABM236" s="1" t="s">
        <v>778</v>
      </c>
    </row>
    <row r="237" spans="1:781" ht="72.5" hidden="1" customHeight="1" x14ac:dyDescent="0.35">
      <c r="A237" s="1" t="s">
        <v>1193</v>
      </c>
      <c r="B237" s="14" t="s">
        <v>38</v>
      </c>
      <c r="C237" s="1" t="str" cm="1">
        <f t="array" ref="C237">GetURL(B237)</f>
        <v>https://explore-education-statistics.service.gov.uk/find-statistics/employer-skills-survey</v>
      </c>
      <c r="D237" s="1" t="s">
        <v>2611</v>
      </c>
      <c r="E237" s="1" t="s">
        <v>1194</v>
      </c>
      <c r="F237" s="1" t="s">
        <v>778</v>
      </c>
      <c r="G237" s="1" t="s">
        <v>778</v>
      </c>
      <c r="H237" s="1" t="s">
        <v>778</v>
      </c>
      <c r="I237" s="1" t="s">
        <v>778</v>
      </c>
      <c r="J237" s="1" t="s">
        <v>778</v>
      </c>
      <c r="K237" s="1" t="s">
        <v>778</v>
      </c>
      <c r="L237" s="1" t="s">
        <v>778</v>
      </c>
      <c r="NA237" s="1" t="s">
        <v>778</v>
      </c>
      <c r="ZJ237" s="1" t="s">
        <v>778</v>
      </c>
      <c r="ZN237" s="1" t="s">
        <v>778</v>
      </c>
      <c r="ZZ237" s="1" t="s">
        <v>778</v>
      </c>
      <c r="ABN237" s="1" t="s">
        <v>778</v>
      </c>
      <c r="ABO237" s="1" t="s">
        <v>778</v>
      </c>
      <c r="ABP237" s="1" t="s">
        <v>778</v>
      </c>
      <c r="ABQ237" s="1" t="s">
        <v>778</v>
      </c>
      <c r="ABR237" s="1" t="s">
        <v>778</v>
      </c>
      <c r="ABS237" s="1" t="s">
        <v>778</v>
      </c>
      <c r="ABT237" s="1" t="s">
        <v>778</v>
      </c>
      <c r="ABU237" s="1" t="s">
        <v>778</v>
      </c>
      <c r="ABV237" s="1" t="s">
        <v>778</v>
      </c>
      <c r="ABW237" s="1" t="s">
        <v>778</v>
      </c>
      <c r="ABX237" s="1" t="s">
        <v>778</v>
      </c>
      <c r="ABY237" s="1" t="s">
        <v>778</v>
      </c>
      <c r="ABZ237" s="1" t="s">
        <v>778</v>
      </c>
      <c r="ACA237" s="1" t="s">
        <v>778</v>
      </c>
      <c r="ACB237" s="1" t="s">
        <v>778</v>
      </c>
      <c r="ACC237" s="1" t="s">
        <v>778</v>
      </c>
      <c r="ACD237" s="1" t="s">
        <v>778</v>
      </c>
      <c r="ACE237" s="1" t="s">
        <v>778</v>
      </c>
      <c r="ACF237" s="1" t="s">
        <v>778</v>
      </c>
      <c r="ACG237" s="1" t="s">
        <v>778</v>
      </c>
      <c r="ACH237" s="1" t="s">
        <v>778</v>
      </c>
      <c r="ACI237" s="1" t="s">
        <v>778</v>
      </c>
      <c r="ACJ237" s="1" t="s">
        <v>778</v>
      </c>
      <c r="ACK237" s="1" t="s">
        <v>778</v>
      </c>
      <c r="ACL237" s="1" t="s">
        <v>778</v>
      </c>
      <c r="ACM237" s="1" t="s">
        <v>778</v>
      </c>
      <c r="ACN237" s="1" t="s">
        <v>778</v>
      </c>
    </row>
    <row r="238" spans="1:781" ht="66.5" hidden="1" customHeight="1" x14ac:dyDescent="0.35">
      <c r="A238" s="1" t="s">
        <v>1193</v>
      </c>
      <c r="B238" s="14" t="s">
        <v>38</v>
      </c>
      <c r="C238" s="1" t="str" cm="1">
        <f t="array" ref="C238">GetURL(B238)</f>
        <v>https://explore-education-statistics.service.gov.uk/find-statistics/employer-skills-survey</v>
      </c>
      <c r="D238" s="1" t="s">
        <v>2611</v>
      </c>
      <c r="E238" s="1" t="s">
        <v>1195</v>
      </c>
      <c r="F238" s="1" t="s">
        <v>778</v>
      </c>
      <c r="G238" s="1" t="s">
        <v>778</v>
      </c>
      <c r="H238" s="1" t="s">
        <v>778</v>
      </c>
      <c r="I238" s="1" t="s">
        <v>778</v>
      </c>
      <c r="J238" s="1" t="s">
        <v>778</v>
      </c>
      <c r="K238" s="1" t="s">
        <v>778</v>
      </c>
      <c r="L238" s="1" t="s">
        <v>778</v>
      </c>
      <c r="ZJ238" s="1" t="s">
        <v>778</v>
      </c>
      <c r="ZN238" s="1" t="s">
        <v>778</v>
      </c>
      <c r="ZZ238" s="1" t="s">
        <v>778</v>
      </c>
      <c r="ACA238" s="1" t="s">
        <v>778</v>
      </c>
      <c r="ACO238" s="1" t="s">
        <v>778</v>
      </c>
      <c r="ACP238" s="1" t="s">
        <v>778</v>
      </c>
      <c r="ACQ238" s="1" t="s">
        <v>778</v>
      </c>
      <c r="ACR238" s="1" t="s">
        <v>778</v>
      </c>
      <c r="ACS238" s="1" t="s">
        <v>778</v>
      </c>
      <c r="ACT238" s="1" t="s">
        <v>778</v>
      </c>
    </row>
    <row r="239" spans="1:781" ht="63.5" hidden="1" customHeight="1" x14ac:dyDescent="0.35">
      <c r="A239" s="1" t="s">
        <v>1193</v>
      </c>
      <c r="B239" s="14" t="s">
        <v>38</v>
      </c>
      <c r="C239" s="1" t="str" cm="1">
        <f t="array" ref="C239">GetURL(B239)</f>
        <v>https://explore-education-statistics.service.gov.uk/find-statistics/employer-skills-survey</v>
      </c>
      <c r="D239" s="1" t="s">
        <v>2611</v>
      </c>
      <c r="E239" s="1" t="s">
        <v>1196</v>
      </c>
      <c r="F239" s="1" t="s">
        <v>778</v>
      </c>
      <c r="G239" s="1" t="s">
        <v>778</v>
      </c>
      <c r="H239" s="1" t="s">
        <v>778</v>
      </c>
      <c r="I239" s="1" t="s">
        <v>778</v>
      </c>
      <c r="J239" s="1" t="s">
        <v>778</v>
      </c>
      <c r="ZJ239" s="1" t="s">
        <v>778</v>
      </c>
      <c r="ABW239" s="1" t="s">
        <v>778</v>
      </c>
      <c r="ABX239" s="1" t="s">
        <v>778</v>
      </c>
      <c r="ABY239" s="1" t="s">
        <v>778</v>
      </c>
      <c r="ACI239" s="1" t="s">
        <v>778</v>
      </c>
      <c r="ACJ239" s="1" t="s">
        <v>778</v>
      </c>
      <c r="ACU239" s="1" t="s">
        <v>778</v>
      </c>
      <c r="ACV239" s="1" t="s">
        <v>778</v>
      </c>
      <c r="ACW239" s="1" t="s">
        <v>778</v>
      </c>
      <c r="ACX239" s="1" t="s">
        <v>778</v>
      </c>
      <c r="ACY239" s="1" t="s">
        <v>778</v>
      </c>
    </row>
    <row r="240" spans="1:781" ht="74.5" hidden="1" customHeight="1" x14ac:dyDescent="0.35">
      <c r="A240" s="1" t="s">
        <v>1193</v>
      </c>
      <c r="B240" s="14" t="s">
        <v>35</v>
      </c>
      <c r="C240" s="1" t="str" cm="1">
        <f t="array" ref="C240">GetURL(B240)</f>
        <v>https://explore-education-statistics.service.gov.uk/find-statistics/education-and-training-statistics-for-the-uk/2022</v>
      </c>
      <c r="D240" s="1" t="s">
        <v>2612</v>
      </c>
      <c r="E240" s="1" t="s">
        <v>1197</v>
      </c>
      <c r="F240" s="1" t="s">
        <v>778</v>
      </c>
      <c r="G240" s="1" t="s">
        <v>778</v>
      </c>
      <c r="H240" s="1" t="s">
        <v>778</v>
      </c>
      <c r="I240" s="1" t="s">
        <v>778</v>
      </c>
      <c r="J240" s="1" t="s">
        <v>778</v>
      </c>
      <c r="K240" s="1" t="s">
        <v>778</v>
      </c>
      <c r="L240" s="1" t="s">
        <v>778</v>
      </c>
      <c r="ZJ240" s="1"/>
      <c r="ACZ240" s="1" t="s">
        <v>778</v>
      </c>
      <c r="ADA240" s="1" t="s">
        <v>778</v>
      </c>
    </row>
    <row r="241" spans="1:802" ht="61.5" hidden="1" customHeight="1" x14ac:dyDescent="0.35">
      <c r="A241" s="1" t="s">
        <v>1193</v>
      </c>
      <c r="B241" s="14" t="s">
        <v>35</v>
      </c>
      <c r="C241" s="1" t="str" cm="1">
        <f t="array" ref="C241">GetURL(B241)</f>
        <v>https://explore-education-statistics.service.gov.uk/find-statistics/education-and-training-statistics-for-the-uk/2022</v>
      </c>
      <c r="D241" s="1" t="s">
        <v>2612</v>
      </c>
      <c r="E241" s="1" t="s">
        <v>1198</v>
      </c>
      <c r="F241" s="1" t="s">
        <v>778</v>
      </c>
      <c r="G241" s="1" t="s">
        <v>778</v>
      </c>
      <c r="H241" s="1" t="s">
        <v>778</v>
      </c>
      <c r="I241" s="1" t="s">
        <v>778</v>
      </c>
      <c r="J241" s="1" t="s">
        <v>778</v>
      </c>
      <c r="K241" s="1" t="s">
        <v>778</v>
      </c>
      <c r="L241" s="1" t="s">
        <v>778</v>
      </c>
      <c r="AT241" s="1" t="s">
        <v>778</v>
      </c>
      <c r="AZ241" s="1" t="s">
        <v>778</v>
      </c>
      <c r="VP241" s="1" t="s">
        <v>778</v>
      </c>
      <c r="ZJ241" s="1"/>
      <c r="ACZ241" s="1" t="s">
        <v>778</v>
      </c>
    </row>
    <row r="242" spans="1:802" ht="68.5" hidden="1" customHeight="1" x14ac:dyDescent="0.35">
      <c r="A242" s="1" t="s">
        <v>1193</v>
      </c>
      <c r="B242" s="14" t="s">
        <v>35</v>
      </c>
      <c r="C242" s="1" t="str" cm="1">
        <f t="array" ref="C242">GetURL(B242)</f>
        <v>https://explore-education-statistics.service.gov.uk/find-statistics/education-and-training-statistics-for-the-uk/2022</v>
      </c>
      <c r="D242" s="1" t="s">
        <v>2612</v>
      </c>
      <c r="E242" s="1" t="s">
        <v>1199</v>
      </c>
      <c r="F242" s="1" t="s">
        <v>778</v>
      </c>
      <c r="G242" s="1" t="s">
        <v>778</v>
      </c>
      <c r="H242" s="1" t="s">
        <v>778</v>
      </c>
      <c r="I242" s="1" t="s">
        <v>778</v>
      </c>
      <c r="J242" s="1" t="s">
        <v>778</v>
      </c>
      <c r="K242" s="1" t="s">
        <v>778</v>
      </c>
      <c r="L242" s="1" t="s">
        <v>778</v>
      </c>
      <c r="AZ242" s="1" t="s">
        <v>778</v>
      </c>
      <c r="ZJ242" s="1"/>
      <c r="ACZ242" s="1" t="s">
        <v>778</v>
      </c>
      <c r="ADB242" s="1" t="s">
        <v>778</v>
      </c>
    </row>
    <row r="243" spans="1:802" ht="66.5" hidden="1" customHeight="1" x14ac:dyDescent="0.35">
      <c r="A243" s="1" t="s">
        <v>1193</v>
      </c>
      <c r="B243" s="14" t="s">
        <v>35</v>
      </c>
      <c r="C243" s="1" t="str" cm="1">
        <f t="array" ref="C243">GetURL(B243)</f>
        <v>https://explore-education-statistics.service.gov.uk/find-statistics/education-and-training-statistics-for-the-uk/2022</v>
      </c>
      <c r="D243" s="1" t="s">
        <v>2612</v>
      </c>
      <c r="E243" s="12" t="s">
        <v>1200</v>
      </c>
      <c r="F243" s="1" t="s">
        <v>778</v>
      </c>
      <c r="G243" s="1" t="s">
        <v>778</v>
      </c>
      <c r="H243" s="1" t="s">
        <v>778</v>
      </c>
      <c r="I243" s="1" t="s">
        <v>778</v>
      </c>
      <c r="J243" s="1" t="s">
        <v>778</v>
      </c>
      <c r="K243" s="1" t="s">
        <v>778</v>
      </c>
      <c r="L243" s="1" t="s">
        <v>778</v>
      </c>
      <c r="ZJ243" s="1"/>
      <c r="ACZ243" s="1" t="s">
        <v>778</v>
      </c>
      <c r="ADC243" s="1" t="s">
        <v>778</v>
      </c>
    </row>
    <row r="244" spans="1:802" ht="67" hidden="1" customHeight="1" x14ac:dyDescent="0.35">
      <c r="A244" s="1" t="s">
        <v>1193</v>
      </c>
      <c r="B244" s="14" t="s">
        <v>35</v>
      </c>
      <c r="C244" s="1" t="str" cm="1">
        <f t="array" ref="C244">GetURL(B244)</f>
        <v>https://explore-education-statistics.service.gov.uk/find-statistics/education-and-training-statistics-for-the-uk/2022</v>
      </c>
      <c r="D244" s="1" t="s">
        <v>2612</v>
      </c>
      <c r="E244" s="12" t="s">
        <v>1201</v>
      </c>
      <c r="F244" s="1" t="s">
        <v>778</v>
      </c>
      <c r="G244" s="1" t="s">
        <v>778</v>
      </c>
      <c r="H244" s="1" t="s">
        <v>778</v>
      </c>
      <c r="I244" s="1" t="s">
        <v>778</v>
      </c>
      <c r="J244" s="1" t="s">
        <v>778</v>
      </c>
      <c r="AT244" s="1" t="s">
        <v>778</v>
      </c>
      <c r="AZ244" s="1" t="s">
        <v>778</v>
      </c>
      <c r="JR244" s="1" t="s">
        <v>778</v>
      </c>
      <c r="ZJ244" s="1"/>
      <c r="ADD244" s="1" t="s">
        <v>778</v>
      </c>
    </row>
    <row r="245" spans="1:802" ht="68.5" hidden="1" customHeight="1" x14ac:dyDescent="0.35">
      <c r="A245" s="1" t="s">
        <v>1193</v>
      </c>
      <c r="B245" s="14" t="s">
        <v>35</v>
      </c>
      <c r="C245" s="1" t="str" cm="1">
        <f t="array" ref="C245">GetURL(B245)</f>
        <v>https://explore-education-statistics.service.gov.uk/find-statistics/education-and-training-statistics-for-the-uk/2022</v>
      </c>
      <c r="D245" s="1" t="s">
        <v>2612</v>
      </c>
      <c r="E245" s="12" t="s">
        <v>1202</v>
      </c>
      <c r="F245" s="1" t="s">
        <v>778</v>
      </c>
      <c r="G245" s="1" t="s">
        <v>778</v>
      </c>
      <c r="H245" s="1" t="s">
        <v>778</v>
      </c>
      <c r="I245" s="1" t="s">
        <v>778</v>
      </c>
      <c r="J245" s="1" t="s">
        <v>778</v>
      </c>
      <c r="AL245" s="1" t="s">
        <v>778</v>
      </c>
      <c r="AZ245" s="1" t="s">
        <v>778</v>
      </c>
      <c r="BI245" s="1" t="s">
        <v>778</v>
      </c>
      <c r="JR245" s="1" t="s">
        <v>778</v>
      </c>
      <c r="TC245" s="1" t="s">
        <v>778</v>
      </c>
      <c r="ZJ245" s="1"/>
      <c r="ADD245" s="1" t="s">
        <v>778</v>
      </c>
    </row>
    <row r="246" spans="1:802" ht="71.5" hidden="1" customHeight="1" x14ac:dyDescent="0.35">
      <c r="A246" s="1" t="s">
        <v>1193</v>
      </c>
      <c r="B246" s="14" t="s">
        <v>35</v>
      </c>
      <c r="C246" s="1" t="str" cm="1">
        <f t="array" ref="C246">GetURL(B246)</f>
        <v>https://explore-education-statistics.service.gov.uk/find-statistics/education-and-training-statistics-for-the-uk/2022</v>
      </c>
      <c r="D246" s="1" t="s">
        <v>2612</v>
      </c>
      <c r="E246" s="2" t="s">
        <v>1203</v>
      </c>
      <c r="F246" s="1" t="s">
        <v>778</v>
      </c>
      <c r="G246" s="1" t="s">
        <v>778</v>
      </c>
      <c r="H246" s="1" t="s">
        <v>778</v>
      </c>
      <c r="I246" s="1" t="s">
        <v>778</v>
      </c>
      <c r="J246" s="1" t="s">
        <v>778</v>
      </c>
      <c r="FG246" s="1" t="s">
        <v>778</v>
      </c>
      <c r="ZJ246" s="1"/>
      <c r="ADE246" s="1" t="s">
        <v>778</v>
      </c>
    </row>
    <row r="247" spans="1:802" ht="87" hidden="1" customHeight="1" x14ac:dyDescent="0.35">
      <c r="A247" s="1" t="s">
        <v>1193</v>
      </c>
      <c r="B247" s="14" t="s">
        <v>35</v>
      </c>
      <c r="C247" s="1" t="str" cm="1">
        <f t="array" ref="C247">GetURL(B247)</f>
        <v>https://explore-education-statistics.service.gov.uk/find-statistics/education-and-training-statistics-for-the-uk/2022</v>
      </c>
      <c r="D247" s="1" t="s">
        <v>2612</v>
      </c>
      <c r="E247" s="1" t="s">
        <v>1204</v>
      </c>
      <c r="F247" s="1" t="s">
        <v>778</v>
      </c>
      <c r="G247" s="1" t="s">
        <v>778</v>
      </c>
      <c r="H247" s="1" t="s">
        <v>778</v>
      </c>
      <c r="I247" s="1" t="s">
        <v>778</v>
      </c>
      <c r="J247" s="1" t="s">
        <v>778</v>
      </c>
      <c r="AR247" s="1" t="s">
        <v>778</v>
      </c>
      <c r="AT247" s="1" t="s">
        <v>778</v>
      </c>
      <c r="AZ247" s="1" t="s">
        <v>778</v>
      </c>
      <c r="JT247" s="1" t="s">
        <v>778</v>
      </c>
      <c r="ZJ247" s="1"/>
      <c r="ADF247" s="1" t="s">
        <v>778</v>
      </c>
      <c r="ADG247" s="1" t="s">
        <v>778</v>
      </c>
      <c r="ADH247" s="1" t="s">
        <v>778</v>
      </c>
      <c r="ADI247" s="1" t="s">
        <v>778</v>
      </c>
    </row>
    <row r="248" spans="1:802" ht="79" hidden="1" customHeight="1" x14ac:dyDescent="0.35">
      <c r="A248" s="1" t="s">
        <v>1193</v>
      </c>
      <c r="B248" s="14" t="s">
        <v>35</v>
      </c>
      <c r="C248" s="1" t="str" cm="1">
        <f t="array" ref="C248">GetURL(B248)</f>
        <v>https://explore-education-statistics.service.gov.uk/find-statistics/education-and-training-statistics-for-the-uk/2022</v>
      </c>
      <c r="D248" s="1" t="s">
        <v>2612</v>
      </c>
      <c r="E248" s="1" t="s">
        <v>1205</v>
      </c>
      <c r="F248" s="1" t="s">
        <v>778</v>
      </c>
      <c r="G248" s="1" t="s">
        <v>778</v>
      </c>
      <c r="H248" s="1" t="s">
        <v>778</v>
      </c>
      <c r="I248" s="1" t="s">
        <v>778</v>
      </c>
      <c r="J248" s="1" t="s">
        <v>778</v>
      </c>
      <c r="AT248" s="1" t="s">
        <v>778</v>
      </c>
      <c r="AZ248" s="1" t="s">
        <v>778</v>
      </c>
      <c r="ZJ248" s="1"/>
      <c r="ADJ248" s="1" t="s">
        <v>778</v>
      </c>
      <c r="ADK248" s="1" t="s">
        <v>778</v>
      </c>
      <c r="ADL248" s="1" t="s">
        <v>778</v>
      </c>
      <c r="ADM248" s="1" t="s">
        <v>778</v>
      </c>
      <c r="ADN248" s="1" t="s">
        <v>778</v>
      </c>
      <c r="ADO248" s="1" t="s">
        <v>778</v>
      </c>
      <c r="ADP248" s="1" t="s">
        <v>778</v>
      </c>
    </row>
    <row r="249" spans="1:802" ht="77.5" hidden="1" customHeight="1" x14ac:dyDescent="0.35">
      <c r="A249" s="1" t="s">
        <v>1193</v>
      </c>
      <c r="B249" s="14" t="s">
        <v>35</v>
      </c>
      <c r="C249" s="1" t="str" cm="1">
        <f t="array" ref="C249">GetURL(B249)</f>
        <v>https://explore-education-statistics.service.gov.uk/find-statistics/education-and-training-statistics-for-the-uk/2022</v>
      </c>
      <c r="D249" s="1" t="s">
        <v>2612</v>
      </c>
      <c r="E249" s="1" t="s">
        <v>1206</v>
      </c>
      <c r="F249" s="1" t="s">
        <v>778</v>
      </c>
      <c r="G249" s="1" t="s">
        <v>778</v>
      </c>
      <c r="H249" s="1" t="s">
        <v>778</v>
      </c>
      <c r="I249" s="1" t="s">
        <v>778</v>
      </c>
      <c r="J249" s="1" t="s">
        <v>778</v>
      </c>
      <c r="ZJ249" s="1"/>
      <c r="ADQ249" s="1" t="s">
        <v>778</v>
      </c>
      <c r="ADR249" s="1" t="s">
        <v>778</v>
      </c>
      <c r="ADS249" s="1" t="s">
        <v>778</v>
      </c>
      <c r="ADT249" s="1" t="s">
        <v>778</v>
      </c>
      <c r="ADU249" s="1" t="s">
        <v>778</v>
      </c>
      <c r="ADV249" s="1" t="s">
        <v>778</v>
      </c>
    </row>
  </sheetData>
  <autoFilter ref="A3:ADV249" xr:uid="{05DA4995-E188-4402-9938-467B6EE8D4E3}">
    <filterColumn colId="109">
      <customFilters>
        <customFilter operator="notEqual" val=" "/>
      </customFilters>
    </filterColumn>
  </autoFilter>
  <conditionalFormatting sqref="A2:XFD2">
    <cfRule type="cellIs" dxfId="3" priority="1" operator="equal">
      <formula>"multiple"</formula>
    </cfRule>
    <cfRule type="cellIs" dxfId="2" priority="2" operator="equal">
      <formula>"No match"</formula>
    </cfRule>
  </conditionalFormatting>
  <hyperlinks>
    <hyperlink ref="B4" r:id="rId1" xr:uid="{F44E950C-198D-4760-AEBF-FAECC06855F6}"/>
    <hyperlink ref="B5" r:id="rId2" xr:uid="{806B09F9-4AA9-414A-8220-808D2C9EAD6B}"/>
    <hyperlink ref="B6" r:id="rId3" xr:uid="{2794C73E-23E5-4D3F-A84A-8E167DCBE3DE}"/>
    <hyperlink ref="B7" r:id="rId4" xr:uid="{0CFB6831-516F-4C11-99CE-284AA91E42AD}"/>
    <hyperlink ref="B8" r:id="rId5" xr:uid="{7DD83539-8A83-4121-808A-6F73C4377409}"/>
    <hyperlink ref="B9" r:id="rId6" xr:uid="{93F79401-EA7C-4C90-A4DE-3A894DD2C41E}"/>
    <hyperlink ref="B10" r:id="rId7" xr:uid="{6BBCB002-5146-4519-AC8D-A0AC12050567}"/>
    <hyperlink ref="B11" r:id="rId8" xr:uid="{57CB1721-DC0B-47CA-9B55-0953A0FFC7A8}"/>
    <hyperlink ref="B12" r:id="rId9" xr:uid="{704784EA-C296-4F9B-9F3F-64858F84B857}"/>
    <hyperlink ref="B13" r:id="rId10" xr:uid="{17DFE974-6C1F-407D-9B67-20D5AEC5426C}"/>
    <hyperlink ref="B14" r:id="rId11" xr:uid="{2F67C035-3149-4727-823C-19CAE670340C}"/>
    <hyperlink ref="B15" r:id="rId12" xr:uid="{2D6C9C9B-EFF8-4C99-A838-C26016A24B16}"/>
    <hyperlink ref="B16" r:id="rId13" xr:uid="{20523819-E184-4C37-A3F6-594F64A08CB7}"/>
    <hyperlink ref="B17" r:id="rId14" xr:uid="{0483F044-5720-4B68-8325-E558ECC034CD}"/>
    <hyperlink ref="B18" r:id="rId15" xr:uid="{241419BC-DAD7-4CF8-B127-F8F78A427990}"/>
    <hyperlink ref="B19" r:id="rId16" xr:uid="{48E031B6-51DF-4419-8E83-8E91F4BB61F9}"/>
    <hyperlink ref="B20" r:id="rId17" xr:uid="{5D4B4046-B32B-44B0-B705-2B414726A128}"/>
    <hyperlink ref="B21" r:id="rId18" xr:uid="{FD6740D2-464B-43AF-AC64-B19C868E6C00}"/>
    <hyperlink ref="B22" r:id="rId19" xr:uid="{7F88BF21-6AD1-4BD0-AC10-A8A60D122878}"/>
    <hyperlink ref="B23" r:id="rId20" xr:uid="{39DF971C-CC6A-4A11-8A50-AF63954A32A7}"/>
    <hyperlink ref="B24" r:id="rId21" xr:uid="{43B17160-3B8A-4670-AA6B-8C6333639E65}"/>
    <hyperlink ref="B25" r:id="rId22" xr:uid="{E8109004-C7C2-4BE1-875A-ABEE2649821C}"/>
    <hyperlink ref="B26" r:id="rId23" xr:uid="{387E70BA-962F-452A-9337-06B6C5226201}"/>
    <hyperlink ref="B27" r:id="rId24" xr:uid="{FCAA50D7-8C31-4677-82E7-2463CB874802}"/>
    <hyperlink ref="B28" r:id="rId25" xr:uid="{4BA640D3-2E8E-4355-B789-62B5B8E5CD58}"/>
    <hyperlink ref="B29" r:id="rId26" xr:uid="{AD081EC5-A31A-47C7-85E4-630D93A3DF81}"/>
    <hyperlink ref="B30" r:id="rId27" xr:uid="{85F56CE4-A296-4D34-9806-82C3BE6F7E49}"/>
    <hyperlink ref="B31" r:id="rId28" xr:uid="{3F1DA10E-B7E7-4F4D-90CC-5033189E4790}"/>
    <hyperlink ref="B32" r:id="rId29" xr:uid="{92A8499E-FD8A-4ED2-8F15-F41EB26AF66E}"/>
    <hyperlink ref="B33" r:id="rId30" xr:uid="{22B404F6-20C7-4ABA-AFA5-BFB38DE18A50}"/>
    <hyperlink ref="B34" r:id="rId31" xr:uid="{740B83DA-82CB-491B-BC93-192D66374C59}"/>
    <hyperlink ref="B35" r:id="rId32" xr:uid="{9BFA6112-3445-488C-ABF4-5FDB81A01621}"/>
    <hyperlink ref="B36" r:id="rId33" xr:uid="{E27D1211-4864-41E5-ABE7-20D35BF6A227}"/>
    <hyperlink ref="B37" r:id="rId34" xr:uid="{95C23670-2D6B-4735-9973-EBBCEB2F41D7}"/>
    <hyperlink ref="B38" r:id="rId35" xr:uid="{83A36756-F7FF-42CA-B604-C63574A25598}"/>
    <hyperlink ref="B39" r:id="rId36" xr:uid="{940447CE-8FC8-4083-9566-F9AE65233F48}"/>
    <hyperlink ref="B40" r:id="rId37" xr:uid="{3E3706BE-F6A3-4BE1-BD26-9D0F9AF668F5}"/>
    <hyperlink ref="B41" r:id="rId38" xr:uid="{EFF68DBD-C54F-4205-97D7-88949C348B23}"/>
    <hyperlink ref="B42" r:id="rId39" xr:uid="{78BE8652-62EE-434F-8867-CFA0BC520962}"/>
    <hyperlink ref="B43" r:id="rId40" xr:uid="{79C2C2D0-1500-428F-B732-2078CE5E06D4}"/>
    <hyperlink ref="B44" r:id="rId41" xr:uid="{C340DB6F-A4FF-4C8B-9D5F-45F524EA641D}"/>
    <hyperlink ref="B45" r:id="rId42" xr:uid="{8A141E70-A105-469E-9273-6152420976D8}"/>
    <hyperlink ref="B46" r:id="rId43" xr:uid="{42AD726F-3215-4CCF-9D96-47FF74749C29}"/>
    <hyperlink ref="B47" r:id="rId44" xr:uid="{C9513171-99EA-4CD0-89B8-B40BF1AD60A8}"/>
    <hyperlink ref="B48:B81" r:id="rId45" display="Further Education and skills" xr:uid="{7B949ADE-8C7D-4178-AC3A-12CC270FADD6}"/>
    <hyperlink ref="B82" r:id="rId46" xr:uid="{557955BA-C776-4E6F-BE74-5F9AA7F3E6BB}"/>
    <hyperlink ref="B83" r:id="rId47" xr:uid="{AC31486B-0634-489C-91BC-73E79CBE2B4B}"/>
    <hyperlink ref="B84" r:id="rId48" xr:uid="{01CC121F-08B8-401E-83E8-4C2F438B59FF}"/>
    <hyperlink ref="B85" r:id="rId49" xr:uid="{6AD56B11-A869-4DE4-8A6D-6F03AA403829}"/>
    <hyperlink ref="B86" r:id="rId50" xr:uid="{347C54EE-B149-499A-BD79-D0E337CFF9D5}"/>
    <hyperlink ref="B87" r:id="rId51" xr:uid="{B7264441-3032-4AB6-BC60-0A57B8DB8BDC}"/>
    <hyperlink ref="B88" r:id="rId52" xr:uid="{31850107-8AA1-4BDA-B852-7393C82EC3D6}"/>
    <hyperlink ref="B89" r:id="rId53" xr:uid="{9CCC37F3-BA42-44F6-9B90-3D0858EF1A46}"/>
    <hyperlink ref="B90" r:id="rId54" xr:uid="{2327BFCC-81C2-45E7-BEB6-D67009BA70D7}"/>
    <hyperlink ref="B91" r:id="rId55" xr:uid="{169C8FEE-B2B4-4FD9-AF95-152340CF7EFC}"/>
    <hyperlink ref="B92" r:id="rId56" xr:uid="{0492E94A-D0D0-4E22-A7C8-A3FDD7306A47}"/>
    <hyperlink ref="B93" r:id="rId57" xr:uid="{32DAD8CC-1F77-438B-9ADE-252627F557E7}"/>
    <hyperlink ref="B94" r:id="rId58" xr:uid="{E7CEDDE1-CFAA-42C1-9390-F94803B576B9}"/>
    <hyperlink ref="B95" r:id="rId59" xr:uid="{4E81DAEA-3DD5-4AA2-8A69-EBE9C168D8ED}"/>
    <hyperlink ref="B96" r:id="rId60" xr:uid="{999AB01B-117C-45EC-AA01-C15868DC0D18}"/>
    <hyperlink ref="B97" r:id="rId61" xr:uid="{604B9BB2-9EF3-43EE-A3FB-D523F9E141EC}"/>
    <hyperlink ref="B98" r:id="rId62" xr:uid="{709B4579-6772-408D-9E1E-5872189B1048}"/>
    <hyperlink ref="B99" r:id="rId63" xr:uid="{82E32A24-CCBD-44FF-ABD0-176F20282E43}"/>
    <hyperlink ref="B100" r:id="rId64" xr:uid="{498C0A46-5AB0-414A-8212-1F3212D922D3}"/>
    <hyperlink ref="B101" r:id="rId65" xr:uid="{5BF7A2F1-7947-49CF-A413-B721D60A9C96}"/>
    <hyperlink ref="B102" r:id="rId66" xr:uid="{84701716-1005-403D-B395-5EA93CD088A6}"/>
    <hyperlink ref="B103" r:id="rId67" xr:uid="{07713189-74C9-45FF-994B-C9935AD9B038}"/>
    <hyperlink ref="B104" r:id="rId68" xr:uid="{DE5F940F-DFA6-4954-ABA1-2D4C7FE25EC4}"/>
    <hyperlink ref="B105" r:id="rId69" xr:uid="{DAF71F5C-5E55-41A7-B24A-782B015EED79}"/>
    <hyperlink ref="B106" r:id="rId70" xr:uid="{AEF4963D-99ED-48AE-9CDD-6A4AAAA8D52E}"/>
    <hyperlink ref="B107" r:id="rId71" xr:uid="{04244C9B-96C4-458C-9405-65FC8F9DE09C}"/>
    <hyperlink ref="B108" r:id="rId72" xr:uid="{0CCA2375-EBCE-49F5-89B6-68005CCA7F58}"/>
    <hyperlink ref="B109" r:id="rId73" xr:uid="{F2704863-A4FD-4104-824C-2142C67BB5A8}"/>
    <hyperlink ref="B110" r:id="rId74" xr:uid="{646912C6-C2A2-4906-B91B-5CC40C677185}"/>
    <hyperlink ref="B111" r:id="rId75" xr:uid="{AF5F3637-0B11-41C6-A038-09C1169DED8E}"/>
    <hyperlink ref="B112" r:id="rId76" xr:uid="{CF0795B9-AEC6-4178-8136-465D6313C096}"/>
    <hyperlink ref="B113" r:id="rId77" xr:uid="{DC70F321-B9C7-4787-8039-6CC53D89F585}"/>
    <hyperlink ref="B114" r:id="rId78" xr:uid="{AB995DE0-A5B3-4698-A433-8E3166BBA97A}"/>
    <hyperlink ref="B115" r:id="rId79" xr:uid="{99B03618-49F4-46EB-AB05-C9FC091B58F4}"/>
    <hyperlink ref="B116" r:id="rId80" xr:uid="{41A9272B-A50B-49D8-AA5E-87B8434F8414}"/>
    <hyperlink ref="B117" r:id="rId81" xr:uid="{295E60EF-3809-4B70-9F86-A7906CF9B80E}"/>
    <hyperlink ref="B118" r:id="rId82" xr:uid="{D62E9EB2-7E80-4A2F-AF28-440CA5516170}"/>
    <hyperlink ref="B119" r:id="rId83" xr:uid="{FFF9BC8B-F9AE-4CB4-A5F9-47FC52947369}"/>
    <hyperlink ref="B120" r:id="rId84" xr:uid="{457BC3F4-BC56-46E4-99F4-36913A4AFA5E}"/>
    <hyperlink ref="B121:B122" r:id="rId85" display="Progression to higher education or training" xr:uid="{577761C6-78FA-4B98-9BB2-D26E30FCA08D}"/>
    <hyperlink ref="B123" r:id="rId86" xr:uid="{34E14334-2869-498F-98F1-B3C01CF83E8B}"/>
    <hyperlink ref="B124:B125" r:id="rId87" display="Longer term destinations" xr:uid="{66ADD252-AE55-4C2E-BB72-ECE02D98D685}"/>
    <hyperlink ref="B126" r:id="rId88" xr:uid="{9EA137AD-BAE7-459F-83DB-A4846838B48C}"/>
    <hyperlink ref="B213" r:id="rId89" xr:uid="{39724B61-931B-4373-B07F-CCB4EE35CC9E}"/>
    <hyperlink ref="B214:B217" r:id="rId90" display="Career pathways: post-16 qualifications held by employees" xr:uid="{E7F546DA-FAD5-4785-B2CA-7002956C3F41}"/>
    <hyperlink ref="B240" r:id="rId91" xr:uid="{2ECD1EE4-FE0B-4A84-A68B-D7C0A2BF2F0A}"/>
    <hyperlink ref="B241:B249" r:id="rId92" display="Education and training statistics for the UK" xr:uid="{5FD59A43-D98A-4549-86CA-9BDD8CC1D286}"/>
    <hyperlink ref="B237" r:id="rId93" xr:uid="{3A0CEF36-999C-4659-B63E-93FDBE22855D}"/>
    <hyperlink ref="B238:B239" r:id="rId94" display="Employer Skills Survey" xr:uid="{ACAB604D-48E5-4304-B2A9-3D3426B84F56}"/>
    <hyperlink ref="B236" r:id="rId95" xr:uid="{472837C2-F589-4476-93BB-B873439D7FAE}"/>
    <hyperlink ref="B235" r:id="rId96" xr:uid="{715E07BA-4FBC-49CD-AD9F-672A3DC8008B}"/>
    <hyperlink ref="B209" r:id="rId97" xr:uid="{6A110E2A-5242-44ED-B5E8-F6EACB1EE4F9}"/>
    <hyperlink ref="B155" r:id="rId98" xr:uid="{1275AA10-A236-4174-984C-464FC55B2759}"/>
    <hyperlink ref="B156:B167" r:id="rId99" display="Widening participation in higher education" xr:uid="{7C8FED7E-180C-45C0-A0E2-7ED071AF2CE6}"/>
    <hyperlink ref="B127" r:id="rId100" xr:uid="{6F8AAF80-74C2-45BD-A66F-CA50803E2477}"/>
    <hyperlink ref="B128" r:id="rId101" xr:uid="{51DCE6F2-3A2E-40DC-B0A0-085234200935}"/>
    <hyperlink ref="B129" r:id="rId102" xr:uid="{2FBBE9DE-230C-4949-8A82-1F9106B4D43A}"/>
    <hyperlink ref="B130:B138" r:id="rId103" display="Participation measures in higher education" xr:uid="{F3245561-2B86-4E1B-BC26-55541A52BE1C}"/>
    <hyperlink ref="B218" r:id="rId104" xr:uid="{57326A5D-92DF-43CB-87E3-1B596C78D83F}"/>
    <hyperlink ref="B219:B234" r:id="rId105" display="Apprenticeships in England by industry characteristics" xr:uid="{FED20D39-2E0C-4329-8B18-2AAAF71380A5}"/>
    <hyperlink ref="D95" r:id="rId106" xr:uid="{C180BED3-E2A1-4F9F-B8E8-A8DF58333154}"/>
    <hyperlink ref="D83" r:id="rId107" xr:uid="{44F4D9AE-5073-436B-A4AE-DC81C465E072}"/>
    <hyperlink ref="D98" r:id="rId108" xr:uid="{18DF09F7-1126-4876-877F-797BC4E1380D}"/>
    <hyperlink ref="B139" r:id="rId109" xr:uid="{2AE9B8E9-C29E-4B61-AA31-F33E112C1D3D}"/>
    <hyperlink ref="B140" r:id="rId110" xr:uid="{BE2B0751-50BC-44A5-9171-216791FCB5CA}"/>
    <hyperlink ref="B141" r:id="rId111" xr:uid="{E12E953E-44F4-4703-BC17-13095C754125}"/>
    <hyperlink ref="B142" r:id="rId112" xr:uid="{02E93517-EB0D-46F8-A61D-F802D3B9FDF2}"/>
    <hyperlink ref="B143" r:id="rId113" xr:uid="{E5988B42-3BE1-4CF8-9BCE-7277B3067D71}"/>
    <hyperlink ref="B144" r:id="rId114" xr:uid="{8232106E-569E-40DC-83A9-2E0C0C5B468B}"/>
    <hyperlink ref="B145" r:id="rId115" xr:uid="{B45DC456-C60C-4D59-ABD6-BCBDED197F5F}"/>
    <hyperlink ref="B146" r:id="rId116" xr:uid="{977039F5-36F0-4729-85CC-E3B35C5A3495}"/>
    <hyperlink ref="B147" r:id="rId117" xr:uid="{D6C4CDAC-E23C-4598-A252-6C9D91797FFA}"/>
    <hyperlink ref="B148" r:id="rId118" xr:uid="{B739FFD4-9FF4-4AD7-835C-D55945D3EEAD}"/>
    <hyperlink ref="B149:B151" r:id="rId119" display="LEO Graduate outcomes provider level data" xr:uid="{064FBF41-3800-4087-8897-7EAC46836DB2}"/>
    <hyperlink ref="B152:B154" r:id="rId120" display="LEO Graduate outcomes provider level data" xr:uid="{98891200-BA67-455F-BAC8-265CE1092DF4}"/>
    <hyperlink ref="B168" r:id="rId121" xr:uid="{35C2C6AB-D09D-4636-B407-C55FE0B3BC74}"/>
    <hyperlink ref="B169:B196" r:id="rId122" display="Higher Level Learners in England" xr:uid="{C2017541-AF34-4A2C-9049-EF72B1598C85}"/>
    <hyperlink ref="B197" r:id="rId123" xr:uid="{1C50A692-F1EB-4140-8D09-BC36E3B8ABC7}"/>
    <hyperlink ref="B198:B208" r:id="rId124" display="Graduate labour market statistics" xr:uid="{DDC1081A-FB07-4113-9C7B-50F9ABB27E0D}"/>
    <hyperlink ref="B210" r:id="rId125" xr:uid="{227C6ACF-BBC4-48E2-B470-3687A65C202C}"/>
    <hyperlink ref="B211:B212" r:id="rId126" display="Detailed destinations of 16 to 18 year olds in Further Education" xr:uid="{8BBC89ED-B8C6-4B12-B315-D92CDD42F580}"/>
  </hyperlinks>
  <pageMargins left="0.7" right="0.7" top="0.75" bottom="0.75" header="0.3" footer="0.3"/>
  <legacyDrawing r:id="rId12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CA042-D901-4F09-9065-7EBCA57D080E}">
  <sheetPr codeName="Sheet3" filterMode="1"/>
  <dimension ref="A1:ADU249"/>
  <sheetViews>
    <sheetView workbookViewId="0">
      <selection activeCell="B3" sqref="B3"/>
    </sheetView>
  </sheetViews>
  <sheetFormatPr defaultColWidth="8.7265625" defaultRowHeight="14.5" x14ac:dyDescent="0.35"/>
  <cols>
    <col min="1" max="1" width="11.54296875" style="1" customWidth="1"/>
    <col min="2" max="3" width="11.1796875" style="1" customWidth="1"/>
    <col min="4" max="4" width="26.1796875" style="1" customWidth="1"/>
    <col min="5" max="11" width="8.7265625" style="1"/>
    <col min="12" max="12" width="7.453125" style="1" customWidth="1"/>
    <col min="13" max="16" width="8.7265625" style="1"/>
    <col min="17" max="17" width="6.1796875" style="1" customWidth="1"/>
    <col min="18" max="24" width="6" style="1" customWidth="1"/>
    <col min="25" max="29" width="8.7265625" style="1"/>
    <col min="30" max="31" width="7.54296875" style="1" customWidth="1"/>
    <col min="32" max="32" width="11.7265625" style="1" customWidth="1"/>
    <col min="33" max="34" width="8.7265625" style="1"/>
    <col min="35" max="36" width="7.81640625" style="1" customWidth="1"/>
    <col min="37" max="39" width="4.54296875" style="1" customWidth="1"/>
    <col min="40" max="41" width="7.1796875" style="1" customWidth="1"/>
    <col min="42" max="45" width="8.7265625" style="1" customWidth="1"/>
    <col min="46" max="46" width="5.7265625" style="1" customWidth="1"/>
    <col min="47" max="49" width="8.7265625" style="1" customWidth="1"/>
    <col min="50" max="50" width="5.1796875" style="1" customWidth="1"/>
    <col min="51" max="51" width="5.26953125" style="1" customWidth="1"/>
    <col min="52" max="55" width="5.81640625" style="1" customWidth="1"/>
    <col min="56" max="56" width="5.1796875" style="1" customWidth="1"/>
    <col min="57" max="59" width="5" style="1" customWidth="1"/>
    <col min="60" max="62" width="7.54296875" style="1" customWidth="1"/>
    <col min="63" max="63" width="5.26953125" style="1" customWidth="1"/>
    <col min="64" max="66" width="8.81640625" style="1" customWidth="1"/>
    <col min="67" max="79" width="8.7265625" style="1" customWidth="1"/>
    <col min="80" max="82" width="10" style="1" customWidth="1"/>
    <col min="83" max="83" width="5" style="1" customWidth="1"/>
    <col min="84" max="84" width="10" style="1" customWidth="1"/>
    <col min="85" max="85" width="6.453125" style="1" customWidth="1"/>
    <col min="86" max="86" width="7" style="1" customWidth="1"/>
    <col min="87" max="88" width="8.7265625" style="1" customWidth="1"/>
    <col min="89" max="90" width="6.81640625" style="1" customWidth="1"/>
    <col min="91" max="91" width="6" style="1" customWidth="1"/>
    <col min="92" max="94" width="11.54296875" style="1" customWidth="1"/>
    <col min="95" max="95" width="10.1796875" style="1" customWidth="1"/>
    <col min="96" max="99" width="8.7265625" style="1" customWidth="1"/>
    <col min="100" max="100" width="10.1796875" style="1" customWidth="1"/>
    <col min="101" max="101" width="12.453125" style="1" customWidth="1"/>
    <col min="102" max="102" width="7.26953125" style="1" customWidth="1"/>
    <col min="103" max="103" width="7.54296875" style="1" customWidth="1"/>
    <col min="104" max="104" width="5.453125" style="1" customWidth="1"/>
    <col min="105" max="105" width="8.1796875" style="1" customWidth="1"/>
    <col min="106" max="108" width="8.7265625" style="1" customWidth="1"/>
    <col min="109" max="109" width="10.54296875" style="1" customWidth="1"/>
    <col min="110" max="113" width="8.7265625" style="1" customWidth="1"/>
    <col min="114" max="114" width="10.1796875" style="1" customWidth="1"/>
    <col min="115" max="119" width="9.1796875" style="1" customWidth="1"/>
    <col min="120" max="133" width="8.7265625" style="1" customWidth="1"/>
    <col min="134" max="135" width="9.81640625" style="1" customWidth="1"/>
    <col min="136" max="136" width="8.7265625" style="1" customWidth="1"/>
    <col min="137" max="137" width="5.7265625" style="1" customWidth="1"/>
    <col min="138" max="138" width="8.7265625" style="1" customWidth="1"/>
    <col min="139" max="139" width="5.7265625" style="1" customWidth="1"/>
    <col min="140" max="142" width="8.7265625" style="1" customWidth="1"/>
    <col min="143" max="143" width="6.1796875" style="1" customWidth="1"/>
    <col min="144" max="144" width="8.7265625" style="1" customWidth="1"/>
    <col min="145" max="145" width="12.26953125" style="1" customWidth="1"/>
    <col min="146" max="166" width="8.7265625" style="1" customWidth="1"/>
    <col min="167" max="167" width="5.54296875" style="1" customWidth="1"/>
    <col min="168" max="168" width="7.453125" style="1" customWidth="1"/>
    <col min="169" max="173" width="9.54296875" style="1" customWidth="1"/>
    <col min="174" max="174" width="6.26953125" style="1" customWidth="1"/>
    <col min="175" max="175" width="5.7265625" style="1" customWidth="1"/>
    <col min="176" max="176" width="7.7265625" style="1" customWidth="1"/>
    <col min="177" max="177" width="5.81640625" style="1" customWidth="1"/>
    <col min="178" max="178" width="5.26953125" style="1" customWidth="1"/>
    <col min="179" max="179" width="8.7265625" style="1" customWidth="1"/>
    <col min="180" max="181" width="5.1796875" style="1" customWidth="1"/>
    <col min="182" max="182" width="8.26953125" style="1" customWidth="1"/>
    <col min="183" max="184" width="8.7265625" style="1" customWidth="1"/>
    <col min="185" max="185" width="9.81640625" style="1" customWidth="1"/>
    <col min="186" max="190" width="8.7265625" style="1" customWidth="1"/>
    <col min="191" max="191" width="7" style="1" customWidth="1"/>
    <col min="192" max="192" width="8" style="1" customWidth="1"/>
    <col min="193" max="193" width="7.54296875" style="1" customWidth="1"/>
    <col min="194" max="194" width="7.453125" style="1" customWidth="1"/>
    <col min="195" max="195" width="7.26953125" style="1" customWidth="1"/>
    <col min="196" max="196" width="7" style="1" customWidth="1"/>
    <col min="197" max="197" width="3.453125" style="1" customWidth="1"/>
    <col min="198" max="199" width="10.26953125" style="1" customWidth="1"/>
    <col min="200" max="215" width="8.7265625" style="1" customWidth="1"/>
    <col min="216" max="216" width="4.7265625" style="1" customWidth="1"/>
    <col min="217" max="217" width="4.54296875" style="1" customWidth="1"/>
    <col min="218" max="235" width="8.7265625" style="1" customWidth="1"/>
    <col min="236" max="236" width="11.54296875" style="1" customWidth="1"/>
    <col min="237" max="238" width="8.7265625" style="1" customWidth="1"/>
    <col min="239" max="239" width="10.1796875" style="1" customWidth="1"/>
    <col min="240" max="240" width="9.54296875" style="1" customWidth="1"/>
    <col min="241" max="684" width="8.7265625" style="1" customWidth="1"/>
    <col min="685" max="685" width="9.1796875" customWidth="1"/>
    <col min="686" max="803" width="8.7265625" style="1" customWidth="1"/>
    <col min="804" max="16384" width="8.7265625" style="1"/>
  </cols>
  <sheetData>
    <row r="1" spans="1:801" ht="145" x14ac:dyDescent="0.35">
      <c r="D1" s="1" t="s">
        <v>2290</v>
      </c>
      <c r="E1" s="1" t="s">
        <v>138</v>
      </c>
      <c r="F1" s="1" t="s">
        <v>139</v>
      </c>
      <c r="G1" s="1" t="s">
        <v>140</v>
      </c>
      <c r="H1" s="1" t="s">
        <v>141</v>
      </c>
      <c r="I1" s="1" t="s">
        <v>142</v>
      </c>
      <c r="J1" s="1" t="s">
        <v>143</v>
      </c>
      <c r="K1" s="1" t="s">
        <v>144</v>
      </c>
      <c r="L1" s="1" t="s">
        <v>145</v>
      </c>
      <c r="M1" s="1" t="s">
        <v>146</v>
      </c>
      <c r="N1" s="1" t="s">
        <v>147</v>
      </c>
      <c r="O1" s="1" t="s">
        <v>148</v>
      </c>
      <c r="P1" s="1" t="s">
        <v>149</v>
      </c>
      <c r="Q1" s="1" t="s">
        <v>150</v>
      </c>
      <c r="R1" s="1" t="s">
        <v>151</v>
      </c>
      <c r="S1" s="1" t="s">
        <v>152</v>
      </c>
      <c r="T1" s="1" t="s">
        <v>153</v>
      </c>
      <c r="U1" s="1" t="s">
        <v>154</v>
      </c>
      <c r="V1" s="1" t="s">
        <v>155</v>
      </c>
      <c r="W1" s="1" t="s">
        <v>156</v>
      </c>
      <c r="X1" s="1" t="s">
        <v>157</v>
      </c>
      <c r="Y1" s="1" t="s">
        <v>158</v>
      </c>
      <c r="Z1" s="1" t="s">
        <v>159</v>
      </c>
      <c r="AA1" s="1" t="s">
        <v>160</v>
      </c>
      <c r="AB1" s="1" t="s">
        <v>161</v>
      </c>
      <c r="AC1" s="1" t="s">
        <v>162</v>
      </c>
      <c r="AD1" s="1" t="s">
        <v>163</v>
      </c>
      <c r="AE1" s="1" t="s">
        <v>164</v>
      </c>
      <c r="AF1" s="1" t="s">
        <v>165</v>
      </c>
      <c r="AG1" s="1" t="s">
        <v>166</v>
      </c>
      <c r="AH1" s="1" t="s">
        <v>167</v>
      </c>
      <c r="AI1" s="1" t="s">
        <v>168</v>
      </c>
      <c r="AJ1" s="1" t="s">
        <v>169</v>
      </c>
      <c r="AK1" s="1" t="s">
        <v>170</v>
      </c>
      <c r="AL1" s="1" t="s">
        <v>171</v>
      </c>
      <c r="AM1" s="1" t="s">
        <v>172</v>
      </c>
      <c r="AN1" s="1" t="s">
        <v>173</v>
      </c>
      <c r="AO1" s="1" t="s">
        <v>174</v>
      </c>
      <c r="AP1" s="1" t="s">
        <v>2238</v>
      </c>
      <c r="AQ1" s="1" t="s">
        <v>176</v>
      </c>
      <c r="AR1" s="1" t="s">
        <v>177</v>
      </c>
      <c r="AS1" s="1" t="s">
        <v>178</v>
      </c>
      <c r="AT1" s="1" t="s">
        <v>179</v>
      </c>
      <c r="AU1" s="1" t="s">
        <v>180</v>
      </c>
      <c r="AV1" s="1" t="s">
        <v>181</v>
      </c>
      <c r="AW1" s="1" t="s">
        <v>182</v>
      </c>
      <c r="AX1" s="1" t="s">
        <v>183</v>
      </c>
      <c r="AY1" s="1" t="s">
        <v>184</v>
      </c>
      <c r="AZ1" s="1" t="s">
        <v>185</v>
      </c>
      <c r="BA1" s="1" t="s">
        <v>186</v>
      </c>
      <c r="BB1" s="1" t="s">
        <v>187</v>
      </c>
      <c r="BC1" s="1" t="s">
        <v>188</v>
      </c>
      <c r="BD1" s="1" t="s">
        <v>189</v>
      </c>
      <c r="BE1" s="1" t="s">
        <v>190</v>
      </c>
      <c r="BF1" s="1" t="s">
        <v>191</v>
      </c>
      <c r="BG1" s="1" t="s">
        <v>192</v>
      </c>
      <c r="BH1" s="1" t="s">
        <v>193</v>
      </c>
      <c r="BI1" s="1" t="s">
        <v>194</v>
      </c>
      <c r="BJ1" s="1" t="s">
        <v>195</v>
      </c>
      <c r="BK1" s="1" t="s">
        <v>196</v>
      </c>
      <c r="BL1" s="1" t="s">
        <v>197</v>
      </c>
      <c r="BM1" s="1" t="s">
        <v>198</v>
      </c>
      <c r="BN1" s="1" t="s">
        <v>199</v>
      </c>
      <c r="BO1" s="1" t="s">
        <v>2239</v>
      </c>
      <c r="BP1" s="1" t="s">
        <v>201</v>
      </c>
      <c r="BQ1" s="1" t="s">
        <v>202</v>
      </c>
      <c r="BR1" s="1" t="s">
        <v>203</v>
      </c>
      <c r="BS1" s="1" t="s">
        <v>204</v>
      </c>
      <c r="BT1" s="1" t="s">
        <v>205</v>
      </c>
      <c r="BU1" s="1" t="s">
        <v>206</v>
      </c>
      <c r="BV1" s="1" t="s">
        <v>207</v>
      </c>
      <c r="BW1" s="1" t="s">
        <v>208</v>
      </c>
      <c r="BX1" s="1" t="s">
        <v>209</v>
      </c>
      <c r="BY1" s="1" t="s">
        <v>210</v>
      </c>
      <c r="BZ1" s="1" t="s">
        <v>211</v>
      </c>
      <c r="CA1" s="1" t="s">
        <v>212</v>
      </c>
      <c r="CB1" s="1" t="s">
        <v>213</v>
      </c>
      <c r="CC1" s="1" t="s">
        <v>214</v>
      </c>
      <c r="CD1" s="1" t="s">
        <v>2240</v>
      </c>
      <c r="CE1" s="1" t="s">
        <v>2241</v>
      </c>
      <c r="CF1" s="1" t="s">
        <v>2242</v>
      </c>
      <c r="CG1" s="1" t="s">
        <v>218</v>
      </c>
      <c r="CH1" s="1" t="s">
        <v>219</v>
      </c>
      <c r="CI1" s="1" t="s">
        <v>220</v>
      </c>
      <c r="CJ1" s="1" t="s">
        <v>2244</v>
      </c>
      <c r="CK1" s="1" t="s">
        <v>223</v>
      </c>
      <c r="CL1" s="1" t="s">
        <v>224</v>
      </c>
      <c r="CM1" s="1" t="s">
        <v>225</v>
      </c>
      <c r="CN1" s="1" t="s">
        <v>226</v>
      </c>
      <c r="CO1" s="1" t="s">
        <v>227</v>
      </c>
      <c r="CP1" s="1" t="s">
        <v>228</v>
      </c>
      <c r="CQ1" s="1" t="s">
        <v>229</v>
      </c>
      <c r="CR1" s="1" t="s">
        <v>230</v>
      </c>
      <c r="CS1" s="1" t="s">
        <v>231</v>
      </c>
      <c r="CT1" s="1" t="s">
        <v>232</v>
      </c>
      <c r="CU1" s="1" t="s">
        <v>233</v>
      </c>
      <c r="CV1" s="1" t="s">
        <v>234</v>
      </c>
      <c r="CW1" s="1" t="s">
        <v>235</v>
      </c>
      <c r="CX1" s="1" t="s">
        <v>236</v>
      </c>
      <c r="CY1" s="1" t="s">
        <v>237</v>
      </c>
      <c r="CZ1" s="1" t="s">
        <v>238</v>
      </c>
      <c r="DA1" s="1" t="s">
        <v>239</v>
      </c>
      <c r="DB1" s="1" t="s">
        <v>240</v>
      </c>
      <c r="DC1" s="1" t="s">
        <v>241</v>
      </c>
      <c r="DD1" s="1" t="s">
        <v>242</v>
      </c>
      <c r="DE1" s="1" t="s">
        <v>243</v>
      </c>
      <c r="DF1" s="1" t="s">
        <v>244</v>
      </c>
      <c r="DG1" s="1" t="s">
        <v>245</v>
      </c>
      <c r="DH1" s="1" t="s">
        <v>246</v>
      </c>
      <c r="DI1" s="1" t="s">
        <v>247</v>
      </c>
      <c r="DJ1" s="1" t="s">
        <v>248</v>
      </c>
      <c r="DK1" s="1" t="s">
        <v>249</v>
      </c>
      <c r="DL1" s="1" t="s">
        <v>250</v>
      </c>
      <c r="DM1" s="1" t="s">
        <v>251</v>
      </c>
      <c r="DN1" s="1" t="s">
        <v>253</v>
      </c>
      <c r="DO1" s="1" t="s">
        <v>254</v>
      </c>
      <c r="DP1" s="1" t="s">
        <v>255</v>
      </c>
      <c r="DQ1" s="1" t="s">
        <v>256</v>
      </c>
      <c r="DR1" s="1" t="s">
        <v>2245</v>
      </c>
      <c r="DS1" s="1" t="s">
        <v>2246</v>
      </c>
      <c r="DT1" s="1" t="s">
        <v>2247</v>
      </c>
      <c r="DU1" s="1" t="s">
        <v>2248</v>
      </c>
      <c r="DV1" s="1" t="s">
        <v>261</v>
      </c>
      <c r="DW1" s="1" t="s">
        <v>262</v>
      </c>
      <c r="DX1" s="1" t="s">
        <v>263</v>
      </c>
      <c r="DY1" s="1" t="s">
        <v>264</v>
      </c>
      <c r="DZ1" s="1" t="s">
        <v>265</v>
      </c>
      <c r="EA1" s="1" t="s">
        <v>266</v>
      </c>
      <c r="EB1" s="1" t="s">
        <v>267</v>
      </c>
      <c r="EC1" s="1" t="s">
        <v>268</v>
      </c>
      <c r="ED1" s="1" t="s">
        <v>269</v>
      </c>
      <c r="EE1" s="1" t="s">
        <v>270</v>
      </c>
      <c r="EF1" s="1" t="s">
        <v>271</v>
      </c>
      <c r="EG1" s="1" t="s">
        <v>272</v>
      </c>
      <c r="EH1" s="1" t="s">
        <v>273</v>
      </c>
      <c r="EI1" s="1" t="s">
        <v>274</v>
      </c>
      <c r="EJ1" s="1" t="s">
        <v>275</v>
      </c>
      <c r="EK1" s="1" t="s">
        <v>276</v>
      </c>
      <c r="EL1" s="1" t="s">
        <v>277</v>
      </c>
      <c r="EM1" s="1" t="s">
        <v>278</v>
      </c>
      <c r="EN1" s="1" t="s">
        <v>279</v>
      </c>
      <c r="EO1" s="1" t="s">
        <v>280</v>
      </c>
      <c r="EP1" s="1" t="s">
        <v>281</v>
      </c>
      <c r="EQ1" s="1" t="s">
        <v>282</v>
      </c>
      <c r="ER1" s="1" t="s">
        <v>283</v>
      </c>
      <c r="ES1" s="1" t="s">
        <v>284</v>
      </c>
      <c r="ET1" s="1" t="s">
        <v>285</v>
      </c>
      <c r="EU1" s="1" t="s">
        <v>286</v>
      </c>
      <c r="EV1" s="1" t="s">
        <v>287</v>
      </c>
      <c r="EW1" s="1" t="s">
        <v>288</v>
      </c>
      <c r="EX1" s="1" t="s">
        <v>289</v>
      </c>
      <c r="EY1" s="1" t="s">
        <v>290</v>
      </c>
      <c r="EZ1" s="1" t="s">
        <v>291</v>
      </c>
      <c r="FA1" s="1" t="s">
        <v>292</v>
      </c>
      <c r="FB1" s="1" t="s">
        <v>293</v>
      </c>
      <c r="FC1" s="1" t="s">
        <v>294</v>
      </c>
      <c r="FD1" s="1" t="s">
        <v>295</v>
      </c>
      <c r="FE1" s="1" t="s">
        <v>296</v>
      </c>
      <c r="FF1" s="1" t="s">
        <v>297</v>
      </c>
      <c r="FG1" s="1" t="s">
        <v>298</v>
      </c>
      <c r="FH1" s="1" t="s">
        <v>299</v>
      </c>
      <c r="FI1" s="1" t="s">
        <v>300</v>
      </c>
      <c r="FJ1" s="1" t="s">
        <v>2249</v>
      </c>
      <c r="FK1" s="1" t="s">
        <v>302</v>
      </c>
      <c r="FL1" s="1" t="s">
        <v>303</v>
      </c>
      <c r="FM1" s="1" t="s">
        <v>304</v>
      </c>
      <c r="FN1" s="1" t="s">
        <v>305</v>
      </c>
      <c r="FO1" s="1" t="s">
        <v>306</v>
      </c>
      <c r="FP1" s="1" t="s">
        <v>307</v>
      </c>
      <c r="FQ1" s="1" t="s">
        <v>308</v>
      </c>
      <c r="FR1" s="1" t="s">
        <v>309</v>
      </c>
      <c r="FS1" s="1" t="s">
        <v>310</v>
      </c>
      <c r="FT1" s="1" t="s">
        <v>311</v>
      </c>
      <c r="FU1" s="1" t="s">
        <v>312</v>
      </c>
      <c r="FV1" s="1" t="s">
        <v>313</v>
      </c>
      <c r="FW1" s="1" t="s">
        <v>314</v>
      </c>
      <c r="FX1" s="1" t="s">
        <v>315</v>
      </c>
      <c r="FY1" s="1" t="s">
        <v>316</v>
      </c>
      <c r="FZ1" s="1" t="s">
        <v>317</v>
      </c>
      <c r="GA1" s="1" t="s">
        <v>318</v>
      </c>
      <c r="GB1" s="1" t="s">
        <v>319</v>
      </c>
      <c r="GC1" s="1" t="s">
        <v>320</v>
      </c>
      <c r="GD1" s="1" t="s">
        <v>321</v>
      </c>
      <c r="GE1" s="1" t="s">
        <v>322</v>
      </c>
      <c r="GF1" s="1" t="s">
        <v>323</v>
      </c>
      <c r="GG1" s="1" t="s">
        <v>324</v>
      </c>
      <c r="GH1" s="1" t="s">
        <v>325</v>
      </c>
      <c r="GI1" s="1" t="s">
        <v>326</v>
      </c>
      <c r="GJ1" s="1" t="s">
        <v>327</v>
      </c>
      <c r="GK1" s="1" t="s">
        <v>328</v>
      </c>
      <c r="GL1" s="1" t="s">
        <v>329</v>
      </c>
      <c r="GM1" s="1" t="s">
        <v>330</v>
      </c>
      <c r="GN1" s="1" t="s">
        <v>331</v>
      </c>
      <c r="GO1" s="1" t="s">
        <v>332</v>
      </c>
      <c r="GP1" s="1" t="s">
        <v>333</v>
      </c>
      <c r="GQ1" s="1" t="s">
        <v>334</v>
      </c>
      <c r="GR1" s="1" t="s">
        <v>335</v>
      </c>
      <c r="GS1" s="1" t="s">
        <v>336</v>
      </c>
      <c r="GT1" s="1" t="s">
        <v>337</v>
      </c>
      <c r="GU1" s="1" t="s">
        <v>338</v>
      </c>
      <c r="GV1" s="1" t="s">
        <v>339</v>
      </c>
      <c r="GW1" s="1" t="s">
        <v>340</v>
      </c>
      <c r="GX1" s="1" t="s">
        <v>341</v>
      </c>
      <c r="GY1" s="1" t="s">
        <v>342</v>
      </c>
      <c r="GZ1" s="1" t="s">
        <v>343</v>
      </c>
      <c r="HA1" s="1" t="s">
        <v>344</v>
      </c>
      <c r="HB1" s="1" t="s">
        <v>345</v>
      </c>
      <c r="HC1" s="1" t="s">
        <v>346</v>
      </c>
      <c r="HD1" s="1" t="s">
        <v>347</v>
      </c>
      <c r="HE1" s="1" t="s">
        <v>348</v>
      </c>
      <c r="HF1" s="1" t="s">
        <v>349</v>
      </c>
      <c r="HG1" s="1" t="s">
        <v>350</v>
      </c>
      <c r="HH1" s="1" t="s">
        <v>351</v>
      </c>
      <c r="HI1" s="1" t="s">
        <v>352</v>
      </c>
      <c r="HJ1" s="1" t="s">
        <v>353</v>
      </c>
      <c r="HK1" s="1" t="s">
        <v>354</v>
      </c>
      <c r="HL1" s="1" t="s">
        <v>355</v>
      </c>
      <c r="HM1" s="1" t="s">
        <v>356</v>
      </c>
      <c r="HN1" s="1" t="s">
        <v>357</v>
      </c>
      <c r="HO1" s="1" t="s">
        <v>358</v>
      </c>
      <c r="HP1" s="1" t="s">
        <v>359</v>
      </c>
      <c r="HQ1" s="1" t="s">
        <v>360</v>
      </c>
      <c r="HR1" s="1" t="s">
        <v>361</v>
      </c>
      <c r="HS1" s="1" t="s">
        <v>362</v>
      </c>
      <c r="HT1" s="1" t="s">
        <v>363</v>
      </c>
      <c r="HU1" s="1" t="s">
        <v>364</v>
      </c>
      <c r="HV1" s="1" t="s">
        <v>365</v>
      </c>
      <c r="HW1" s="1" t="s">
        <v>366</v>
      </c>
      <c r="HX1" s="1" t="s">
        <v>367</v>
      </c>
      <c r="HY1" s="1" t="s">
        <v>368</v>
      </c>
      <c r="HZ1" s="1" t="s">
        <v>369</v>
      </c>
      <c r="IA1" s="1" t="s">
        <v>370</v>
      </c>
      <c r="IB1" s="1" t="s">
        <v>371</v>
      </c>
      <c r="IC1" s="1" t="s">
        <v>372</v>
      </c>
      <c r="ID1" s="1" t="s">
        <v>373</v>
      </c>
      <c r="IE1" s="1" t="s">
        <v>374</v>
      </c>
      <c r="IF1" s="1" t="s">
        <v>375</v>
      </c>
      <c r="IG1" s="1" t="s">
        <v>376</v>
      </c>
      <c r="IH1" s="1" t="s">
        <v>377</v>
      </c>
      <c r="II1" s="1" t="s">
        <v>378</v>
      </c>
      <c r="IJ1" s="1" t="s">
        <v>379</v>
      </c>
      <c r="IK1" s="1" t="s">
        <v>380</v>
      </c>
      <c r="IL1" s="1" t="s">
        <v>381</v>
      </c>
      <c r="IM1" s="1" t="s">
        <v>382</v>
      </c>
      <c r="IN1" s="1" t="s">
        <v>383</v>
      </c>
      <c r="IO1" s="1" t="s">
        <v>384</v>
      </c>
      <c r="IP1" s="1" t="s">
        <v>385</v>
      </c>
      <c r="IQ1" s="1" t="s">
        <v>386</v>
      </c>
      <c r="IR1" s="1" t="s">
        <v>387</v>
      </c>
      <c r="IS1" s="1" t="s">
        <v>388</v>
      </c>
      <c r="IT1" s="1" t="s">
        <v>389</v>
      </c>
      <c r="IU1" s="1" t="s">
        <v>390</v>
      </c>
      <c r="IV1" s="1" t="s">
        <v>391</v>
      </c>
      <c r="IW1" s="1" t="s">
        <v>392</v>
      </c>
      <c r="IX1" s="1" t="s">
        <v>393</v>
      </c>
      <c r="IY1" s="1" t="s">
        <v>394</v>
      </c>
      <c r="IZ1" s="1" t="s">
        <v>395</v>
      </c>
      <c r="JA1" s="1" t="s">
        <v>396</v>
      </c>
      <c r="JB1" s="1" t="s">
        <v>397</v>
      </c>
      <c r="JC1" s="1" t="s">
        <v>398</v>
      </c>
      <c r="JD1" s="1" t="s">
        <v>399</v>
      </c>
      <c r="JE1" s="1" t="s">
        <v>400</v>
      </c>
      <c r="JF1" s="1" t="s">
        <v>401</v>
      </c>
      <c r="JG1" s="1" t="s">
        <v>2250</v>
      </c>
      <c r="JH1" s="1" t="s">
        <v>2251</v>
      </c>
      <c r="JI1" s="1" t="s">
        <v>404</v>
      </c>
      <c r="JJ1" s="1" t="s">
        <v>405</v>
      </c>
      <c r="JK1" s="1" t="s">
        <v>406</v>
      </c>
      <c r="JL1" s="1" t="s">
        <v>407</v>
      </c>
      <c r="JM1" s="1" t="s">
        <v>408</v>
      </c>
      <c r="JN1" s="1" t="s">
        <v>409</v>
      </c>
      <c r="JO1" s="1" t="s">
        <v>410</v>
      </c>
      <c r="JP1" s="1" t="s">
        <v>411</v>
      </c>
      <c r="JQ1" s="1" t="s">
        <v>412</v>
      </c>
      <c r="JR1" s="1" t="s">
        <v>413</v>
      </c>
      <c r="JS1" s="1" t="s">
        <v>414</v>
      </c>
      <c r="JT1" s="1" t="s">
        <v>415</v>
      </c>
      <c r="JU1" s="1" t="s">
        <v>416</v>
      </c>
      <c r="JV1" s="1" t="s">
        <v>417</v>
      </c>
      <c r="JW1" s="1" t="s">
        <v>418</v>
      </c>
      <c r="JX1" s="1" t="s">
        <v>419</v>
      </c>
      <c r="JY1" s="1" t="s">
        <v>420</v>
      </c>
      <c r="JZ1" s="1" t="s">
        <v>421</v>
      </c>
      <c r="KA1" s="1" t="s">
        <v>422</v>
      </c>
      <c r="KB1" s="1" t="s">
        <v>423</v>
      </c>
      <c r="KC1" s="1" t="s">
        <v>424</v>
      </c>
      <c r="KD1" s="1" t="s">
        <v>425</v>
      </c>
      <c r="KE1" s="1" t="s">
        <v>426</v>
      </c>
      <c r="KF1" s="1" t="s">
        <v>427</v>
      </c>
      <c r="KG1" s="1" t="s">
        <v>428</v>
      </c>
      <c r="KH1" s="1" t="s">
        <v>429</v>
      </c>
      <c r="KI1" s="1" t="s">
        <v>430</v>
      </c>
      <c r="KJ1" s="1" t="s">
        <v>431</v>
      </c>
      <c r="KK1" s="1" t="s">
        <v>432</v>
      </c>
      <c r="KL1" s="1" t="s">
        <v>433</v>
      </c>
      <c r="KM1" s="1" t="s">
        <v>434</v>
      </c>
      <c r="KN1" s="1" t="s">
        <v>435</v>
      </c>
      <c r="KO1" s="1" t="s">
        <v>436</v>
      </c>
      <c r="KP1" s="1" t="s">
        <v>437</v>
      </c>
      <c r="KQ1" s="1" t="s">
        <v>438</v>
      </c>
      <c r="KR1" s="1" t="s">
        <v>439</v>
      </c>
      <c r="KS1" s="1" t="s">
        <v>440</v>
      </c>
      <c r="KT1" s="1" t="s">
        <v>441</v>
      </c>
      <c r="KU1" s="1" t="s">
        <v>442</v>
      </c>
      <c r="KV1" s="1" t="s">
        <v>443</v>
      </c>
      <c r="KW1" s="1" t="s">
        <v>444</v>
      </c>
      <c r="KX1" s="1" t="s">
        <v>445</v>
      </c>
      <c r="KY1" s="1" t="s">
        <v>446</v>
      </c>
      <c r="KZ1" s="1" t="s">
        <v>447</v>
      </c>
      <c r="LA1" s="1" t="s">
        <v>448</v>
      </c>
      <c r="LB1" s="1" t="s">
        <v>449</v>
      </c>
      <c r="LC1" s="1" t="s">
        <v>450</v>
      </c>
      <c r="LD1" s="1" t="s">
        <v>451</v>
      </c>
      <c r="LE1" s="1" t="s">
        <v>452</v>
      </c>
      <c r="LF1" s="1" t="s">
        <v>453</v>
      </c>
      <c r="LG1" s="1" t="s">
        <v>454</v>
      </c>
      <c r="LH1" s="1" t="s">
        <v>455</v>
      </c>
      <c r="LI1" s="1" t="s">
        <v>456</v>
      </c>
      <c r="LJ1" s="1" t="s">
        <v>457</v>
      </c>
      <c r="LK1" s="1" t="s">
        <v>458</v>
      </c>
      <c r="LL1" s="1" t="s">
        <v>459</v>
      </c>
      <c r="LM1" s="1" t="s">
        <v>460</v>
      </c>
      <c r="LN1" s="1" t="s">
        <v>461</v>
      </c>
      <c r="LO1" s="1" t="s">
        <v>462</v>
      </c>
      <c r="LP1" s="1" t="s">
        <v>463</v>
      </c>
      <c r="LQ1" s="1" t="s">
        <v>464</v>
      </c>
      <c r="LR1" s="1" t="s">
        <v>465</v>
      </c>
      <c r="LS1" s="1" t="s">
        <v>466</v>
      </c>
      <c r="LT1" s="1" t="s">
        <v>467</v>
      </c>
      <c r="LU1" s="1" t="s">
        <v>468</v>
      </c>
      <c r="LV1" s="1" t="s">
        <v>469</v>
      </c>
      <c r="LW1" s="1" t="s">
        <v>470</v>
      </c>
      <c r="LX1" s="1" t="s">
        <v>471</v>
      </c>
      <c r="LY1" s="1" t="s">
        <v>472</v>
      </c>
      <c r="LZ1" s="1" t="s">
        <v>473</v>
      </c>
      <c r="MA1" s="1" t="s">
        <v>474</v>
      </c>
      <c r="MB1" s="1" t="s">
        <v>475</v>
      </c>
      <c r="MC1" s="1" t="s">
        <v>476</v>
      </c>
      <c r="MD1" s="1" t="s">
        <v>477</v>
      </c>
      <c r="ME1" s="1" t="s">
        <v>478</v>
      </c>
      <c r="MF1" s="1" t="s">
        <v>479</v>
      </c>
      <c r="MG1" s="1" t="s">
        <v>480</v>
      </c>
      <c r="MH1" s="1" t="s">
        <v>481</v>
      </c>
      <c r="MI1" s="1" t="s">
        <v>482</v>
      </c>
      <c r="MJ1" s="1" t="s">
        <v>483</v>
      </c>
      <c r="MK1" s="1" t="s">
        <v>484</v>
      </c>
      <c r="ML1" s="1" t="s">
        <v>485</v>
      </c>
      <c r="MM1" s="1" t="s">
        <v>486</v>
      </c>
      <c r="MN1" s="1" t="s">
        <v>487</v>
      </c>
      <c r="MO1" s="1" t="s">
        <v>488</v>
      </c>
      <c r="MP1" s="1" t="s">
        <v>489</v>
      </c>
      <c r="MQ1" s="1" t="s">
        <v>490</v>
      </c>
      <c r="MR1" s="1" t="s">
        <v>491</v>
      </c>
      <c r="MS1" s="1" t="s">
        <v>492</v>
      </c>
      <c r="MT1" s="1" t="s">
        <v>493</v>
      </c>
      <c r="MU1" s="1" t="s">
        <v>494</v>
      </c>
      <c r="MV1" s="1" t="s">
        <v>495</v>
      </c>
      <c r="MW1" s="1" t="s">
        <v>496</v>
      </c>
      <c r="MX1" s="1" t="s">
        <v>497</v>
      </c>
      <c r="MY1" s="1" t="s">
        <v>498</v>
      </c>
      <c r="MZ1" s="1" t="s">
        <v>499</v>
      </c>
      <c r="NA1" s="1" t="s">
        <v>500</v>
      </c>
      <c r="NB1" s="1" t="s">
        <v>501</v>
      </c>
      <c r="NC1" s="1" t="s">
        <v>502</v>
      </c>
      <c r="ND1" s="1" t="s">
        <v>503</v>
      </c>
      <c r="NE1" s="1" t="s">
        <v>504</v>
      </c>
      <c r="NF1" s="1" t="s">
        <v>505</v>
      </c>
      <c r="NG1" s="1" t="s">
        <v>506</v>
      </c>
      <c r="NH1" s="1" t="s">
        <v>507</v>
      </c>
      <c r="NI1" s="1" t="s">
        <v>508</v>
      </c>
      <c r="NJ1" s="1" t="s">
        <v>509</v>
      </c>
      <c r="NK1" s="1" t="s">
        <v>510</v>
      </c>
      <c r="NL1" s="1" t="s">
        <v>511</v>
      </c>
      <c r="NM1" s="1" t="s">
        <v>512</v>
      </c>
      <c r="NN1" s="1" t="s">
        <v>513</v>
      </c>
      <c r="NO1" s="1" t="s">
        <v>2252</v>
      </c>
      <c r="NP1" s="1" t="s">
        <v>515</v>
      </c>
      <c r="NQ1" s="1" t="s">
        <v>516</v>
      </c>
      <c r="NR1" s="1" t="s">
        <v>517</v>
      </c>
      <c r="NS1" s="1" t="s">
        <v>518</v>
      </c>
      <c r="NT1" s="1" t="s">
        <v>519</v>
      </c>
      <c r="NU1" s="1" t="s">
        <v>520</v>
      </c>
      <c r="NV1" s="1" t="s">
        <v>521</v>
      </c>
      <c r="NW1" s="1" t="s">
        <v>522</v>
      </c>
      <c r="NX1" s="1" t="s">
        <v>523</v>
      </c>
      <c r="NY1" s="1" t="s">
        <v>524</v>
      </c>
      <c r="NZ1" s="1" t="s">
        <v>525</v>
      </c>
      <c r="OA1" s="1" t="s">
        <v>526</v>
      </c>
      <c r="OB1" s="1" t="s">
        <v>527</v>
      </c>
      <c r="OC1" s="1" t="s">
        <v>528</v>
      </c>
      <c r="OD1" s="1" t="s">
        <v>529</v>
      </c>
      <c r="OE1" s="1" t="s">
        <v>530</v>
      </c>
      <c r="OF1" s="1" t="s">
        <v>531</v>
      </c>
      <c r="OG1" s="1" t="s">
        <v>532</v>
      </c>
      <c r="OH1" s="1" t="s">
        <v>533</v>
      </c>
      <c r="OI1" s="1" t="s">
        <v>534</v>
      </c>
      <c r="OJ1" s="1" t="s">
        <v>535</v>
      </c>
      <c r="OK1" s="1" t="s">
        <v>536</v>
      </c>
      <c r="OL1" s="1" t="s">
        <v>537</v>
      </c>
      <c r="OM1" s="1" t="s">
        <v>538</v>
      </c>
      <c r="ON1" s="1" t="s">
        <v>539</v>
      </c>
      <c r="OO1" s="1" t="s">
        <v>540</v>
      </c>
      <c r="OP1" s="1" t="s">
        <v>541</v>
      </c>
      <c r="OQ1" s="1" t="s">
        <v>542</v>
      </c>
      <c r="OR1" s="1" t="s">
        <v>543</v>
      </c>
      <c r="OS1" s="1" t="s">
        <v>544</v>
      </c>
      <c r="OT1" s="1" t="s">
        <v>545</v>
      </c>
      <c r="OU1" s="1" t="s">
        <v>546</v>
      </c>
      <c r="OV1" s="1" t="s">
        <v>547</v>
      </c>
      <c r="OW1" s="1" t="s">
        <v>548</v>
      </c>
      <c r="OX1" s="1" t="s">
        <v>549</v>
      </c>
      <c r="OY1" s="1" t="s">
        <v>550</v>
      </c>
      <c r="OZ1" s="1" t="s">
        <v>551</v>
      </c>
      <c r="PA1" s="1" t="s">
        <v>552</v>
      </c>
      <c r="PB1" s="1" t="s">
        <v>553</v>
      </c>
      <c r="PC1" s="1" t="s">
        <v>554</v>
      </c>
      <c r="PD1" s="1" t="s">
        <v>555</v>
      </c>
      <c r="PE1" s="1" t="s">
        <v>556</v>
      </c>
      <c r="PF1" s="1" t="s">
        <v>557</v>
      </c>
      <c r="PG1" s="1" t="s">
        <v>558</v>
      </c>
      <c r="PH1" s="1" t="s">
        <v>559</v>
      </c>
      <c r="PI1" s="1" t="s">
        <v>560</v>
      </c>
      <c r="PJ1" s="1" t="s">
        <v>561</v>
      </c>
      <c r="PK1" s="1" t="s">
        <v>562</v>
      </c>
      <c r="PL1" s="1" t="s">
        <v>563</v>
      </c>
      <c r="PM1" s="1" t="s">
        <v>564</v>
      </c>
      <c r="PN1" s="1" t="s">
        <v>565</v>
      </c>
      <c r="PO1" s="1" t="s">
        <v>566</v>
      </c>
      <c r="PP1" s="1" t="s">
        <v>567</v>
      </c>
      <c r="PQ1" s="1" t="s">
        <v>568</v>
      </c>
      <c r="PR1" s="1" t="s">
        <v>569</v>
      </c>
      <c r="PS1" s="1" t="s">
        <v>570</v>
      </c>
      <c r="PT1" s="1" t="s">
        <v>571</v>
      </c>
      <c r="PU1" s="1" t="s">
        <v>572</v>
      </c>
      <c r="PV1" s="1" t="s">
        <v>573</v>
      </c>
      <c r="PW1" s="1" t="s">
        <v>574</v>
      </c>
      <c r="PX1" s="1" t="s">
        <v>575</v>
      </c>
      <c r="PY1" s="1" t="s">
        <v>576</v>
      </c>
      <c r="PZ1" s="1" t="s">
        <v>577</v>
      </c>
      <c r="QA1" s="1" t="s">
        <v>578</v>
      </c>
      <c r="QB1" s="1" t="s">
        <v>579</v>
      </c>
      <c r="QC1" s="1" t="s">
        <v>580</v>
      </c>
      <c r="QD1" s="1" t="s">
        <v>581</v>
      </c>
      <c r="QE1" s="1" t="s">
        <v>582</v>
      </c>
      <c r="QF1" s="1" t="s">
        <v>583</v>
      </c>
      <c r="QG1" s="1" t="s">
        <v>584</v>
      </c>
      <c r="QH1" s="1" t="s">
        <v>585</v>
      </c>
      <c r="QI1" s="1" t="s">
        <v>2253</v>
      </c>
      <c r="QJ1" s="1" t="s">
        <v>587</v>
      </c>
      <c r="QK1" s="1" t="s">
        <v>588</v>
      </c>
      <c r="QL1" s="1" t="s">
        <v>589</v>
      </c>
      <c r="QM1" s="1" t="s">
        <v>590</v>
      </c>
      <c r="QN1" s="1" t="s">
        <v>591</v>
      </c>
      <c r="QO1" s="1" t="s">
        <v>592</v>
      </c>
      <c r="QP1" s="1" t="s">
        <v>593</v>
      </c>
      <c r="QQ1" s="1" t="s">
        <v>594</v>
      </c>
      <c r="QR1" s="1" t="s">
        <v>595</v>
      </c>
      <c r="QS1" s="1" t="s">
        <v>596</v>
      </c>
      <c r="QT1" s="1" t="s">
        <v>597</v>
      </c>
      <c r="QU1" s="1" t="s">
        <v>598</v>
      </c>
      <c r="QV1" s="1" t="s">
        <v>599</v>
      </c>
      <c r="QW1" s="1" t="s">
        <v>600</v>
      </c>
      <c r="QX1" s="1" t="s">
        <v>601</v>
      </c>
      <c r="QY1" s="1" t="s">
        <v>602</v>
      </c>
      <c r="QZ1" s="1" t="s">
        <v>603</v>
      </c>
      <c r="RA1" s="1" t="s">
        <v>604</v>
      </c>
      <c r="RB1" s="1" t="s">
        <v>605</v>
      </c>
      <c r="RC1" s="1" t="s">
        <v>606</v>
      </c>
      <c r="RD1" s="1" t="s">
        <v>607</v>
      </c>
      <c r="RE1" s="1" t="s">
        <v>608</v>
      </c>
      <c r="RF1" s="1" t="s">
        <v>609</v>
      </c>
      <c r="RG1" s="1" t="s">
        <v>610</v>
      </c>
      <c r="RH1" s="1" t="s">
        <v>611</v>
      </c>
      <c r="RI1" s="1" t="s">
        <v>612</v>
      </c>
      <c r="RJ1" s="1" t="s">
        <v>613</v>
      </c>
      <c r="RK1" s="1" t="s">
        <v>614</v>
      </c>
      <c r="RL1" s="1" t="s">
        <v>615</v>
      </c>
      <c r="RM1" s="1" t="s">
        <v>616</v>
      </c>
      <c r="RN1" s="1" t="s">
        <v>617</v>
      </c>
      <c r="RO1" s="1" t="s">
        <v>618</v>
      </c>
      <c r="RP1" s="1" t="s">
        <v>619</v>
      </c>
      <c r="RQ1" s="1" t="s">
        <v>620</v>
      </c>
      <c r="RR1" s="1" t="s">
        <v>621</v>
      </c>
      <c r="RS1" s="1" t="s">
        <v>622</v>
      </c>
      <c r="RT1" s="1" t="s">
        <v>623</v>
      </c>
      <c r="RU1" s="1" t="s">
        <v>624</v>
      </c>
      <c r="RV1" s="1" t="s">
        <v>625</v>
      </c>
      <c r="RW1" s="1" t="s">
        <v>626</v>
      </c>
      <c r="RX1" s="1" t="s">
        <v>627</v>
      </c>
      <c r="RY1" s="1" t="s">
        <v>628</v>
      </c>
      <c r="RZ1" s="1" t="s">
        <v>629</v>
      </c>
      <c r="SA1" s="1" t="s">
        <v>630</v>
      </c>
      <c r="SB1" s="1" t="s">
        <v>631</v>
      </c>
      <c r="SC1" s="1" t="s">
        <v>632</v>
      </c>
      <c r="SD1" s="1" t="s">
        <v>633</v>
      </c>
      <c r="SE1" s="1" t="s">
        <v>634</v>
      </c>
      <c r="SF1" s="1" t="s">
        <v>635</v>
      </c>
      <c r="SG1" s="1" t="s">
        <v>636</v>
      </c>
      <c r="SH1" s="1" t="s">
        <v>637</v>
      </c>
      <c r="SI1" s="1" t="s">
        <v>638</v>
      </c>
      <c r="SJ1" s="1" t="s">
        <v>639</v>
      </c>
      <c r="SK1" s="1" t="s">
        <v>640</v>
      </c>
      <c r="SL1" s="1" t="s">
        <v>641</v>
      </c>
      <c r="SM1" s="1" t="s">
        <v>642</v>
      </c>
      <c r="SN1" s="1" t="s">
        <v>643</v>
      </c>
      <c r="SO1" s="1" t="s">
        <v>644</v>
      </c>
      <c r="SP1" s="1" t="s">
        <v>645</v>
      </c>
      <c r="SQ1" s="1" t="s">
        <v>646</v>
      </c>
      <c r="SR1" s="1" t="s">
        <v>647</v>
      </c>
      <c r="SS1" s="1" t="s">
        <v>648</v>
      </c>
      <c r="ST1" s="1" t="s">
        <v>649</v>
      </c>
      <c r="SU1" s="1" t="s">
        <v>650</v>
      </c>
      <c r="SV1" s="1" t="s">
        <v>651</v>
      </c>
      <c r="SW1" s="1" t="s">
        <v>652</v>
      </c>
      <c r="SX1" s="1" t="s">
        <v>653</v>
      </c>
      <c r="SY1" s="1" t="s">
        <v>654</v>
      </c>
      <c r="SZ1" s="1" t="s">
        <v>655</v>
      </c>
      <c r="TA1" s="1" t="s">
        <v>656</v>
      </c>
      <c r="TB1" s="1" t="s">
        <v>657</v>
      </c>
      <c r="TC1" s="1" t="s">
        <v>658</v>
      </c>
      <c r="TD1" s="1" t="s">
        <v>659</v>
      </c>
      <c r="TE1" s="1" t="s">
        <v>660</v>
      </c>
      <c r="TF1" s="1" t="s">
        <v>661</v>
      </c>
      <c r="TG1" s="1" t="s">
        <v>662</v>
      </c>
      <c r="TH1" s="1" t="s">
        <v>663</v>
      </c>
      <c r="TI1" s="1" t="s">
        <v>664</v>
      </c>
      <c r="TJ1" s="1" t="s">
        <v>665</v>
      </c>
      <c r="TK1" s="1" t="s">
        <v>666</v>
      </c>
      <c r="TL1" s="1" t="s">
        <v>667</v>
      </c>
      <c r="TM1" s="1" t="s">
        <v>668</v>
      </c>
      <c r="TN1" s="1" t="s">
        <v>669</v>
      </c>
      <c r="TO1" s="1" t="s">
        <v>670</v>
      </c>
      <c r="TP1" s="1" t="s">
        <v>671</v>
      </c>
      <c r="TQ1" s="1" t="s">
        <v>672</v>
      </c>
      <c r="TR1" s="1" t="s">
        <v>673</v>
      </c>
      <c r="TS1" s="1" t="s">
        <v>674</v>
      </c>
      <c r="TT1" s="1" t="s">
        <v>675</v>
      </c>
      <c r="TU1" s="1" t="s">
        <v>676</v>
      </c>
      <c r="TV1" s="1" t="s">
        <v>677</v>
      </c>
      <c r="TW1" s="1" t="s">
        <v>678</v>
      </c>
      <c r="TX1" s="1" t="s">
        <v>679</v>
      </c>
      <c r="TY1" s="1" t="s">
        <v>680</v>
      </c>
      <c r="TZ1" s="1" t="s">
        <v>681</v>
      </c>
      <c r="UA1" s="1" t="s">
        <v>682</v>
      </c>
      <c r="UB1" s="1" t="s">
        <v>683</v>
      </c>
      <c r="UC1" s="1" t="s">
        <v>684</v>
      </c>
      <c r="UD1" s="1" t="s">
        <v>685</v>
      </c>
      <c r="UE1" s="1" t="s">
        <v>686</v>
      </c>
      <c r="UF1" s="1" t="s">
        <v>687</v>
      </c>
      <c r="UG1" s="1" t="s">
        <v>688</v>
      </c>
      <c r="UH1" s="1" t="s">
        <v>689</v>
      </c>
      <c r="UI1" s="1" t="s">
        <v>690</v>
      </c>
      <c r="UJ1" s="1" t="s">
        <v>691</v>
      </c>
      <c r="UK1" s="1" t="s">
        <v>692</v>
      </c>
      <c r="UL1" s="1" t="s">
        <v>693</v>
      </c>
      <c r="UM1" s="1" t="s">
        <v>694</v>
      </c>
      <c r="UN1" s="1" t="s">
        <v>695</v>
      </c>
      <c r="UO1" s="1" t="s">
        <v>696</v>
      </c>
      <c r="UP1" s="1" t="s">
        <v>697</v>
      </c>
      <c r="UQ1" s="1" t="s">
        <v>698</v>
      </c>
      <c r="UR1" s="1" t="s">
        <v>699</v>
      </c>
      <c r="US1" s="1" t="s">
        <v>700</v>
      </c>
      <c r="UT1" s="1" t="s">
        <v>701</v>
      </c>
      <c r="UU1" s="1" t="s">
        <v>702</v>
      </c>
      <c r="UV1" s="1" t="s">
        <v>703</v>
      </c>
      <c r="UW1" s="1" t="s">
        <v>704</v>
      </c>
      <c r="UX1" s="1" t="s">
        <v>705</v>
      </c>
      <c r="UY1" s="1" t="s">
        <v>706</v>
      </c>
      <c r="UZ1" s="1" t="s">
        <v>707</v>
      </c>
      <c r="VA1" s="1" t="s">
        <v>708</v>
      </c>
      <c r="VB1" s="1" t="s">
        <v>709</v>
      </c>
      <c r="VC1" s="1" t="s">
        <v>710</v>
      </c>
      <c r="VD1" s="1" t="s">
        <v>711</v>
      </c>
      <c r="VE1" s="1" t="s">
        <v>712</v>
      </c>
      <c r="VF1" s="1" t="s">
        <v>713</v>
      </c>
      <c r="VG1" s="1" t="s">
        <v>714</v>
      </c>
      <c r="VH1" s="1" t="s">
        <v>715</v>
      </c>
      <c r="VI1" s="1" t="s">
        <v>716</v>
      </c>
      <c r="VJ1" s="1" t="s">
        <v>717</v>
      </c>
      <c r="VK1" s="1" t="s">
        <v>718</v>
      </c>
      <c r="VL1" s="1" t="s">
        <v>719</v>
      </c>
      <c r="VM1" s="1" t="s">
        <v>720</v>
      </c>
      <c r="VN1" s="1" t="s">
        <v>721</v>
      </c>
      <c r="VO1" s="1" t="s">
        <v>722</v>
      </c>
      <c r="VP1" s="1" t="s">
        <v>723</v>
      </c>
      <c r="VQ1" s="1" t="s">
        <v>724</v>
      </c>
      <c r="VR1" s="1" t="s">
        <v>725</v>
      </c>
      <c r="VS1" s="1" t="s">
        <v>726</v>
      </c>
      <c r="VT1" s="1" t="s">
        <v>727</v>
      </c>
      <c r="VU1" s="1" t="s">
        <v>728</v>
      </c>
      <c r="VV1" s="1" t="s">
        <v>729</v>
      </c>
      <c r="VW1" s="1" t="s">
        <v>730</v>
      </c>
      <c r="VX1" s="1" t="s">
        <v>731</v>
      </c>
      <c r="VY1" s="1" t="s">
        <v>732</v>
      </c>
      <c r="VZ1" s="1" t="s">
        <v>733</v>
      </c>
      <c r="WA1" s="1" t="s">
        <v>734</v>
      </c>
      <c r="WB1" s="1" t="s">
        <v>735</v>
      </c>
      <c r="WC1" s="1" t="s">
        <v>736</v>
      </c>
      <c r="WD1" s="1" t="s">
        <v>737</v>
      </c>
      <c r="WE1" s="1" t="s">
        <v>738</v>
      </c>
      <c r="WF1" s="1" t="s">
        <v>739</v>
      </c>
      <c r="WG1" s="1" t="s">
        <v>740</v>
      </c>
      <c r="WH1" s="1" t="s">
        <v>741</v>
      </c>
      <c r="WI1" s="1" t="s">
        <v>742</v>
      </c>
      <c r="WJ1" s="1" t="s">
        <v>743</v>
      </c>
      <c r="WK1" s="1" t="s">
        <v>744</v>
      </c>
      <c r="WL1" s="1" t="s">
        <v>745</v>
      </c>
      <c r="WM1" s="1" t="s">
        <v>746</v>
      </c>
      <c r="WN1" s="1" t="s">
        <v>747</v>
      </c>
      <c r="WO1" s="1" t="s">
        <v>748</v>
      </c>
      <c r="WP1" s="1" t="s">
        <v>749</v>
      </c>
      <c r="WQ1" s="1" t="s">
        <v>750</v>
      </c>
      <c r="WR1" s="1" t="s">
        <v>751</v>
      </c>
      <c r="WS1" s="1" t="s">
        <v>752</v>
      </c>
      <c r="WT1" s="1" t="s">
        <v>753</v>
      </c>
      <c r="WU1" s="1" t="s">
        <v>754</v>
      </c>
      <c r="WV1" s="1" t="s">
        <v>755</v>
      </c>
      <c r="WW1" s="1" t="s">
        <v>756</v>
      </c>
      <c r="WX1" s="1" t="s">
        <v>757</v>
      </c>
      <c r="WY1" s="1" t="s">
        <v>2254</v>
      </c>
      <c r="WZ1" s="1" t="s">
        <v>2255</v>
      </c>
      <c r="XA1" s="1" t="s">
        <v>2256</v>
      </c>
      <c r="XB1" s="1" t="s">
        <v>2257</v>
      </c>
      <c r="XC1" s="1" t="s">
        <v>762</v>
      </c>
      <c r="XD1" s="1" t="s">
        <v>763</v>
      </c>
      <c r="XE1" s="1" t="s">
        <v>764</v>
      </c>
      <c r="XF1" s="1" t="s">
        <v>765</v>
      </c>
      <c r="XG1" s="1" t="s">
        <v>766</v>
      </c>
      <c r="XH1" s="1" t="s">
        <v>767</v>
      </c>
      <c r="XI1" s="1" t="s">
        <v>768</v>
      </c>
      <c r="XJ1" s="1" t="s">
        <v>769</v>
      </c>
      <c r="XK1" s="1" t="s">
        <v>770</v>
      </c>
      <c r="XL1" s="1" t="s">
        <v>771</v>
      </c>
      <c r="XM1" s="1" t="s">
        <v>772</v>
      </c>
      <c r="XN1" s="1" t="s">
        <v>773</v>
      </c>
      <c r="XO1" s="1" t="s">
        <v>774</v>
      </c>
      <c r="XP1" s="1" t="s">
        <v>775</v>
      </c>
      <c r="XQ1" s="1" t="s">
        <v>986</v>
      </c>
      <c r="XR1" s="1" t="s">
        <v>987</v>
      </c>
      <c r="XS1" s="1" t="s">
        <v>988</v>
      </c>
      <c r="XT1" s="1" t="s">
        <v>989</v>
      </c>
      <c r="XU1" s="1" t="s">
        <v>990</v>
      </c>
      <c r="XV1" s="1" t="s">
        <v>991</v>
      </c>
      <c r="XW1" s="1" t="s">
        <v>992</v>
      </c>
      <c r="XX1" s="1" t="s">
        <v>993</v>
      </c>
      <c r="XY1" s="1" t="s">
        <v>994</v>
      </c>
      <c r="XZ1" s="1" t="s">
        <v>996</v>
      </c>
      <c r="YA1" s="1" t="s">
        <v>997</v>
      </c>
      <c r="YB1" s="1" t="s">
        <v>998</v>
      </c>
      <c r="YC1" s="1" t="s">
        <v>999</v>
      </c>
      <c r="YD1" s="1" t="s">
        <v>1000</v>
      </c>
      <c r="YE1" s="1" t="s">
        <v>1001</v>
      </c>
      <c r="YF1" s="1" t="s">
        <v>1002</v>
      </c>
      <c r="YG1" s="1" t="s">
        <v>1003</v>
      </c>
      <c r="YH1" s="1" t="s">
        <v>1004</v>
      </c>
      <c r="YI1" s="1" t="s">
        <v>1005</v>
      </c>
      <c r="YJ1" s="1" t="s">
        <v>1006</v>
      </c>
      <c r="YK1" s="1" t="s">
        <v>1007</v>
      </c>
      <c r="YL1" s="1" t="s">
        <v>1008</v>
      </c>
      <c r="YM1" s="1" t="s">
        <v>1009</v>
      </c>
      <c r="YN1" s="1" t="s">
        <v>1010</v>
      </c>
      <c r="YO1" s="1" t="s">
        <v>1011</v>
      </c>
      <c r="YP1" s="1" t="s">
        <v>1012</v>
      </c>
      <c r="YQ1" s="1" t="s">
        <v>1013</v>
      </c>
      <c r="YR1" s="1" t="s">
        <v>1014</v>
      </c>
      <c r="YS1" s="1" t="s">
        <v>1015</v>
      </c>
      <c r="YT1" s="1" t="s">
        <v>1016</v>
      </c>
      <c r="YU1" s="1" t="s">
        <v>1017</v>
      </c>
      <c r="YV1" s="1" t="s">
        <v>1018</v>
      </c>
      <c r="YW1" s="1" t="s">
        <v>1019</v>
      </c>
      <c r="YX1" s="1" t="s">
        <v>1020</v>
      </c>
      <c r="YY1" s="1" t="s">
        <v>1021</v>
      </c>
      <c r="YZ1" s="1" t="s">
        <v>1022</v>
      </c>
      <c r="ZA1" s="1" t="s">
        <v>1023</v>
      </c>
      <c r="ZB1" s="1" t="s">
        <v>1024</v>
      </c>
      <c r="ZC1" s="1" t="s">
        <v>1025</v>
      </c>
      <c r="ZD1" s="1" t="s">
        <v>1026</v>
      </c>
      <c r="ZE1" s="1" t="s">
        <v>1027</v>
      </c>
      <c r="ZF1" s="1" t="s">
        <v>1028</v>
      </c>
      <c r="ZG1" s="1" t="s">
        <v>1029</v>
      </c>
      <c r="ZH1" s="1" t="s">
        <v>1030</v>
      </c>
      <c r="ZI1" s="1" t="s">
        <v>1031</v>
      </c>
      <c r="ZJ1" s="1" t="s">
        <v>1032</v>
      </c>
      <c r="ZK1" s="1" t="s">
        <v>1033</v>
      </c>
      <c r="ZL1" s="1" t="s">
        <v>1034</v>
      </c>
      <c r="ZM1" s="1" t="s">
        <v>1035</v>
      </c>
      <c r="ZN1" s="1" t="s">
        <v>1036</v>
      </c>
      <c r="ZO1" s="1" t="s">
        <v>1037</v>
      </c>
      <c r="ZP1" s="1" t="s">
        <v>1038</v>
      </c>
      <c r="ZQ1" s="1" t="s">
        <v>1039</v>
      </c>
      <c r="ZR1" s="1" t="s">
        <v>1040</v>
      </c>
      <c r="ZS1" s="1" t="s">
        <v>1041</v>
      </c>
      <c r="ZT1" s="1" t="s">
        <v>1042</v>
      </c>
      <c r="ZU1" s="1" t="s">
        <v>1043</v>
      </c>
      <c r="ZV1" s="1" t="s">
        <v>1044</v>
      </c>
      <c r="ZW1" s="1" t="s">
        <v>1045</v>
      </c>
      <c r="ZX1" s="1" t="s">
        <v>1046</v>
      </c>
      <c r="ZY1" s="1" t="s">
        <v>1047</v>
      </c>
      <c r="ZZ1" s="1" t="s">
        <v>1048</v>
      </c>
      <c r="AAA1" s="1" t="s">
        <v>1049</v>
      </c>
      <c r="AAB1" s="1" t="s">
        <v>1050</v>
      </c>
      <c r="AAC1" s="1" t="s">
        <v>1051</v>
      </c>
      <c r="AAD1" s="1" t="s">
        <v>1052</v>
      </c>
      <c r="AAE1" s="1" t="s">
        <v>1053</v>
      </c>
      <c r="AAF1" s="1" t="s">
        <v>1054</v>
      </c>
      <c r="AAG1" s="1" t="s">
        <v>1055</v>
      </c>
      <c r="AAH1" s="1" t="s">
        <v>1056</v>
      </c>
      <c r="AAI1" s="1" t="s">
        <v>1057</v>
      </c>
      <c r="AAJ1" s="1" t="s">
        <v>1058</v>
      </c>
      <c r="AAK1" s="1" t="s">
        <v>1059</v>
      </c>
      <c r="AAL1" s="1" t="s">
        <v>1060</v>
      </c>
      <c r="AAM1" s="1" t="s">
        <v>1061</v>
      </c>
      <c r="AAN1" s="1" t="s">
        <v>1062</v>
      </c>
      <c r="AAO1" s="1" t="s">
        <v>1063</v>
      </c>
      <c r="AAP1" s="1" t="s">
        <v>1064</v>
      </c>
      <c r="AAQ1" s="1" t="s">
        <v>1065</v>
      </c>
      <c r="AAR1" t="s">
        <v>1066</v>
      </c>
      <c r="AAS1" t="s">
        <v>1067</v>
      </c>
      <c r="AAT1" t="s">
        <v>1068</v>
      </c>
      <c r="AAU1" s="1" t="s">
        <v>1070</v>
      </c>
      <c r="AAV1" s="1" t="s">
        <v>1071</v>
      </c>
      <c r="AAW1" s="1" t="s">
        <v>1072</v>
      </c>
      <c r="AAX1" s="1" t="s">
        <v>1073</v>
      </c>
      <c r="AAY1" s="1" t="s">
        <v>1074</v>
      </c>
      <c r="AAZ1" s="1" t="s">
        <v>1075</v>
      </c>
      <c r="ABA1" s="1" t="s">
        <v>1077</v>
      </c>
      <c r="ABB1" s="1" t="s">
        <v>1078</v>
      </c>
      <c r="ABC1" s="1" t="s">
        <v>1079</v>
      </c>
      <c r="ABD1" t="s">
        <v>1080</v>
      </c>
      <c r="ABE1" t="s">
        <v>1081</v>
      </c>
      <c r="ABF1" t="s">
        <v>1082</v>
      </c>
      <c r="ABG1" t="s">
        <v>1083</v>
      </c>
      <c r="ABH1" t="s">
        <v>1084</v>
      </c>
      <c r="ABI1" t="s">
        <v>1085</v>
      </c>
      <c r="ABJ1" t="s">
        <v>1086</v>
      </c>
      <c r="ABK1" t="s">
        <v>1087</v>
      </c>
      <c r="ABL1" t="s">
        <v>1088</v>
      </c>
      <c r="ABM1" s="1" t="s">
        <v>1089</v>
      </c>
      <c r="ABN1" s="1" t="s">
        <v>1090</v>
      </c>
      <c r="ABO1" s="1" t="s">
        <v>1091</v>
      </c>
      <c r="ABP1" s="1" t="s">
        <v>1092</v>
      </c>
      <c r="ABQ1" s="1" t="s">
        <v>1093</v>
      </c>
      <c r="ABR1" s="1" t="s">
        <v>1094</v>
      </c>
      <c r="ABS1" s="1" t="s">
        <v>1095</v>
      </c>
      <c r="ABT1" s="1" t="s">
        <v>1096</v>
      </c>
      <c r="ABU1" s="1" t="s">
        <v>1097</v>
      </c>
      <c r="ABV1" s="1" t="s">
        <v>1098</v>
      </c>
      <c r="ABW1" s="1" t="s">
        <v>1099</v>
      </c>
      <c r="ABX1" s="1" t="s">
        <v>1100</v>
      </c>
      <c r="ABY1" s="1" t="s">
        <v>1101</v>
      </c>
      <c r="ABZ1" s="1" t="s">
        <v>1102</v>
      </c>
      <c r="ACA1" s="1" t="s">
        <v>1103</v>
      </c>
      <c r="ACB1" s="1" t="s">
        <v>1104</v>
      </c>
      <c r="ACC1" s="1" t="s">
        <v>1105</v>
      </c>
      <c r="ACD1" s="1" t="s">
        <v>1106</v>
      </c>
      <c r="ACE1" s="1" t="s">
        <v>1107</v>
      </c>
      <c r="ACF1" s="1" t="s">
        <v>1108</v>
      </c>
      <c r="ACG1" s="1" t="s">
        <v>1109</v>
      </c>
      <c r="ACH1" s="1" t="s">
        <v>1110</v>
      </c>
      <c r="ACI1" s="1" t="s">
        <v>1111</v>
      </c>
      <c r="ACJ1" s="1" t="s">
        <v>1112</v>
      </c>
      <c r="ACK1" s="1" t="s">
        <v>1113</v>
      </c>
      <c r="ACL1" s="1" t="s">
        <v>1114</v>
      </c>
      <c r="ACM1" s="1" t="s">
        <v>1115</v>
      </c>
      <c r="ACN1" s="1" t="s">
        <v>1116</v>
      </c>
      <c r="ACO1" s="1" t="s">
        <v>1117</v>
      </c>
      <c r="ACP1" s="1" t="s">
        <v>1118</v>
      </c>
      <c r="ACQ1" s="1" t="s">
        <v>1119</v>
      </c>
      <c r="ACR1" s="1" t="s">
        <v>1120</v>
      </c>
      <c r="ACS1" s="1" t="s">
        <v>1121</v>
      </c>
      <c r="ACT1" s="1" t="s">
        <v>1122</v>
      </c>
      <c r="ACU1" s="1" t="s">
        <v>1123</v>
      </c>
      <c r="ACV1" s="1" t="s">
        <v>1124</v>
      </c>
      <c r="ACW1" s="1" t="s">
        <v>1125</v>
      </c>
      <c r="ACX1" s="1" t="s">
        <v>1126</v>
      </c>
      <c r="ACY1" s="1" t="s">
        <v>1127</v>
      </c>
      <c r="ACZ1" s="1" t="s">
        <v>1128</v>
      </c>
      <c r="ADA1" s="1" t="s">
        <v>1130</v>
      </c>
      <c r="ADB1" s="1" t="s">
        <v>1131</v>
      </c>
      <c r="ADC1" s="1" t="s">
        <v>1132</v>
      </c>
      <c r="ADD1" s="1" t="s">
        <v>1133</v>
      </c>
      <c r="ADE1" s="1" t="s">
        <v>1134</v>
      </c>
      <c r="ADF1" s="1" t="s">
        <v>1135</v>
      </c>
      <c r="ADG1" s="1" t="s">
        <v>1136</v>
      </c>
      <c r="ADH1" s="1" t="s">
        <v>1137</v>
      </c>
      <c r="ADI1" s="1" t="s">
        <v>1138</v>
      </c>
      <c r="ADJ1" s="1" t="s">
        <v>1139</v>
      </c>
      <c r="ADK1" s="1" t="s">
        <v>1140</v>
      </c>
      <c r="ADL1" s="1" t="s">
        <v>1141</v>
      </c>
      <c r="ADM1" s="1" t="s">
        <v>1142</v>
      </c>
      <c r="ADN1" s="1" t="s">
        <v>1143</v>
      </c>
      <c r="ADO1" s="1" t="s">
        <v>1144</v>
      </c>
      <c r="ADP1" s="1" t="s">
        <v>1145</v>
      </c>
      <c r="ADQ1" s="1" t="s">
        <v>1146</v>
      </c>
      <c r="ADR1" s="1" t="s">
        <v>1147</v>
      </c>
      <c r="ADS1" s="1" t="s">
        <v>1148</v>
      </c>
      <c r="ADT1" s="1" t="s">
        <v>1149</v>
      </c>
      <c r="ADU1" s="1" t="s">
        <v>1150</v>
      </c>
    </row>
    <row r="2" spans="1:801" ht="95.5" customHeight="1" x14ac:dyDescent="0.35">
      <c r="D2" s="1" t="s">
        <v>2291</v>
      </c>
      <c r="E2" s="1" t="str">
        <f>IF(COUNTIFS(AllVarName!$B:$B,AllVar!E1)&gt;1,INDEX(MultipleLkup!$D:$D,MATCH(AllVar!E1,MultipleLkup!$B:$B,0)),IFERROR(INDEX(AllVarName!$C:$C,MATCH(AllVar!E1,AllVarName!$B:$B,0)),"No match"))</f>
        <v>time period</v>
      </c>
      <c r="F2" s="1" t="str">
        <f>IF(COUNTIFS(AllVarName!$B:$B,AllVar!F1)&gt;1,INDEX(MultipleLkup!$D:$D,MATCH(AllVar!F1,MultipleLkup!$B:$B,0)),IFERROR(INDEX(AllVarName!$C:$C,MATCH(AllVar!F1,AllVarName!$B:$B,0)),"No match"))</f>
        <v>time identifier</v>
      </c>
      <c r="G2" s="1" t="str">
        <f>IF(COUNTIFS(AllVarName!$B:$B,AllVar!G1)&gt;1,INDEX(MultipleLkup!$D:$D,MATCH(AllVar!G1,MultipleLkup!$B:$B,0)),IFERROR(INDEX(AllVarName!$C:$C,MATCH(AllVar!G1,AllVarName!$B:$B,0)),"No match"))</f>
        <v>geographic level</v>
      </c>
      <c r="H2" s="1" t="str">
        <f>IF(COUNTIFS(AllVarName!$B:$B,AllVar!H1)&gt;1,INDEX(MultipleLkup!$D:$D,MATCH(AllVar!H1,MultipleLkup!$B:$B,0)),IFERROR(INDEX(AllVarName!$C:$C,MATCH(AllVar!H1,AllVarName!$B:$B,0)),"No match"))</f>
        <v>Country code</v>
      </c>
      <c r="I2" s="1" t="str">
        <f>IF(COUNTIFS(AllVarName!$B:$B,AllVar!I1)&gt;1,INDEX(MultipleLkup!$D:$D,MATCH(AllVar!I1,MultipleLkup!$B:$B,0)),IFERROR(INDEX(AllVarName!$C:$C,MATCH(AllVar!I1,AllVarName!$B:$B,0)),"No match"))</f>
        <v>Country Name</v>
      </c>
      <c r="J2" s="1" t="str">
        <f>IF(COUNTIFS(AllVarName!$B:$B,AllVar!J1)&gt;1,INDEX(MultipleLkup!$D:$D,MATCH(AllVar!J1,MultipleLkup!$B:$B,0)),IFERROR(INDEX(AllVarName!$C:$C,MATCH(AllVar!J1,AllVarName!$B:$B,0)),"No match"))</f>
        <v>region code</v>
      </c>
      <c r="K2" s="1" t="str">
        <f>IF(COUNTIFS(AllVarName!$B:$B,AllVar!K1)&gt;1,INDEX(MultipleLkup!$D:$D,MATCH(AllVar!K1,MultipleLkup!$B:$B,0)),IFERROR(INDEX(AllVarName!$C:$C,MATCH(AllVar!K1,AllVarName!$B:$B,0)),"No match"))</f>
        <v>region name</v>
      </c>
      <c r="L2" s="1" t="str">
        <f>IF(COUNTIFS(AllVarName!$B:$B,AllVar!L1)&gt;1,INDEX(MultipleLkup!$D:$D,MATCH(AllVar!L1,MultipleLkup!$B:$B,0)),IFERROR(INDEX(AllVarName!$C:$C,MATCH(AllVar!L1,AllVarName!$B:$B,0)),"No match"))</f>
        <v>new la code</v>
      </c>
      <c r="M2" s="1" t="str">
        <f>IF(COUNTIFS(AllVarName!$B:$B,AllVar!M1)&gt;1,INDEX(MultipleLkup!$D:$D,MATCH(AllVar!M1,MultipleLkup!$B:$B,0)),IFERROR(INDEX(AllVarName!$C:$C,MATCH(AllVar!M1,AllVarName!$B:$B,0)),"No match"))</f>
        <v>old la code</v>
      </c>
      <c r="N2" s="1" t="str">
        <f>IF(COUNTIFS(AllVarName!$B:$B,AllVar!N1)&gt;1,INDEX(MultipleLkup!$D:$D,MATCH(AllVar!N1,MultipleLkup!$B:$B,0)),IFERROR(INDEX(AllVarName!$C:$C,MATCH(AllVar!N1,AllVarName!$B:$B,0)),"No match"))</f>
        <v>la name</v>
      </c>
      <c r="O2" s="1" t="str">
        <f>IF(COUNTIFS(AllVarName!$B:$B,AllVar!O1)&gt;1,INDEX(MultipleLkup!$D:$D,MATCH(AllVar!O1,MultipleLkup!$B:$B,0)),IFERROR(INDEX(AllVarName!$C:$C,MATCH(AllVar!O1,AllVarName!$B:$B,0)),"No match"))</f>
        <v>lad code</v>
      </c>
      <c r="P2" s="1" t="str">
        <f>IF(COUNTIFS(AllVarName!$B:$B,AllVar!P1)&gt;1,INDEX(MultipleLkup!$D:$D,MATCH(AllVar!P1,MultipleLkup!$B:$B,0)),IFERROR(INDEX(AllVarName!$C:$C,MATCH(AllVar!P1,AllVarName!$B:$B,0)),"No match"))</f>
        <v>lad name</v>
      </c>
      <c r="Q2" s="1" t="str">
        <f>IF(COUNTIFS(AllVarName!$B:$B,AllVar!Q1)&gt;1,INDEX(MultipleLkup!$D:$D,MATCH(AllVar!Q1,MultipleLkup!$B:$B,0)),IFERROR(INDEX(AllVarName!$C:$C,MATCH(AllVar!Q1,AllVarName!$B:$B,0)),"No match"))</f>
        <v>parliamentary constituency code</v>
      </c>
      <c r="R2" s="1" t="str">
        <f>IF(COUNTIFS(AllVarName!$B:$B,AllVar!R1)&gt;1,INDEX(MultipleLkup!$D:$D,MATCH(AllVar!R1,MultipleLkup!$B:$B,0)),IFERROR(INDEX(AllVarName!$C:$C,MATCH(AllVar!R1,AllVarName!$B:$B,0)),"No match"))</f>
        <v>parliamentary constituency name</v>
      </c>
      <c r="S2" s="1" t="str">
        <f>IF(COUNTIFS(AllVarName!$B:$B,AllVar!S1)&gt;1,INDEX(MultipleLkup!$D:$D,MATCH(AllVar!S1,MultipleLkup!$B:$B,0)),IFERROR(INDEX(AllVarName!$C:$C,MATCH(AllVar!S1,AllVarName!$B:$B,0)),"No match"))</f>
        <v>Graduates' higher education institution region</v>
      </c>
      <c r="T2" s="1" t="str">
        <f>IF(COUNTIFS(AllVarName!$B:$B,AllVar!T1)&gt;1,INDEX(MultipleLkup!$D:$D,MATCH(AllVar!T1,MultipleLkup!$B:$B,0)),IFERROR(INDEX(AllVarName!$C:$C,MATCH(AllVar!T1,AllVarName!$B:$B,0)),"No match"))</f>
        <v>Region</v>
      </c>
      <c r="U2" s="1" t="str">
        <f>IF(COUNTIFS(AllVarName!$B:$B,AllVar!U1)&gt;1,INDEX(MultipleLkup!$D:$D,MATCH(AllVar!U1,MultipleLkup!$B:$B,0)),IFERROR(INDEX(AllVarName!$C:$C,MATCH(AllVar!U1,AllVarName!$B:$B,0)),"No match"))</f>
        <v>Region prior to Higher Education study</v>
      </c>
      <c r="V2" s="1" t="str">
        <f>IF(COUNTIFS(AllVarName!$B:$B,AllVar!V1)&gt;1,INDEX(MultipleLkup!$D:$D,MATCH(AllVar!V1,MultipleLkup!$B:$B,0)),IFERROR(INDEX(AllVarName!$C:$C,MATCH(AllVar!V1,AllVarName!$B:$B,0)),"No match"))</f>
        <v>Term time residence</v>
      </c>
      <c r="W2" s="1" t="str">
        <f>IF(COUNTIFS(AllVarName!$B:$B,AllVar!W1)&gt;1,INDEX(MultipleLkup!$D:$D,MATCH(AllVar!W1,MultipleLkup!$B:$B,0)),IFERROR(INDEX(AllVarName!$C:$C,MATCH(AllVar!W1,AllVarName!$B:$B,0)),"No match"))</f>
        <v>opportunity area code</v>
      </c>
      <c r="X2" s="1" t="str">
        <f>IF(COUNTIFS(AllVarName!$B:$B,AllVar!X1)&gt;1,INDEX(MultipleLkup!$D:$D,MATCH(AllVar!X1,MultipleLkup!$B:$B,0)),IFERROR(INDEX(AllVarName!$C:$C,MATCH(AllVar!X1,AllVarName!$B:$B,0)),"No match"))</f>
        <v>opportunity area name</v>
      </c>
      <c r="Y2" s="1" t="str">
        <f>IF(COUNTIFS(AllVarName!$B:$B,AllVar!Y1)&gt;1,INDEX(MultipleLkup!$D:$D,MATCH(AllVar!Y1,MultipleLkup!$B:$B,0)),IFERROR(INDEX(AllVarName!$C:$C,MATCH(AllVar!Y1,AllVarName!$B:$B,0)),"No match"))</f>
        <v>Local Enterprise Partnership code</v>
      </c>
      <c r="Z2" s="1" t="str">
        <f>IF(COUNTIFS(AllVarName!$B:$B,AllVar!Z1)&gt;1,INDEX(MultipleLkup!$D:$D,MATCH(AllVar!Z1,MultipleLkup!$B:$B,0)),IFERROR(INDEX(AllVarName!$C:$C,MATCH(AllVar!Z1,AllVarName!$B:$B,0)),"No match"))</f>
        <v>Local Enterprise Partnership name</v>
      </c>
      <c r="AA2" s="1" t="str">
        <f>IF(COUNTIFS(AllVarName!$B:$B,AllVar!AA1)&gt;1,INDEX(MultipleLkup!$D:$D,MATCH(AllVar!AA1,MultipleLkup!$B:$B,0)),IFERROR(INDEX(AllVarName!$C:$C,MATCH(AllVar!AA1,AllVarName!$B:$B,0)),"No match"))</f>
        <v>English devolved area code</v>
      </c>
      <c r="AB2" s="1" t="str">
        <f>IF(COUNTIFS(AllVarName!$B:$B,AllVar!AB1)&gt;1,INDEX(MultipleLkup!$D:$D,MATCH(AllVar!AB1,MultipleLkup!$B:$B,0)),IFERROR(INDEX(AllVarName!$C:$C,MATCH(AllVar!AB1,AllVarName!$B:$B,0)),"No match"))</f>
        <v>English devolved area name</v>
      </c>
      <c r="AC2" s="1" t="str">
        <f>IF(COUNTIFS(AllVarName!$B:$B,AllVar!AC1)&gt;1,INDEX(MultipleLkup!$D:$D,MATCH(AllVar!AC1,MultipleLkup!$B:$B,0)),IFERROR(INDEX(AllVarName!$C:$C,MATCH(AllVar!AC1,AllVarName!$B:$B,0)),"No match"))</f>
        <v>Framework standard</v>
      </c>
      <c r="AD2" s="1" t="str">
        <f>IF(COUNTIFS(AllVarName!$B:$B,AllVar!AD1)&gt;1,INDEX(MultipleLkup!$D:$D,MATCH(AllVar!AD1,MultipleLkup!$B:$B,0)),IFERROR(INDEX(AllVarName!$C:$C,MATCH(AllVar!AD1,AllVarName!$B:$B,0)),"No match"))</f>
        <v>Standard Framework name code</v>
      </c>
      <c r="AE2" s="1" t="str">
        <f>IF(COUNTIFS(AllVarName!$B:$B,AllVar!AE1)&gt;1,INDEX(MultipleLkup!$D:$D,MATCH(AllVar!AE1,MultipleLkup!$B:$B,0)),IFERROR(INDEX(AllVarName!$C:$C,MATCH(AllVar!AE1,AllVarName!$B:$B,0)),"No match"))</f>
        <v>Characteristic</v>
      </c>
      <c r="AF2" s="1" t="str">
        <f>IF(COUNTIFS(AllVarName!$B:$B,AllVar!AF1)&gt;1,INDEX(MultipleLkup!$D:$D,MATCH(AllVar!AF1,MultipleLkup!$B:$B,0)),IFERROR(INDEX(AllVarName!$C:$C,MATCH(AllVar!AF1,AllVarName!$B:$B,0)),"No match"))</f>
        <v>Characteristics Type</v>
      </c>
      <c r="AG2" s="1" t="str">
        <f>IF(COUNTIFS(AllVarName!$B:$B,AllVar!AG1)&gt;1,INDEX(MultipleLkup!$D:$D,MATCH(AllVar!AG1,MultipleLkup!$B:$B,0)),IFERROR(INDEX(AllVarName!$C:$C,MATCH(AllVar!AG1,AllVarName!$B:$B,0)),"No match"))</f>
        <v>Characteristic group</v>
      </c>
      <c r="AH2" s="1" t="str">
        <f>IF(COUNTIFS(AllVarName!$B:$B,AllVar!AH1)&gt;1,INDEX(MultipleLkup!$D:$D,MATCH(AllVar!AH1,MultipleLkup!$B:$B,0)),IFERROR(INDEX(AllVarName!$C:$C,MATCH(AllVar!AH1,AllVarName!$B:$B,0)),"No match"))</f>
        <v>Characteristic detail</v>
      </c>
      <c r="AI2" s="1" t="str">
        <f>IF(COUNTIFS(AllVarName!$B:$B,AllVar!AI1)&gt;1,INDEX(MultipleLkup!$D:$D,MATCH(AllVar!AI1,MultipleLkup!$B:$B,0)),IFERROR(INDEX(AllVarName!$C:$C,MATCH(AllVar!AI1,AllVarName!$B:$B,0)),"No match"))</f>
        <v>Learner characteristic</v>
      </c>
      <c r="AJ2" s="1" t="str">
        <f>IF(COUNTIFS(AllVarName!$B:$B,AllVar!AJ1)&gt;1,INDEX(MultipleLkup!$D:$D,MATCH(AllVar!AJ1,MultipleLkup!$B:$B,0)),IFERROR(INDEX(AllVarName!$C:$C,MATCH(AllVar!AJ1,AllVarName!$B:$B,0)),"No match"))</f>
        <v>Academic year</v>
      </c>
      <c r="AK2" s="1" t="str">
        <f>IF(COUNTIFS(AllVarName!$B:$B,AllVar!AK1)&gt;1,INDEX(MultipleLkup!$D:$D,MATCH(AllVar!AK1,MultipleLkup!$B:$B,0)),IFERROR(INDEX(AllVarName!$C:$C,MATCH(AllVar!AK1,AllVarName!$B:$B,0)),"No match"))</f>
        <v>Level</v>
      </c>
      <c r="AL2" s="1" t="str">
        <f>IF(COUNTIFS(AllVarName!$B:$B,AllVar!AL1)&gt;1,INDEX(MultipleLkup!$D:$D,MATCH(AllVar!AL1,MultipleLkup!$B:$B,0)),IFERROR(INDEX(AllVarName!$C:$C,MATCH(AllVar!AL1,AllVarName!$B:$B,0)),"No match"))</f>
        <v>Level 3</v>
      </c>
      <c r="AM2" s="1" t="str">
        <f>IF(COUNTIFS(AllVarName!$B:$B,AllVar!AM1)&gt;1,INDEX(MultipleLkup!$D:$D,MATCH(AllVar!AM1,MultipleLkup!$B:$B,0)),IFERROR(INDEX(AllVarName!$C:$C,MATCH(AllVar!AM1,AllVarName!$B:$B,0)),"No match"))</f>
        <v>Level 4+</v>
      </c>
      <c r="AN2" s="1" t="str">
        <f>IF(COUNTIFS(AllVarName!$B:$B,AllVar!AN1)&gt;1,INDEX(MultipleLkup!$D:$D,MATCH(AllVar!AN1,MultipleLkup!$B:$B,0)),IFERROR(INDEX(AllVarName!$C:$C,MATCH(AllVar!AN1,AllVarName!$B:$B,0)),"No match"))</f>
        <v>Group</v>
      </c>
      <c r="AO2" s="1" t="str">
        <f>IF(COUNTIFS(AllVarName!$B:$B,AllVar!AO1)&gt;1,INDEX(MultipleLkup!$D:$D,MATCH(AllVar!AO1,MultipleLkup!$B:$B,0)),IFERROR(INDEX(AllVarName!$C:$C,MATCH(AllVar!AO1,AllVarName!$B:$B,0)),"No match"))</f>
        <v>Demographic</v>
      </c>
      <c r="AP2" s="1" t="str">
        <f>IF(COUNTIFS(AllVarName!$B:$B,AllVar!AP1)&gt;1,INDEX(MultipleLkup!$D:$D,MATCH(AllVar!AP1,MultipleLkup!$B:$B,0)),IFERROR(INDEX(AllVarName!$C:$C,MATCH(AllVar!AP1,AllVarName!$B:$B,0)),"No match"))</f>
        <v>Detailed level</v>
      </c>
      <c r="AQ2" s="1" t="str">
        <f>IF(COUNTIFS(AllVarName!$B:$B,AllVar!AQ1)&gt;1,INDEX(MultipleLkup!$D:$D,MATCH(AllVar!AQ1,MultipleLkup!$B:$B,0)),IFERROR(INDEX(AllVarName!$C:$C,MATCH(AllVar!AQ1,AllVarName!$B:$B,0)),"No match"))</f>
        <v>Quarter (Q4 used in analysis)</v>
      </c>
      <c r="AR2" s="1" t="str">
        <f>IF(COUNTIFS(AllVarName!$B:$B,AllVar!AR1)&gt;1,INDEX(MultipleLkup!$D:$D,MATCH(AllVar!AR1,MultipleLkup!$B:$B,0)),IFERROR(INDEX(AllVarName!$C:$C,MATCH(AllVar!AR1,AllVarName!$B:$B,0)),"No match"))</f>
        <v>Age (under 19/19+)</v>
      </c>
      <c r="AS2" s="1" t="str">
        <f>IF(COUNTIFS(AllVarName!$B:$B,AllVar!AS1)&gt;1,INDEX(MultipleLkup!$D:$D,MATCH(AllVar!AS1,MultipleLkup!$B:$B,0)),IFERROR(INDEX(AllVarName!$C:$C,MATCH(AllVar!AS1,AllVarName!$B:$B,0)),"No match"))</f>
        <v>age</v>
      </c>
      <c r="AT2" s="1" t="str">
        <f>IF(COUNTIFS(AllVarName!$B:$B,AllVar!AT1)&gt;1,INDEX(MultipleLkup!$D:$D,MATCH(AllVar!AT1,MultipleLkup!$B:$B,0)),IFERROR(INDEX(AllVarName!$C:$C,MATCH(AllVar!AT1,AllVarName!$B:$B,0)),"No match"))</f>
        <v>Age group</v>
      </c>
      <c r="AU2" s="1" t="str">
        <f>IF(COUNTIFS(AllVarName!$B:$B,AllVar!AU1)&gt;1,INDEX(MultipleLkup!$D:$D,MATCH(AllVar!AU1,MultipleLkup!$B:$B,0)),IFERROR(INDEX(AllVarName!$C:$C,MATCH(AllVar!AU1,AllVarName!$B:$B,0)),"No match"))</f>
        <v>Age Summary</v>
      </c>
      <c r="AV2" s="1" t="str">
        <f>IF(COUNTIFS(AllVarName!$B:$B,AllVar!AV1)&gt;1,INDEX(MultipleLkup!$D:$D,MATCH(AllVar!AV1,MultipleLkup!$B:$B,0)),IFERROR(INDEX(AllVarName!$C:$C,MATCH(AllVar!AV1,AllVarName!$B:$B,0)),"No match"))</f>
        <v>Age summary with unknown</v>
      </c>
      <c r="AW2" s="1" t="str">
        <f>IF(COUNTIFS(AllVarName!$B:$B,AllVar!AW1)&gt;1,INDEX(MultipleLkup!$D:$D,MATCH(AllVar!AW1,MultipleLkup!$B:$B,0)),IFERROR(INDEX(AllVarName!$C:$C,MATCH(AllVar!AW1,AllVarName!$B:$B,0)),"No match"))</f>
        <v>Age group (with unknowns)</v>
      </c>
      <c r="AX2" s="1" t="str">
        <f>IF(COUNTIFS(AllVarName!$B:$B,AllVar!AX1)&gt;1,INDEX(MultipleLkup!$D:$D,MATCH(AllVar!AX1,MultipleLkup!$B:$B,0)),IFERROR(INDEX(AllVarName!$C:$C,MATCH(AllVar!AX1,AllVarName!$B:$B,0)),"No match"))</f>
        <v>Age band at start of stud</v>
      </c>
      <c r="AY2" s="1" t="str">
        <f>IF(COUNTIFS(AllVarName!$B:$B,AllVar!AY1)&gt;1,INDEX(MultipleLkup!$D:$D,MATCH(AllVar!AY1,MultipleLkup!$B:$B,0)),IFERROR(INDEX(AllVarName!$C:$C,MATCH(AllVar!AY1,AllVarName!$B:$B,0)),"No match"))</f>
        <v>Sex</v>
      </c>
      <c r="AZ2" s="1" t="str">
        <f>IF(COUNTIFS(AllVarName!$B:$B,AllVar!AZ1)&gt;1,INDEX(MultipleLkup!$D:$D,MATCH(AllVar!AZ1,MultipleLkup!$B:$B,0)),IFERROR(INDEX(AllVarName!$C:$C,MATCH(AllVar!AZ1,AllVarName!$B:$B,0)),"No match"))</f>
        <v>Science, Technology, Engineering and Mathematics</v>
      </c>
      <c r="BA2" s="1" t="str">
        <f>IF(COUNTIFS(AllVarName!$B:$B,AllVar!BA1)&gt;1,INDEX(MultipleLkup!$D:$D,MATCH(AllVar!BA1,MultipleLkup!$B:$B,0)),IFERROR(INDEX(AllVarName!$C:$C,MATCH(AllVar!BA1,AllVarName!$B:$B,0)),"No match"))</f>
        <v>Industry section</v>
      </c>
      <c r="BB2" s="1" t="str">
        <f>IF(COUNTIFS(AllVarName!$B:$B,AllVar!BB1)&gt;1,INDEX(MultipleLkup!$D:$D,MATCH(AllVar!BB1,MultipleLkup!$B:$B,0)),IFERROR(INDEX(AllVarName!$C:$C,MATCH(AllVar!BB1,AllVarName!$B:$B,0)),"No match"))</f>
        <v>Industry</v>
      </c>
      <c r="BC2" s="1" t="str">
        <f>IF(COUNTIFS(AllVarName!$B:$B,AllVar!BC1)&gt;1,INDEX(MultipleLkup!$D:$D,MATCH(AllVar!BC1,MultipleLkup!$B:$B,0)),IFERROR(INDEX(AllVarName!$C:$C,MATCH(AllVar!BC1,AllVarName!$B:$B,0)),"No match"))</f>
        <v>Sector Subject Area</v>
      </c>
      <c r="BD2" s="1" t="str">
        <f>IF(COUNTIFS(AllVarName!$B:$B,AllVar!BD1)&gt;1,INDEX(MultipleLkup!$D:$D,MATCH(AllVar!BD1,MultipleLkup!$B:$B,0)),IFERROR(INDEX(AllVarName!$C:$C,MATCH(AllVar!BD1,AllVarName!$B:$B,0)),"No match"))</f>
        <v>Sector subject area (tier 1)</v>
      </c>
      <c r="BE2" s="1" t="str">
        <f>IF(COUNTIFS(AllVarName!$B:$B,AllVar!BE1)&gt;1,INDEX(MultipleLkup!$D:$D,MATCH(AllVar!BE1,MultipleLkup!$B:$B,0)),IFERROR(INDEX(AllVarName!$C:$C,MATCH(AllVar!BE1,AllVarName!$B:$B,0)),"No match"))</f>
        <v>Sector subject area (tier 2)</v>
      </c>
      <c r="BF2" s="1" t="str">
        <f>IF(COUNTIFS(AllVarName!$B:$B,AllVar!BF1)&gt;1,INDEX(MultipleLkup!$D:$D,MATCH(AllVar!BF1,MultipleLkup!$B:$B,0)),IFERROR(INDEX(AllVarName!$C:$C,MATCH(AllVar!BF1,AllVarName!$B:$B,0)),"No match"))</f>
        <v>Sector subject area (tier 1) description</v>
      </c>
      <c r="BG2" s="1" t="str">
        <f>IF(COUNTIFS(AllVarName!$B:$B,AllVar!BG1)&gt;1,INDEX(MultipleLkup!$D:$D,MATCH(AllVar!BG1,MultipleLkup!$B:$B,0)),IFERROR(INDEX(AllVarName!$C:$C,MATCH(AllVar!BG1,AllVarName!$B:$B,0)),"No match"))</f>
        <v>Sector subject area (tier 2) description</v>
      </c>
      <c r="BH2" s="1" t="str">
        <f>IF(COUNTIFS(AllVarName!$B:$B,AllVar!BH1)&gt;1,INDEX(MultipleLkup!$D:$D,MATCH(AllVar!BH1,MultipleLkup!$B:$B,0)),IFERROR(INDEX(AllVarName!$C:$C,MATCH(AllVar!BH1,AllVarName!$B:$B,0)),"No match"))</f>
        <v>Subject</v>
      </c>
      <c r="BI2" s="1" t="str">
        <f>IF(COUNTIFS(AllVarName!$B:$B,AllVar!BI1)&gt;1,INDEX(MultipleLkup!$D:$D,MATCH(AllVar!BI1,MultipleLkup!$B:$B,0)),IFERROR(INDEX(AllVarName!$C:$C,MATCH(AllVar!BI1,AllVarName!$B:$B,0)),"No match"))</f>
        <v>Subject and level</v>
      </c>
      <c r="BJ2" s="1" t="str">
        <f>IF(COUNTIFS(AllVarName!$B:$B,AllVar!BJ1)&gt;1,INDEX(MultipleLkup!$D:$D,MATCH(AllVar!BJ1,MultipleLkup!$B:$B,0)),IFERROR(INDEX(AllVarName!$C:$C,MATCH(AllVar!BJ1,AllVarName!$B:$B,0)),"No match"))</f>
        <v>Subject name</v>
      </c>
      <c r="BK2" s="1" t="str">
        <f>IF(COUNTIFS(AllVarName!$B:$B,AllVar!BK1)&gt;1,INDEX(MultipleLkup!$D:$D,MATCH(AllVar!BK1,MultipleLkup!$B:$B,0)),IFERROR(INDEX(AllVarName!$C:$C,MATCH(AllVar!BK1,AllVarName!$B:$B,0)),"No match"))</f>
        <v>Learner with Learning Difficulties or Disabilities</v>
      </c>
      <c r="BL2" s="1" t="str">
        <f>IF(COUNTIFS(AllVarName!$B:$B,AllVar!BL1)&gt;1,INDEX(MultipleLkup!$D:$D,MATCH(AllVar!BL1,MultipleLkup!$B:$B,0)),IFERROR(INDEX(AllVarName!$C:$C,MATCH(AllVar!BL1,AllVarName!$B:$B,0)),"No match"))</f>
        <v>Primary learning difficulty/disability</v>
      </c>
      <c r="BM2" s="1" t="str">
        <f>IF(COUNTIFS(AllVarName!$B:$B,AllVar!BM1)&gt;1,INDEX(MultipleLkup!$D:$D,MATCH(AllVar!BM1,MultipleLkup!$B:$B,0)),IFERROR(INDEX(AllVarName!$C:$C,MATCH(AllVar!BM1,AllVarName!$B:$B,0)),"No match"))</f>
        <v>Learning Difficulty Disability</v>
      </c>
      <c r="BN2" s="1" t="str">
        <f>IF(COUNTIFS(AllVarName!$B:$B,AllVar!BN1)&gt;1,INDEX(MultipleLkup!$D:$D,MATCH(AllVar!BN1,MultipleLkup!$B:$B,0)),IFERROR(INDEX(AllVarName!$C:$C,MATCH(AllVar!BN1,AllVarName!$B:$B,0)),"No match"))</f>
        <v>Disability status</v>
      </c>
      <c r="BO2" s="1" t="str">
        <f>IF(COUNTIFS(AllVarName!$B:$B,AllVar!BO1)&gt;1,INDEX(MultipleLkup!$D:$D,MATCH(AllVar!BO1,MultipleLkup!$B:$B,0)),IFERROR(INDEX(AllVarName!$C:$C,MATCH(AllVar!BO1,AllVarName!$B:$B,0)),"No match"))</f>
        <v>learner home deprivation</v>
      </c>
      <c r="BP2" s="1" t="str">
        <f>IF(COUNTIFS(AllVarName!$B:$B,AllVar!BP1)&gt;1,INDEX(MultipleLkup!$D:$D,MATCH(AllVar!BP1,MultipleLkup!$B:$B,0)),IFERROR(INDEX(AllVarName!$C:$C,MATCH(AllVar!BP1,AllVarName!$B:$B,0)),"No match"))</f>
        <v>Benefit learner</v>
      </c>
      <c r="BQ2" s="1" t="str">
        <f>IF(COUNTIFS(AllVarName!$B:$B,AllVar!BQ1)&gt;1,INDEX(MultipleLkup!$D:$D,MATCH(AllVar!BQ1,MultipleLkup!$B:$B,0)),IFERROR(INDEX(AllVarName!$C:$C,MATCH(AllVar!BQ1,AllVarName!$B:$B,0)),"No match"))</f>
        <v>Ethnicity</v>
      </c>
      <c r="BR2" s="1" t="str">
        <f>IF(COUNTIFS(AllVarName!$B:$B,AllVar!BR1)&gt;1,INDEX(MultipleLkup!$D:$D,MATCH(AllVar!BR1,MultipleLkup!$B:$B,0)),IFERROR(INDEX(AllVarName!$C:$C,MATCH(AllVar!BR1,AllVarName!$B:$B,0)),"No match"))</f>
        <v>Ethnicity detailed</v>
      </c>
      <c r="BS2" s="1" t="str">
        <f>IF(COUNTIFS(AllVarName!$B:$B,AllVar!BS1)&gt;1,INDEX(MultipleLkup!$D:$D,MATCH(AllVar!BS1,MultipleLkup!$B:$B,0)),IFERROR(INDEX(AllVarName!$C:$C,MATCH(AllVar!BS1,AllVarName!$B:$B,0)),"No match"))</f>
        <v>Minority Ethnic</v>
      </c>
      <c r="BT2" s="1" t="str">
        <f>IF(COUNTIFS(AllVarName!$B:$B,AllVar!BT1)&gt;1,INDEX(MultipleLkup!$D:$D,MATCH(AllVar!BT1,MultipleLkup!$B:$B,0)),IFERROR(INDEX(AllVarName!$C:$C,MATCH(AllVar!BT1,AllVarName!$B:$B,0)),"No match"))</f>
        <v>Ethnicity Major</v>
      </c>
      <c r="BU2" s="1" t="str">
        <f>IF(COUNTIFS(AllVarName!$B:$B,AllVar!BU1)&gt;1,INDEX(MultipleLkup!$D:$D,MATCH(AllVar!BU1,MultipleLkup!$B:$B,0)),IFERROR(INDEX(AllVarName!$C:$C,MATCH(AllVar!BU1,AllVarName!$B:$B,0)),"No match"))</f>
        <v>Ethnicity Minor</v>
      </c>
      <c r="BV2" s="1" t="str">
        <f>IF(COUNTIFS(AllVarName!$B:$B,AllVar!BV1)&gt;1,INDEX(MultipleLkup!$D:$D,MATCH(AllVar!BV1,MultipleLkup!$B:$B,0)),IFERROR(INDEX(AllVarName!$C:$C,MATCH(AllVar!BV1,AllVarName!$B:$B,0)),"No match"))</f>
        <v>Ethnicity broad (with Chinese)</v>
      </c>
      <c r="BW2" s="1" t="str">
        <f>IF(COUNTIFS(AllVarName!$B:$B,AllVar!BW1)&gt;1,INDEX(MultipleLkup!$D:$D,MATCH(AllVar!BW1,MultipleLkup!$B:$B,0)),IFERROR(INDEX(AllVarName!$C:$C,MATCH(AllVar!BW1,AllVarName!$B:$B,0)),"No match"))</f>
        <v>Ethnic Minority</v>
      </c>
      <c r="BX2" s="1" t="str">
        <f>IF(COUNTIFS(AllVarName!$B:$B,AllVar!BX1)&gt;1,INDEX(MultipleLkup!$D:$D,MATCH(AllVar!BX1,MultipleLkup!$B:$B,0)),IFERROR(INDEX(AllVarName!$C:$C,MATCH(AllVar!BX1,AllVarName!$B:$B,0)),"No match"))</f>
        <v>Free school meals status</v>
      </c>
      <c r="BY2" s="1" t="str">
        <f>IF(COUNTIFS(AllVarName!$B:$B,AllVar!BY1)&gt;1,INDEX(MultipleLkup!$D:$D,MATCH(AllVar!BY1,MultipleLkup!$B:$B,0)),IFERROR(INDEX(AllVarName!$C:$C,MATCH(AllVar!BY1,AllVarName!$B:$B,0)),"No match"))</f>
        <v>Higher education Progression Rate (free school meals)</v>
      </c>
      <c r="BZ2" s="1" t="str">
        <f>IF(COUNTIFS(AllVarName!$B:$B,AllVar!BZ1)&gt;1,INDEX(MultipleLkup!$D:$D,MATCH(AllVar!BZ1,MultipleLkup!$B:$B,0)),IFERROR(INDEX(AllVarName!$C:$C,MATCH(AllVar!BZ1,AllVarName!$B:$B,0)),"No match"))</f>
        <v>Higher education Progression Rate (Non-Free School Meals)</v>
      </c>
      <c r="CA2" s="1" t="str">
        <f>IF(COUNTIFS(AllVarName!$B:$B,AllVar!CA1)&gt;1,INDEX(MultipleLkup!$D:$D,MATCH(AllVar!CA1,MultipleLkup!$B:$B,0)),IFERROR(INDEX(AllVarName!$C:$C,MATCH(AllVar!CA1,AllVarName!$B:$B,0)),"No match"))</f>
        <v>Leavers</v>
      </c>
      <c r="CB2" s="1" t="str">
        <f>IF(COUNTIFS(AllVarName!$B:$B,AllVar!CB1)&gt;1,INDEX(MultipleLkup!$D:$D,MATCH(AllVar!CB1,MultipleLkup!$B:$B,0)),IFERROR(INDEX(AllVarName!$C:$C,MATCH(AllVar!CB1,AllVarName!$B:$B,0)),"No match"))</f>
        <v>Completers</v>
      </c>
      <c r="CC2" s="1" t="str">
        <f>IF(COUNTIFS(AllVarName!$B:$B,AllVar!CC1)&gt;1,INDEX(MultipleLkup!$D:$D,MATCH(AllVar!CC1,MultipleLkup!$B:$B,0)),IFERROR(INDEX(AllVarName!$C:$C,MATCH(AllVar!CC1,AllVarName!$B:$B,0)),"No match"))</f>
        <v>Achievers</v>
      </c>
      <c r="CD2" s="1" t="str">
        <f>IF(COUNTIFS(AllVarName!$B:$B,AllVar!CD1)&gt;1,INDEX(MultipleLkup!$D:$D,MATCH(AllVar!CD1,MultipleLkup!$B:$B,0)),IFERROR(INDEX(AllVarName!$C:$C,MATCH(AllVar!CD1,AllVarName!$B:$B,0)),"No match"))</f>
        <v>Retention Rate</v>
      </c>
      <c r="CE2" s="1" t="str">
        <f>IF(COUNTIFS(AllVarName!$B:$B,AllVar!CE1)&gt;1,INDEX(MultipleLkup!$D:$D,MATCH(AllVar!CE1,MultipleLkup!$B:$B,0)),IFERROR(INDEX(AllVarName!$C:$C,MATCH(AllVar!CE1,AllVarName!$B:$B,0)),"No match"))</f>
        <v>Pass Rate</v>
      </c>
      <c r="CF2" s="1" t="str">
        <f>IF(COUNTIFS(AllVarName!$B:$B,AllVar!CF1)&gt;1,INDEX(MultipleLkup!$D:$D,MATCH(AllVar!CF1,MultipleLkup!$B:$B,0)),IFERROR(INDEX(AllVarName!$C:$C,MATCH(AllVar!CF1,AllVarName!$B:$B,0)),"No match"))</f>
        <v>Achievement Rate</v>
      </c>
      <c r="CG2" s="1" t="str">
        <f>IF(COUNTIFS(AllVarName!$B:$B,AllVar!CG1)&gt;1,INDEX(MultipleLkup!$D:$D,MATCH(AllVar!CG1,MultipleLkup!$B:$B,0)),IFERROR(INDEX(AllVarName!$C:$C,MATCH(AllVar!CG1,AllVarName!$B:$B,0)),"No match"))</f>
        <v>Month</v>
      </c>
      <c r="CH2" s="1" t="str">
        <f>IF(COUNTIFS(AllVarName!$B:$B,AllVar!CH1)&gt;1,INDEX(MultipleLkup!$D:$D,MATCH(AllVar!CH1,MultipleLkup!$B:$B,0)),IFERROR(INDEX(AllVarName!$C:$C,MATCH(AllVar!CH1,AllVarName!$B:$B,0)),"No match"))</f>
        <v>Adverts</v>
      </c>
      <c r="CI2" s="1" t="str">
        <f>IF(COUNTIFS(AllVarName!$B:$B,AllVar!CI1)&gt;1,INDEX(MultipleLkup!$D:$D,MATCH(AllVar!CI1,MultipleLkup!$B:$B,0)),IFERROR(INDEX(AllVarName!$C:$C,MATCH(AllVar!CI1,AllVarName!$B:$B,0)),"No match"))</f>
        <v>Vacancies</v>
      </c>
      <c r="CJ2" s="1" t="str">
        <f>IF(COUNTIFS(AllVarName!$B:$B,AllVar!CJ1)&gt;1,INDEX(MultipleLkup!$D:$D,MATCH(AllVar!CJ1,MultipleLkup!$B:$B,0)),IFERROR(INDEX(AllVarName!$C:$C,MATCH(AllVar!CJ1,AllVarName!$B:$B,0)),"No match"))</f>
        <v>Start Academic Year</v>
      </c>
      <c r="CK2" s="1" t="str">
        <f>IF(COUNTIFS(AllVarName!$B:$B,AllVar!CK1)&gt;1,INDEX(MultipleLkup!$D:$D,MATCH(AllVar!CK1,MultipleLkup!$B:$B,0)),IFERROR(INDEX(AllVarName!$C:$C,MATCH(AllVar!CK1,AllVarName!$B:$B,0)),"No match"))</f>
        <v>Start month</v>
      </c>
      <c r="CL2" s="1" t="str">
        <f>IF(COUNTIFS(AllVarName!$B:$B,AllVar!CL1)&gt;1,INDEX(MultipleLkup!$D:$D,MATCH(AllVar!CL1,MultipleLkup!$B:$B,0)),IFERROR(INDEX(AllVarName!$C:$C,MATCH(AllVar!CL1,AllVarName!$B:$B,0)),"No match"))</f>
        <v>Start Age</v>
      </c>
      <c r="CM2" s="1" t="str">
        <f>IF(COUNTIFS(AllVarName!$B:$B,AllVar!CM1)&gt;1,INDEX(MultipleLkup!$D:$D,MATCH(AllVar!CM1,MultipleLkup!$B:$B,0)),IFERROR(INDEX(AllVarName!$C:$C,MATCH(AllVar!CM1,AllVarName!$B:$B,0)),"No match"))</f>
        <v>Tship starts</v>
      </c>
      <c r="CN2" s="1" t="str">
        <f>IF(COUNTIFS(AllVarName!$B:$B,AllVar!CN1)&gt;1,INDEX(MultipleLkup!$D:$D,MATCH(AllVar!CN1,MultipleLkup!$B:$B,0)),IFERROR(INDEX(AllVarName!$C:$C,MATCH(AllVar!CN1,AllVarName!$B:$B,0)),"No match"))</f>
        <v>Traineeship completions</v>
      </c>
      <c r="CO2" s="1" t="str">
        <f>IF(COUNTIFS(AllVarName!$B:$B,AllVar!CO1)&gt;1,INDEX(MultipleLkup!$D:$D,MATCH(AllVar!CO1,MultipleLkup!$B:$B,0)),IFERROR(INDEX(AllVarName!$C:$C,MATCH(AllVar!CO1,AllVarName!$B:$B,0)),"No match"))</f>
        <v>Traineeship completion rate</v>
      </c>
      <c r="CP2" s="1" t="str">
        <f>IF(COUNTIFS(AllVarName!$B:$B,AllVar!CP1)&gt;1,INDEX(MultipleLkup!$D:$D,MATCH(AllVar!CP1,MultipleLkup!$B:$B,0)),IFERROR(INDEX(AllVarName!$C:$C,MATCH(AllVar!CP1,AllVarName!$B:$B,0)),"No match"))</f>
        <v>Apprenticeship starts following t'ship</v>
      </c>
      <c r="CQ2" s="1" t="str">
        <f>IF(COUNTIFS(AllVarName!$B:$B,AllVar!CQ1)&gt;1,INDEX(MultipleLkup!$D:$D,MATCH(AllVar!CQ1,MultipleLkup!$B:$B,0)),IFERROR(INDEX(AllVarName!$C:$C,MATCH(AllVar!CQ1,AllVarName!$B:$B,0)),"No match"))</f>
        <v>Conversion rate into apprenticeship</v>
      </c>
      <c r="CR2" s="1" t="str">
        <f>IF(COUNTIFS(AllVarName!$B:$B,AllVar!CR1)&gt;1,INDEX(MultipleLkup!$D:$D,MATCH(AllVar!CR1,MultipleLkup!$B:$B,0)),IFERROR(INDEX(AllVarName!$C:$C,MATCH(AllVar!CR1,AllVarName!$B:$B,0)),"No match"))</f>
        <v>Payment status</v>
      </c>
      <c r="CS2" s="1" t="str">
        <f>IF(COUNTIFS(AllVarName!$B:$B,AllVar!CS1)&gt;1,INDEX(MultipleLkup!$D:$D,MATCH(AllVar!CS1,MultipleLkup!$B:$B,0)),IFERROR(INDEX(AllVarName!$C:$C,MATCH(AllVar!CS1,AllVarName!$B:$B,0)),"No match"))</f>
        <v>Latest levy status</v>
      </c>
      <c r="CT2" s="1" t="str">
        <f>IF(COUNTIFS(AllVarName!$B:$B,AllVar!CT1)&gt;1,INDEX(MultipleLkup!$D:$D,MATCH(AllVar!CT1,MultipleLkup!$B:$B,0)),IFERROR(INDEX(AllVarName!$C:$C,MATCH(AllVar!CT1,AllVarName!$B:$B,0)),"No match"))</f>
        <v>Transfer flag</v>
      </c>
      <c r="CU2" s="1" t="str">
        <f>IF(COUNTIFS(AllVarName!$B:$B,AllVar!CU1)&gt;1,INDEX(MultipleLkup!$D:$D,MATCH(AllVar!CU1,MultipleLkup!$B:$B,0)),IFERROR(INDEX(AllVarName!$C:$C,MATCH(AllVar!CU1,AllVarName!$B:$B,0)),"No match"))</f>
        <v>Commitments</v>
      </c>
      <c r="CV2" s="1" t="str">
        <f>IF(COUNTIFS(AllVarName!$B:$B,AllVar!CV1)&gt;1,INDEX(MultipleLkup!$D:$D,MATCH(AllVar!CV1,MultipleLkup!$B:$B,0)),IFERROR(INDEX(AllVarName!$C:$C,MATCH(AllVar!CV1,AllVarName!$B:$B,0)),"No match"))</f>
        <v>Starts (used in duration calculations)</v>
      </c>
      <c r="CW2" s="1" t="str">
        <f>IF(COUNTIFS(AllVarName!$B:$B,AllVar!CW1)&gt;1,INDEX(MultipleLkup!$D:$D,MATCH(AllVar!CW1,MultipleLkup!$B:$B,0)),IFERROR(INDEX(AllVarName!$C:$C,MATCH(AllVar!CW1,AllVarName!$B:$B,0)),"No match"))</f>
        <v>Average expected duration (days)</v>
      </c>
      <c r="CX2" s="1" t="str">
        <f>IF(COUNTIFS(AllVarName!$B:$B,AllVar!CX1)&gt;1,INDEX(MultipleLkup!$D:$D,MATCH(AllVar!CX1,MultipleLkup!$B:$B,0)),IFERROR(INDEX(AllVarName!$C:$C,MATCH(AllVar!CX1,AllVarName!$B:$B,0)),"No match"))</f>
        <v>Length of Employment</v>
      </c>
      <c r="CY2" s="1" t="str">
        <f>IF(COUNTIFS(AllVarName!$B:$B,AllVar!CY1)&gt;1,INDEX(MultipleLkup!$D:$D,MATCH(AllVar!CY1,MultipleLkup!$B:$B,0)),IFERROR(INDEX(AllVarName!$C:$C,MATCH(AllVar!CY1,AllVarName!$B:$B,0)),"No match"))</f>
        <v>Planned Length of Stay</v>
      </c>
      <c r="CZ2" s="1" t="str">
        <f>IF(COUNTIFS(AllVarName!$B:$B,AllVar!CZ1)&gt;1,INDEX(MultipleLkup!$D:$D,MATCH(AllVar!CZ1,MultipleLkup!$B:$B,0)),IFERROR(INDEX(AllVarName!$C:$C,MATCH(AllVar!CZ1,AllVarName!$B:$B,0)),"No match"))</f>
        <v>Starts</v>
      </c>
      <c r="DA2" s="1" t="str">
        <f>IF(COUNTIFS(AllVarName!$B:$B,AllVar!DA1)&gt;1,INDEX(MultipleLkup!$D:$D,MATCH(AllVar!DA1,MultipleLkup!$B:$B,0)),IFERROR(INDEX(AllVarName!$C:$C,MATCH(AllVar!DA1,AllVarName!$B:$B,0)),"No match"))</f>
        <v>Percentage starts</v>
      </c>
      <c r="DB2" s="1" t="str">
        <f>IF(COUNTIFS(AllVarName!$B:$B,AllVar!DB1)&gt;1,INDEX(MultipleLkup!$D:$D,MATCH(AllVar!DB1,MultipleLkup!$B:$B,0)),IFERROR(INDEX(AllVarName!$C:$C,MATCH(AllVar!DB1,AllVarName!$B:$B,0)),"No match"))</f>
        <v>Start rate per 10000 population</v>
      </c>
      <c r="DC2" s="1" t="str">
        <f>IF(COUNTIFS(AllVarName!$B:$B,AllVar!DC1)&gt;1,INDEX(MultipleLkup!$D:$D,MATCH(AllVar!DC1,MultipleLkup!$B:$B,0)),IFERROR(INDEX(AllVarName!$C:$C,MATCH(AllVar!DC1,AllVarName!$B:$B,0)),"No match"))</f>
        <v>Starts  Percentage by Age Level and Funding Type</v>
      </c>
      <c r="DD2" s="1" t="str">
        <f>IF(COUNTIFS(AllVarName!$B:$B,AllVar!DD1)&gt;1,INDEX(MultipleLkup!$D:$D,MATCH(AllVar!DD1,MultipleLkup!$B:$B,0)),IFERROR(INDEX(AllVarName!$C:$C,MATCH(AllVar!DD1,AllVarName!$B:$B,0)),"No match"))</f>
        <v>Start Percentage with provider type</v>
      </c>
      <c r="DE2" s="1" t="str">
        <f>IF(COUNTIFS(AllVarName!$B:$B,AllVar!DE1)&gt;1,INDEX(MultipleLkup!$D:$D,MATCH(AllVar!DE1,MultipleLkup!$B:$B,0)),IFERROR(INDEX(AllVarName!$C:$C,MATCH(AllVar!DE1,AllVarName!$B:$B,0)),"No match"))</f>
        <v>Traineeship starts</v>
      </c>
      <c r="DF2" s="1" t="str">
        <f>IF(COUNTIFS(AllVarName!$B:$B,AllVar!DF1)&gt;1,INDEX(MultipleLkup!$D:$D,MATCH(AllVar!DF1,MultipleLkup!$B:$B,0)),IFERROR(INDEX(AllVarName!$C:$C,MATCH(AllVar!DF1,AllVarName!$B:$B,0)),"No match"))</f>
        <v>Achievement</v>
      </c>
      <c r="DG2" s="1" t="str">
        <f>IF(COUNTIFS(AllVarName!$B:$B,AllVar!DG1)&gt;1,INDEX(MultipleLkup!$D:$D,MATCH(AllVar!DG1,MultipleLkup!$B:$B,0)),IFERROR(INDEX(AllVarName!$C:$C,MATCH(AllVar!DG1,AllVarName!$B:$B,0)),"No match"))</f>
        <v>Aim Achievements (Aug to Jul) Percentage</v>
      </c>
      <c r="DH2" s="1" t="str">
        <f>IF(COUNTIFS(AllVarName!$B:$B,AllVar!DH1)&gt;1,INDEX(MultipleLkup!$D:$D,MATCH(AllVar!DH1,MultipleLkup!$B:$B,0)),IFERROR(INDEX(AllVarName!$C:$C,MATCH(AllVar!DH1,AllVarName!$B:$B,0)),"No match"))</f>
        <v>Indicative achievements rate per 100,000 population</v>
      </c>
      <c r="DI2" s="1" t="str">
        <f>IF(COUNTIFS(AllVarName!$B:$B,AllVar!DI1)&gt;1,INDEX(MultipleLkup!$D:$D,MATCH(AllVar!DI1,MultipleLkup!$B:$B,0)),IFERROR(INDEX(AllVarName!$C:$C,MATCH(AllVar!DI1,AllVarName!$B:$B,0)),"No match"))</f>
        <v>Percentage achievements</v>
      </c>
      <c r="DJ2" s="1" t="str">
        <f>IF(COUNTIFS(AllVarName!$B:$B,AllVar!DJ1)&gt;1,INDEX(MultipleLkup!$D:$D,MATCH(AllVar!DJ1,MultipleLkup!$B:$B,0)),IFERROR(INDEX(AllVarName!$C:$C,MATCH(AllVar!DJ1,AllVarName!$B:$B,0)),"No match"))</f>
        <v>Achievement Percentage</v>
      </c>
      <c r="DK2" s="1" t="str">
        <f>IF(COUNTIFS(AllVarName!$B:$B,AllVar!DK1)&gt;1,INDEX(MultipleLkup!$D:$D,MATCH(AllVar!DK1,MultipleLkup!$B:$B,0)),IFERROR(INDEX(AllVarName!$C:$C,MATCH(AllVar!DK1,AllVarName!$B:$B,0)),"No match"))</f>
        <v>Achievements Percentage by Provider type and Level</v>
      </c>
      <c r="DL2" s="1" t="str">
        <f>IF(COUNTIFS(AllVarName!$B:$B,AllVar!DL1)&gt;1,INDEX(MultipleLkup!$D:$D,MATCH(AllVar!DL1,MultipleLkup!$B:$B,0)),IFERROR(INDEX(AllVarName!$C:$C,MATCH(AllVar!DL1,AllVarName!$B:$B,0)),"No match"))</f>
        <v>Achievements Percentage Change</v>
      </c>
      <c r="DM2" s="1" t="str">
        <f>IF(COUNTIFS(AllVarName!$B:$B,AllVar!DM1)&gt;1,INDEX(MultipleLkup!$D:$D,MATCH(AllVar!DM1,MultipleLkup!$B:$B,0)),IFERROR(INDEX(AllVarName!$C:$C,MATCH(AllVar!DM1,AllVarName!$B:$B,0)),"No match"))</f>
        <v>Total aim achievements</v>
      </c>
      <c r="DN2" s="1" t="str">
        <f>IF(COUNTIFS(AllVarName!$B:$B,AllVar!DN1)&gt;1,INDEX(MultipleLkup!$D:$D,MATCH(AllVar!DN1,MultipleLkup!$B:$B,0)),IFERROR(INDEX(AllVarName!$C:$C,MATCH(AllVar!DN1,AllVarName!$B:$B,0)),"No match"))</f>
        <v>Apprenticeships Achievements</v>
      </c>
      <c r="DO2" s="1" t="str">
        <f>IF(COUNTIFS(AllVarName!$B:$B,AllVar!DO1)&gt;1,INDEX(MultipleLkup!$D:$D,MATCH(AllVar!DO1,MultipleLkup!$B:$B,0)),IFERROR(INDEX(AllVarName!$C:$C,MATCH(AllVar!DO1,AllVarName!$B:$B,0)),"No match"))</f>
        <v>Education and Training Achievements</v>
      </c>
      <c r="DP2" s="1" t="str">
        <f>IF(COUNTIFS(AllVarName!$B:$B,AllVar!DP1)&gt;1,INDEX(MultipleLkup!$D:$D,MATCH(AllVar!DP1,MultipleLkup!$B:$B,0)),IFERROR(INDEX(AllVarName!$C:$C,MATCH(AllVar!DP1,AllVarName!$B:$B,0)),"No match"))</f>
        <v>Participation</v>
      </c>
      <c r="DQ2" s="1" t="str">
        <f>IF(COUNTIFS(AllVarName!$B:$B,AllVar!DQ1)&gt;1,INDEX(MultipleLkup!$D:$D,MATCH(AllVar!DQ1,MultipleLkup!$B:$B,0)),IFERROR(INDEX(AllVarName!$C:$C,MATCH(AllVar!DQ1,AllVarName!$B:$B,0)),"No match"))</f>
        <v>Participation type</v>
      </c>
      <c r="DR2" s="1" t="str">
        <f>IF(COUNTIFS(AllVarName!$B:$B,AllVar!DR1)&gt;1,INDEX(MultipleLkup!$D:$D,MATCH(AllVar!DR1,MultipleLkup!$B:$B,0)),IFERROR(INDEX(AllVarName!$C:$C,MATCH(AllVar!DR1,AllVarName!$B:$B,0)),"No match"))</f>
        <v>Number in education and training</v>
      </c>
      <c r="DS2" s="1" t="str">
        <f>IF(COUNTIFS(AllVarName!$B:$B,AllVar!DS1)&gt;1,INDEX(MultipleLkup!$D:$D,MATCH(AllVar!DS1,MultipleLkup!$B:$B,0)),IFERROR(INDEX(AllVarName!$C:$C,MATCH(AllVar!DS1,AllVarName!$B:$B,0)),"No match"))</f>
        <v>Percentage in education and training</v>
      </c>
      <c r="DT2" s="1" t="str">
        <f>IF(COUNTIFS(AllVarName!$B:$B,AllVar!DT1)&gt;1,INDEX(MultipleLkup!$D:$D,MATCH(AllVar!DT1,MultipleLkup!$B:$B,0)),IFERROR(INDEX(AllVarName!$C:$C,MATCH(AllVar!DT1,AllVarName!$B:$B,0)),"No match"))</f>
        <v>Number in education, training and employment</v>
      </c>
      <c r="DU2" s="1" t="str">
        <f>IF(COUNTIFS(AllVarName!$B:$B,AllVar!DU1)&gt;1,INDEX(MultipleLkup!$D:$D,MATCH(AllVar!DU1,MultipleLkup!$B:$B,0)),IFERROR(INDEX(AllVarName!$C:$C,MATCH(AllVar!DU1,AllVarName!$B:$B,0)),"No match"))</f>
        <v>Percentage in education, training and employment</v>
      </c>
      <c r="DV2" s="1" t="str">
        <f>IF(COUNTIFS(AllVarName!$B:$B,AllVar!DV1)&gt;1,INDEX(MultipleLkup!$D:$D,MATCH(AllVar!DV1,MultipleLkup!$B:$B,0)),IFERROR(INDEX(AllVarName!$C:$C,MATCH(AllVar!DV1,AllVarName!$B:$B,0)),"No match"))</f>
        <v>Participation rate per 10000 population</v>
      </c>
      <c r="DW2" s="1" t="str">
        <f>IF(COUNTIFS(AllVarName!$B:$B,AllVar!DW1)&gt;1,INDEX(MultipleLkup!$D:$D,MATCH(AllVar!DW1,MultipleLkup!$B:$B,0)),IFERROR(INDEX(AllVarName!$C:$C,MATCH(AllVar!DW1,AllVarName!$B:$B,0)),"No match"))</f>
        <v>All Participation</v>
      </c>
      <c r="DX2" s="1" t="str">
        <f>IF(COUNTIFS(AllVarName!$B:$B,AllVar!DX1)&gt;1,INDEX(MultipleLkup!$D:$D,MATCH(AllVar!DX1,MultipleLkup!$B:$B,0)),IFERROR(INDEX(AllVarName!$C:$C,MATCH(AllVar!DX1,AllVarName!$B:$B,0)),"No match"))</f>
        <v>Apprenticeships Participation</v>
      </c>
      <c r="DY2" s="1" t="str">
        <f>IF(COUNTIFS(AllVarName!$B:$B,AllVar!DY1)&gt;1,INDEX(MultipleLkup!$D:$D,MATCH(AllVar!DY1,MultipleLkup!$B:$B,0)),IFERROR(INDEX(AllVarName!$C:$C,MATCH(AllVar!DY1,AllVarName!$B:$B,0)),"No match"))</f>
        <v>Education and Training Participation</v>
      </c>
      <c r="DZ2" s="1" t="str">
        <f>IF(COUNTIFS(AllVarName!$B:$B,AllVar!DZ1)&gt;1,INDEX(MultipleLkup!$D:$D,MATCH(AllVar!DZ1,MultipleLkup!$B:$B,0)),IFERROR(INDEX(AllVarName!$C:$C,MATCH(AllVar!DZ1,AllVarName!$B:$B,0)),"No match"))</f>
        <v>All Participation Percentage Change</v>
      </c>
      <c r="EA2" s="1" t="str">
        <f>IF(COUNTIFS(AllVarName!$B:$B,AllVar!EA1)&gt;1,INDEX(MultipleLkup!$D:$D,MATCH(AllVar!EA1,MultipleLkup!$B:$B,0)),IFERROR(INDEX(AllVarName!$C:$C,MATCH(AllVar!EA1,AllVarName!$B:$B,0)),"No match"))</f>
        <v>annual participation percentage change</v>
      </c>
      <c r="EB2" s="1" t="str">
        <f>IF(COUNTIFS(AllVarName!$B:$B,AllVar!EB1)&gt;1,INDEX(MultipleLkup!$D:$D,MATCH(AllVar!EB1,MultipleLkup!$B:$B,0)),IFERROR(INDEX(AllVarName!$C:$C,MATCH(AllVar!EB1,AllVarName!$B:$B,0)),"No match"))</f>
        <v>participation percentage change</v>
      </c>
      <c r="EC2" s="1" t="str">
        <f>IF(COUNTIFS(AllVarName!$B:$B,AllVar!EC1)&gt;1,INDEX(MultipleLkup!$D:$D,MATCH(AllVar!EC1,MultipleLkup!$B:$B,0)),IFERROR(INDEX(AllVarName!$C:$C,MATCH(AllVar!EC1,AllVarName!$B:$B,0)),"No match"))</f>
        <v>Annual change in percent participating</v>
      </c>
      <c r="ED2" s="1" t="str">
        <f>IF(COUNTIFS(AllVarName!$B:$B,AllVar!ED1)&gt;1,INDEX(MultipleLkup!$D:$D,MATCH(AllVar!ED1,MultipleLkup!$B:$B,0)),IFERROR(INDEX(AllVarName!$C:$C,MATCH(AllVar!ED1,AllVarName!$B:$B,0)),"No match"))</f>
        <v>Total aim Enrolments</v>
      </c>
      <c r="EE2" s="1" t="str">
        <f>IF(COUNTIFS(AllVarName!$B:$B,AllVar!EE1)&gt;1,INDEX(MultipleLkup!$D:$D,MATCH(AllVar!EE1,MultipleLkup!$B:$B,0)),IFERROR(INDEX(AllVarName!$C:$C,MATCH(AllVar!EE1,AllVarName!$B:$B,0)),"No match"))</f>
        <v>Aim Enrolments (Aug to Jul) Percentage</v>
      </c>
      <c r="EF2" s="1" t="str">
        <f>IF(COUNTIFS(AllVarName!$B:$B,AllVar!EF1)&gt;1,INDEX(MultipleLkup!$D:$D,MATCH(AllVar!EF1,MultipleLkup!$B:$B,0)),IFERROR(INDEX(AllVarName!$C:$C,MATCH(AllVar!EF1,AllVarName!$B:$B,0)),"No match"))</f>
        <v>Aim enrolment</v>
      </c>
      <c r="EG2" s="1" t="str">
        <f>IF(COUNTIFS(AllVarName!$B:$B,AllVar!EG1)&gt;1,INDEX(MultipleLkup!$D:$D,MATCH(AllVar!EG1,MultipleLkup!$B:$B,0)),IFERROR(INDEX(AllVarName!$C:$C,MATCH(AllVar!EG1,AllVarName!$B:$B,0)),"No match"))</f>
        <v>Apprenticeship level</v>
      </c>
      <c r="EH2" s="1" t="str">
        <f>IF(COUNTIFS(AllVarName!$B:$B,AllVar!EH1)&gt;1,INDEX(MultipleLkup!$D:$D,MATCH(AllVar!EH1,MultipleLkup!$B:$B,0)),IFERROR(INDEX(AllVarName!$C:$C,MATCH(AllVar!EH1,AllVarName!$B:$B,0)),"No match"))</f>
        <v>Detailed apprenticeship level</v>
      </c>
      <c r="EI2" s="1" t="str">
        <f>IF(COUNTIFS(AllVarName!$B:$B,AllVar!EI1)&gt;1,INDEX(MultipleLkup!$D:$D,MATCH(AllVar!EI1,MultipleLkup!$B:$B,0)),IFERROR(INDEX(AllVarName!$C:$C,MATCH(AllVar!EI1,AllVarName!$B:$B,0)),"No match"))</f>
        <v>All age Apprenticeships</v>
      </c>
      <c r="EJ2" s="1" t="str">
        <f>IF(COUNTIFS(AllVarName!$B:$B,AllVar!EJ1)&gt;1,INDEX(MultipleLkup!$D:$D,MATCH(AllVar!EJ1,MultipleLkup!$B:$B,0)),IFERROR(INDEX(AllVarName!$C:$C,MATCH(AllVar!EJ1,AllVarName!$B:$B,0)),"No match"))</f>
        <v>Apprenticeships - Intermediate</v>
      </c>
      <c r="EK2" s="1" t="str">
        <f>IF(COUNTIFS(AllVarName!$B:$B,AllVar!EK1)&gt;1,INDEX(MultipleLkup!$D:$D,MATCH(AllVar!EK1,MultipleLkup!$B:$B,0)),IFERROR(INDEX(AllVarName!$C:$C,MATCH(AllVar!EK1,AllVarName!$B:$B,0)),"No match"))</f>
        <v>Apprenticeships - Advanced</v>
      </c>
      <c r="EL2" s="1" t="str">
        <f>IF(COUNTIFS(AllVarName!$B:$B,AllVar!EL1)&gt;1,INDEX(MultipleLkup!$D:$D,MATCH(AllVar!EL1,MultipleLkup!$B:$B,0)),IFERROR(INDEX(AllVarName!$C:$C,MATCH(AllVar!EL1,AllVarName!$B:$B,0)),"No match"))</f>
        <v>Apprenticeships - Higher</v>
      </c>
      <c r="EM2" s="1" t="str">
        <f>IF(COUNTIFS(AllVarName!$B:$B,AllVar!EM1)&gt;1,INDEX(MultipleLkup!$D:$D,MATCH(AllVar!EM1,MultipleLkup!$B:$B,0)),IFERROR(INDEX(AllVarName!$C:$C,MATCH(AllVar!EM1,AllVarName!$B:$B,0)),"No match"))</f>
        <v>Level 6 plus</v>
      </c>
      <c r="EN2" s="1" t="str">
        <f>IF(COUNTIFS(AllVarName!$B:$B,AllVar!EN1)&gt;1,INDEX(MultipleLkup!$D:$D,MATCH(AllVar!EN1,MultipleLkup!$B:$B,0)),IFERROR(INDEX(AllVarName!$C:$C,MATCH(AllVar!EN1,AllVarName!$B:$B,0)),"No match"))</f>
        <v>Mandatory degree</v>
      </c>
      <c r="EO2" s="1" t="str">
        <f>IF(COUNTIFS(AllVarName!$B:$B,AllVar!EO1)&gt;1,INDEX(MultipleLkup!$D:$D,MATCH(AllVar!EO1,MultipleLkup!$B:$B,0)),IFERROR(INDEX(AllVarName!$C:$C,MATCH(AllVar!EO1,AllVarName!$B:$B,0)),"No match"))</f>
        <v>Intermediate Learners</v>
      </c>
      <c r="EP2" s="1" t="str">
        <f>IF(COUNTIFS(AllVarName!$B:$B,AllVar!EP1)&gt;1,INDEX(MultipleLkup!$D:$D,MATCH(AllVar!EP1,MultipleLkup!$B:$B,0)),IFERROR(INDEX(AllVarName!$C:$C,MATCH(AllVar!EP1,AllVarName!$B:$B,0)),"No match"))</f>
        <v>Advanced Learners</v>
      </c>
      <c r="EQ2" s="1" t="str">
        <f>IF(COUNTIFS(AllVarName!$B:$B,AllVar!EQ1)&gt;1,INDEX(MultipleLkup!$D:$D,MATCH(AllVar!EQ1,MultipleLkup!$B:$B,0)),IFERROR(INDEX(AllVarName!$C:$C,MATCH(AllVar!EQ1,AllVarName!$B:$B,0)),"No match"))</f>
        <v>Total learners</v>
      </c>
      <c r="ER2" s="1" t="str">
        <f>IF(COUNTIFS(AllVarName!$B:$B,AllVar!ER1)&gt;1,INDEX(MultipleLkup!$D:$D,MATCH(AllVar!ER1,MultipleLkup!$B:$B,0)),IFERROR(INDEX(AllVarName!$C:$C,MATCH(AllVar!ER1,AllVarName!$B:$B,0)),"No match"))</f>
        <v>Total participation in further education and skills</v>
      </c>
      <c r="ES2" s="1" t="str">
        <f>IF(COUNTIFS(AllVarName!$B:$B,AllVar!ES1)&gt;1,INDEX(MultipleLkup!$D:$D,MATCH(AllVar!ES1,MultipleLkup!$B:$B,0)),IFERROR(INDEX(AllVarName!$C:$C,MATCH(AllVar!ES1,AllVarName!$B:$B,0)),"No match"))</f>
        <v xml:space="preserve">Total participation in education and training </v>
      </c>
      <c r="ET2" s="1" t="str">
        <f>IF(COUNTIFS(AllVarName!$B:$B,AllVar!ET1)&gt;1,INDEX(MultipleLkup!$D:$D,MATCH(AllVar!ET1,MultipleLkup!$B:$B,0)),IFERROR(INDEX(AllVarName!$C:$C,MATCH(AllVar!ET1,AllVarName!$B:$B,0)),"No match"))</f>
        <v>Learn Percent</v>
      </c>
      <c r="EU2" s="1" t="str">
        <f>IF(COUNTIFS(AllVarName!$B:$B,AllVar!EU1)&gt;1,INDEX(MultipleLkup!$D:$D,MATCH(AllVar!EU1,MultipleLkup!$B:$B,0)),IFERROR(INDEX(AllVarName!$C:$C,MATCH(AllVar!EU1,AllVarName!$B:$B,0)),"No match"))</f>
        <v>Sustained learning only rate</v>
      </c>
      <c r="EV2" s="1" t="str">
        <f>IF(COUNTIFS(AllVarName!$B:$B,AllVar!EV1)&gt;1,INDEX(MultipleLkup!$D:$D,MATCH(AllVar!EV1,MultipleLkup!$B:$B,0)),IFERROR(INDEX(AllVarName!$C:$C,MATCH(AllVar!EV1,AllVarName!$B:$B,0)),"No match"))</f>
        <v>Number of years after achievement of learning aim</v>
      </c>
      <c r="EW2" s="1" t="str">
        <f>IF(COUNTIFS(AllVarName!$B:$B,AllVar!EW1)&gt;1,INDEX(MultipleLkup!$D:$D,MATCH(AllVar!EW1,MultipleLkup!$B:$B,0)),IFERROR(INDEX(AllVarName!$C:$C,MATCH(AllVar!EW1,AllVarName!$B:$B,0)),"No match"))</f>
        <v>Number of learners matched to longitudinal education outcomes data</v>
      </c>
      <c r="EX2" s="1" t="str">
        <f>IF(COUNTIFS(AllVarName!$B:$B,AllVar!EX1)&gt;1,INDEX(MultipleLkup!$D:$D,MATCH(AllVar!EX1,MultipleLkup!$B:$B,0)),IFERROR(INDEX(AllVarName!$C:$C,MATCH(AllVar!EX1,AllVarName!$B:$B,0)),"No match"))</f>
        <v>First Time At Level</v>
      </c>
      <c r="EY2" s="1" t="str">
        <f>IF(COUNTIFS(AllVarName!$B:$B,AllVar!EY1)&gt;1,INDEX(MultipleLkup!$D:$D,MATCH(AllVar!EY1,MultipleLkup!$B:$B,0)),IFERROR(INDEX(AllVarName!$C:$C,MATCH(AllVar!EY1,AllVarName!$B:$B,0)),"No match"))</f>
        <v>Percent of matched learners achieving at this level for the first time</v>
      </c>
      <c r="EZ2" s="1" t="str">
        <f>IF(COUNTIFS(AllVarName!$B:$B,AllVar!EZ1)&gt;1,INDEX(MultipleLkup!$D:$D,MATCH(AllVar!EZ1,MultipleLkup!$B:$B,0)),IFERROR(INDEX(AllVarName!$C:$C,MATCH(AllVar!EZ1,AllVarName!$B:$B,0)),"No match"))</f>
        <v>Further education &amp; skills Percentage</v>
      </c>
      <c r="FA2" s="1" t="str">
        <f>IF(COUNTIFS(AllVarName!$B:$B,AllVar!FA1)&gt;1,INDEX(MultipleLkup!$D:$D,MATCH(AllVar!FA1,MultipleLkup!$B:$B,0)),IFERROR(INDEX(AllVarName!$C:$C,MATCH(AllVar!FA1,AllVarName!$B:$B,0)),"No match"))</f>
        <v>Adult (19+) further education and skills participation</v>
      </c>
      <c r="FB2" s="1" t="str">
        <f>IF(COUNTIFS(AllVarName!$B:$B,AllVar!FB1)&gt;1,INDEX(MultipleLkup!$D:$D,MATCH(AllVar!FB1,MultipleLkup!$B:$B,0)),IFERROR(INDEX(AllVarName!$C:$C,MATCH(AllVar!FB1,AllVarName!$B:$B,0)),"No match"))</f>
        <v>Adult (19+) education and training participation</v>
      </c>
      <c r="FC2" s="1" t="str">
        <f>IF(COUNTIFS(AllVarName!$B:$B,AllVar!FC1)&gt;1,INDEX(MultipleLkup!$D:$D,MATCH(AllVar!FC1,MultipleLkup!$B:$B,0)),IFERROR(INDEX(AllVarName!$C:$C,MATCH(AllVar!FC1,AllVarName!$B:$B,0)),"No match"))</f>
        <v>Community learning participation</v>
      </c>
      <c r="FD2" s="1" t="str">
        <f>IF(COUNTIFS(AllVarName!$B:$B,AllVar!FD1)&gt;1,INDEX(MultipleLkup!$D:$D,MATCH(AllVar!FD1,MultipleLkup!$B:$B,0)),IFERROR(INDEX(AllVarName!$C:$C,MATCH(AllVar!FD1,AllVarName!$B:$B,0)),"No match"))</f>
        <v>Education &amp; training Percentage</v>
      </c>
      <c r="FE2" s="1" t="str">
        <f>IF(COUNTIFS(AllVarName!$B:$B,AllVar!FE1)&gt;1,INDEX(MultipleLkup!$D:$D,MATCH(AllVar!FE1,MultipleLkup!$B:$B,0)),IFERROR(INDEX(AllVarName!$C:$C,MATCH(AllVar!FE1,AllVarName!$B:$B,0)),"No match"))</f>
        <v>High learners</v>
      </c>
      <c r="FF2" s="1" t="str">
        <f>IF(COUNTIFS(AllVarName!$B:$B,AllVar!FF1)&gt;1,INDEX(MultipleLkup!$D:$D,MATCH(AllVar!FF1,MultipleLkup!$B:$B,0)),IFERROR(INDEX(AllVarName!$C:$C,MATCH(AllVar!FF1,AllVarName!$B:$B,0)),"No match"))</f>
        <v>Provider type</v>
      </c>
      <c r="FG2" s="1" t="str">
        <f>IF(COUNTIFS(AllVarName!$B:$B,AllVar!FG1)&gt;1,INDEX(MultipleLkup!$D:$D,MATCH(AllVar!FG1,MultipleLkup!$B:$B,0)),IFERROR(INDEX(AllVarName!$C:$C,MATCH(AllVar!FG1,AllVarName!$B:$B,0)),"No match"))</f>
        <v>Provider name</v>
      </c>
      <c r="FH2" s="1" t="str">
        <f>IF(COUNTIFS(AllVarName!$B:$B,AllVar!FH1)&gt;1,INDEX(MultipleLkup!$D:$D,MATCH(AllVar!FH1,MultipleLkup!$B:$B,0)),IFERROR(INDEX(AllVarName!$C:$C,MATCH(AllVar!FH1,AllVarName!$B:$B,0)),"No match"))</f>
        <v>Provider UK Provider Reference Number</v>
      </c>
      <c r="FI2" s="1" t="str">
        <f>IF(COUNTIFS(AllVarName!$B:$B,AllVar!FI1)&gt;1,INDEX(MultipleLkup!$D:$D,MATCH(AllVar!FI1,MultipleLkup!$B:$B,0)),IFERROR(INDEX(AllVarName!$C:$C,MATCH(AllVar!FI1,AllVarName!$B:$B,0)),"No match"))</f>
        <v>Provision type</v>
      </c>
      <c r="FJ2" s="1" t="str">
        <f>IF(COUNTIFS(AllVarName!$B:$B,AllVar!FJ1)&gt;1,INDEX(MultipleLkup!$D:$D,MATCH(AllVar!FJ1,MultipleLkup!$B:$B,0)),IFERROR(INDEX(AllVarName!$C:$C,MATCH(AllVar!FJ1,AllVarName!$B:$B,0)),"No match"))</f>
        <v>Funding Type</v>
      </c>
      <c r="FK2" s="1" t="str">
        <f>IF(COUNTIFS(AllVarName!$B:$B,AllVar!FK1)&gt;1,INDEX(MultipleLkup!$D:$D,MATCH(AllVar!FK1,MultipleLkup!$B:$B,0)),IFERROR(INDEX(AllVarName!$C:$C,MATCH(AllVar!FK1,AllVarName!$B:$B,0)),"No match"))</f>
        <v>Sub-sector</v>
      </c>
      <c r="FL2" s="1" t="str">
        <f>IF(COUNTIFS(AllVarName!$B:$B,AllVar!FL1)&gt;1,INDEX(MultipleLkup!$D:$D,MATCH(AllVar!FL1,MultipleLkup!$B:$B,0)),IFERROR(INDEX(AllVarName!$C:$C,MATCH(AllVar!FL1,AllVarName!$B:$B,0)),"No match"))</f>
        <v>Number of employers included in period</v>
      </c>
      <c r="FM2" s="1" t="str">
        <f>IF(COUNTIFS(AllVarName!$B:$B,AllVar!FM1)&gt;1,INDEX(MultipleLkup!$D:$D,MATCH(AllVar!FM1,MultipleLkup!$B:$B,0)),IFERROR(INDEX(AllVarName!$C:$C,MATCH(AllVar!FM1,AllVarName!$B:$B,0)),"No match"))</f>
        <v>Percentage of employees starting apprenticeships in period</v>
      </c>
      <c r="FN2" s="1" t="str">
        <f>IF(COUNTIFS(AllVarName!$B:$B,AllVar!FN1)&gt;1,INDEX(MultipleLkup!$D:$D,MATCH(AllVar!FN1,MultipleLkup!$B:$B,0)),IFERROR(INDEX(AllVarName!$C:$C,MATCH(AllVar!FN1,AllVarName!$B:$B,0)),"No match"))</f>
        <v>Employment Percentage</v>
      </c>
      <c r="FO2" s="1" t="str">
        <f>IF(COUNTIFS(AllVarName!$B:$B,AllVar!FO1)&gt;1,INDEX(MultipleLkup!$D:$D,MATCH(AllVar!FO1,MultipleLkup!$B:$B,0)),IFERROR(INDEX(AllVarName!$C:$C,MATCH(AllVar!FO1,AllVarName!$B:$B,0)),"No match"))</f>
        <v>Self-employed rate</v>
      </c>
      <c r="FP2" s="1" t="str">
        <f>IF(COUNTIFS(AllVarName!$B:$B,AllVar!FP1)&gt;1,INDEX(MultipleLkup!$D:$D,MATCH(AllVar!FP1,MultipleLkup!$B:$B,0)),IFERROR(INDEX(AllVarName!$C:$C,MATCH(AllVar!FP1,AllVarName!$B:$B,0)),"No match"))</f>
        <v>Sustained employment only rate</v>
      </c>
      <c r="FQ2" s="1" t="str">
        <f>IF(COUNTIFS(AllVarName!$B:$B,AllVar!FQ1)&gt;1,INDEX(MultipleLkup!$D:$D,MATCH(AllVar!FQ1,MultipleLkup!$B:$B,0)),IFERROR(INDEX(AllVarName!$C:$C,MATCH(AllVar!FQ1,AllVarName!$B:$B,0)),"No match"))</f>
        <v>Sustained employment and learning</v>
      </c>
      <c r="FR2" s="1" t="str">
        <f>IF(COUNTIFS(AllVarName!$B:$B,AllVar!FR1)&gt;1,INDEX(MultipleLkup!$D:$D,MATCH(AllVar!FR1,MultipleLkup!$B:$B,0)),IFERROR(INDEX(AllVarName!$C:$C,MATCH(AllVar!FR1,AllVarName!$B:$B,0)),"No match"))</f>
        <v>Headcount prior to period (thousands)</v>
      </c>
      <c r="FS2" s="1" t="str">
        <f>IF(COUNTIFS(AllVarName!$B:$B,AllVar!FS1)&gt;1,INDEX(MultipleLkup!$D:$D,MATCH(AllVar!FS1,MultipleLkup!$B:$B,0)),IFERROR(INDEX(AllVarName!$C:$C,MATCH(AllVar!FS1,AllVarName!$B:$B,0)),"No match"))</f>
        <v>Apprentices prior to period (thousands)</v>
      </c>
      <c r="FT2" s="1" t="str">
        <f>IF(COUNTIFS(AllVarName!$B:$B,AllVar!FT1)&gt;1,INDEX(MultipleLkup!$D:$D,MATCH(AllVar!FT1,MultipleLkup!$B:$B,0)),IFERROR(INDEX(AllVarName!$C:$C,MATCH(AllVar!FT1,AllVarName!$B:$B,0)),"No match"))</f>
        <v>Apprentices % prior to period</v>
      </c>
      <c r="FU2" s="1" t="str">
        <f>IF(COUNTIFS(AllVarName!$B:$B,AllVar!FU1)&gt;1,INDEX(MultipleLkup!$D:$D,MATCH(AllVar!FU1,MultipleLkup!$B:$B,0)),IFERROR(INDEX(AllVarName!$C:$C,MATCH(AllVar!FU1,AllVarName!$B:$B,0)),"No match"))</f>
        <v>New employees in period (thousands)</v>
      </c>
      <c r="FV2" s="1" t="str">
        <f>IF(COUNTIFS(AllVarName!$B:$B,AllVar!FV1)&gt;1,INDEX(MultipleLkup!$D:$D,MATCH(AllVar!FV1,MultipleLkup!$B:$B,0)),IFERROR(INDEX(AllVarName!$C:$C,MATCH(AllVar!FV1,AllVarName!$B:$B,0)),"No match"))</f>
        <v>New apprentices in period (thousands)</v>
      </c>
      <c r="FW2" s="1" t="str">
        <f>IF(COUNTIFS(AllVarName!$B:$B,AllVar!FW1)&gt;1,INDEX(MultipleLkup!$D:$D,MATCH(AllVar!FW1,MultipleLkup!$B:$B,0)),IFERROR(INDEX(AllVarName!$C:$C,MATCH(AllVar!FW1,AllVarName!$B:$B,0)),"No match"))</f>
        <v>Apprenticeship training starts as % of new employees in period</v>
      </c>
      <c r="FX2" s="1" t="str">
        <f>IF(COUNTIFS(AllVarName!$B:$B,AllVar!FX1)&gt;1,INDEX(MultipleLkup!$D:$D,MATCH(AllVar!FX1,MultipleLkup!$B:$B,0)),IFERROR(INDEX(AllVarName!$C:$C,MATCH(AllVar!FX1,AllVarName!$B:$B,0)),"No match"))</f>
        <v>Headcount at end of period (thousands)</v>
      </c>
      <c r="FY2" s="1" t="str">
        <f>IF(COUNTIFS(AllVarName!$B:$B,AllVar!FY1)&gt;1,INDEX(MultipleLkup!$D:$D,MATCH(AllVar!FY1,MultipleLkup!$B:$B,0)),IFERROR(INDEX(AllVarName!$C:$C,MATCH(AllVar!FY1,AllVarName!$B:$B,0)),"No match"))</f>
        <v>Apprentices at end of period (thousands)</v>
      </c>
      <c r="FZ2" s="1" t="str">
        <f>IF(COUNTIFS(AllVarName!$B:$B,AllVar!FZ1)&gt;1,INDEX(MultipleLkup!$D:$D,MATCH(AllVar!FZ1,MultipleLkup!$B:$B,0)),IFERROR(INDEX(AllVarName!$C:$C,MATCH(AllVar!FZ1,AllVarName!$B:$B,0)),"No match"))</f>
        <v>Apprentices % at end of period</v>
      </c>
      <c r="GA2" s="1" t="str">
        <f>IF(COUNTIFS(AllVarName!$B:$B,AllVar!GA1)&gt;1,INDEX(MultipleLkup!$D:$D,MATCH(AllVar!GA1,MultipleLkup!$B:$B,0)),IFERROR(INDEX(AllVarName!$C:$C,MATCH(AllVar!GA1,AllVarName!$B:$B,0)),"No match"))</f>
        <v>Cumulative headcount over 4-year period 2017/18 to 2020/21 (thousands)</v>
      </c>
      <c r="GB2" s="1" t="str">
        <f>IF(COUNTIFS(AllVarName!$B:$B,AllVar!GB1)&gt;1,INDEX(MultipleLkup!$D:$D,MATCH(AllVar!GB1,MultipleLkup!$B:$B,0)),IFERROR(INDEX(AllVarName!$C:$C,MATCH(AllVar!GB1,AllVarName!$B:$B,0)),"No match"))</f>
        <v>Cumulative new apprentices over 4-year period 2017/18 to 2020/21 (thousands)</v>
      </c>
      <c r="GC2" s="1" t="str">
        <f>IF(COUNTIFS(AllVarName!$B:$B,AllVar!GC1)&gt;1,INDEX(MultipleLkup!$D:$D,MATCH(AllVar!GC1,MultipleLkup!$B:$B,0)),IFERROR(INDEX(AllVarName!$C:$C,MATCH(AllVar!GC1,AllVarName!$B:$B,0)),"No match"))</f>
        <v>Average % of employees starting apprenticeship (over 4-year period 2017/18 to 2020/21)</v>
      </c>
      <c r="GD2" s="1" t="str">
        <f>IF(COUNTIFS(AllVarName!$B:$B,AllVar!GD1)&gt;1,INDEX(MultipleLkup!$D:$D,MATCH(AllVar!GD1,MultipleLkup!$B:$B,0)),IFERROR(INDEX(AllVarName!$C:$C,MATCH(AllVar!GD1,AllVarName!$B:$B,0)),"No match"))</f>
        <v>Redundancies</v>
      </c>
      <c r="GE2" s="1" t="str">
        <f>IF(COUNTIFS(AllVarName!$B:$B,AllVar!GE1)&gt;1,INDEX(MultipleLkup!$D:$D,MATCH(AllVar!GE1,MultipleLkup!$B:$B,0)),IFERROR(INDEX(AllVarName!$C:$C,MATCH(AllVar!GE1,AllVarName!$B:$B,0)),"No match"))</f>
        <v>Positive Destinations</v>
      </c>
      <c r="GF2" s="1" t="str">
        <f>IF(COUNTIFS(AllVarName!$B:$B,AllVar!GF1)&gt;1,INDEX(MultipleLkup!$D:$D,MATCH(AllVar!GF1,MultipleLkup!$B:$B,0)),IFERROR(INDEX(AllVarName!$C:$C,MATCH(AllVar!GF1,AllVarName!$B:$B,0)),"No match"))</f>
        <v>Positive Destination Rate</v>
      </c>
      <c r="GG2" s="1" t="str">
        <f>IF(COUNTIFS(AllVarName!$B:$B,AllVar!GG1)&gt;1,INDEX(MultipleLkup!$D:$D,MATCH(AllVar!GG1,MultipleLkup!$B:$B,0)),IFERROR(INDEX(AllVarName!$C:$C,MATCH(AllVar!GG1,AllVarName!$B:$B,0)),"No match"))</f>
        <v>Destination year</v>
      </c>
      <c r="GH2" s="1" t="str">
        <f>IF(COUNTIFS(AllVarName!$B:$B,AllVar!GH1)&gt;1,INDEX(MultipleLkup!$D:$D,MATCH(AllVar!GH1,MultipleLkup!$B:$B,0)),IFERROR(INDEX(AllVarName!$C:$C,MATCH(AllVar!GH1,AllVarName!$B:$B,0)),"No match"))</f>
        <v>Number of matched learners with any learning destination</v>
      </c>
      <c r="GI2" s="1" t="str">
        <f>IF(COUNTIFS(AllVarName!$B:$B,AllVar!GI1)&gt;1,INDEX(MultipleLkup!$D:$D,MATCH(AllVar!GI1,MultipleLkup!$B:$B,0)),IFERROR(INDEX(AllVarName!$C:$C,MATCH(AllVar!GI1,AllVarName!$B:$B,0)),"No match"))</f>
        <v>Adult FE &amp; skills</v>
      </c>
      <c r="GJ2" s="1" t="str">
        <f>IF(COUNTIFS(AllVarName!$B:$B,AllVar!GJ1)&gt;1,INDEX(MultipleLkup!$D:$D,MATCH(AllVar!GJ1,MultipleLkup!$B:$B,0)),IFERROR(INDEX(AllVarName!$C:$C,MATCH(AllVar!GJ1,AllVarName!$B:$B,0)),"No match"))</f>
        <v>Adult Education &amp; training</v>
      </c>
      <c r="GK2" s="1" t="str">
        <f>IF(COUNTIFS(AllVarName!$B:$B,AllVar!GK1)&gt;1,INDEX(MultipleLkup!$D:$D,MATCH(AllVar!GK1,MultipleLkup!$B:$B,0)),IFERROR(INDEX(AllVarName!$C:$C,MATCH(AllVar!GK1,AllVarName!$B:$B,0)),"No match"))</f>
        <v>Adult Apprenticeships</v>
      </c>
      <c r="GL2" s="1" t="str">
        <f>IF(COUNTIFS(AllVarName!$B:$B,AllVar!GL1)&gt;1,INDEX(MultipleLkup!$D:$D,MATCH(AllVar!GL1,MultipleLkup!$B:$B,0)),IFERROR(INDEX(AllVarName!$C:$C,MATCH(AllVar!GL1,AllVarName!$B:$B,0)),"No match"))</f>
        <v>Adult further education and skills - Full Level 2</v>
      </c>
      <c r="GM2" s="1" t="str">
        <f>IF(COUNTIFS(AllVarName!$B:$B,AllVar!GM1)&gt;1,INDEX(MultipleLkup!$D:$D,MATCH(AllVar!GM1,MultipleLkup!$B:$B,0)),IFERROR(INDEX(AllVarName!$C:$C,MATCH(AllVar!GM1,AllVarName!$B:$B,0)),"No match"))</f>
        <v>Adult further education and skills - Full Level3</v>
      </c>
      <c r="GN2" s="1" t="str">
        <f>IF(COUNTIFS(AllVarName!$B:$B,AllVar!GN1)&gt;1,INDEX(MultipleLkup!$D:$D,MATCH(AllVar!GN1,MultipleLkup!$B:$B,0)),IFERROR(INDEX(AllVarName!$C:$C,MATCH(AllVar!GN1,AllVarName!$B:$B,0)),"No match"))</f>
        <v>Adult further education and skills - Level 4+</v>
      </c>
      <c r="GO2" s="1" t="str">
        <f>IF(COUNTIFS(AllVarName!$B:$B,AllVar!GO1)&gt;1,INDEX(MultipleLkup!$D:$D,MATCH(AllVar!GO1,MultipleLkup!$B:$B,0)),IFERROR(INDEX(AllVarName!$C:$C,MATCH(AllVar!GO1,AllVarName!$B:$B,0)),"No match"))</f>
        <v>Community learning</v>
      </c>
      <c r="GP2" s="1" t="str">
        <f>IF(COUNTIFS(AllVarName!$B:$B,AllVar!GP1)&gt;1,INDEX(MultipleLkup!$D:$D,MATCH(AllVar!GP1,MultipleLkup!$B:$B,0)),IFERROR(INDEX(AllVarName!$C:$C,MATCH(AllVar!GP1,AllVarName!$B:$B,0)),"No match"))</f>
        <v>Qualification</v>
      </c>
      <c r="GQ2" s="1" t="str">
        <f>IF(COUNTIFS(AllVarName!$B:$B,AllVar!GQ1)&gt;1,INDEX(MultipleLkup!$D:$D,MATCH(AllVar!GQ1,MultipleLkup!$B:$B,0)),IFERROR(INDEX(AllVarName!$C:$C,MATCH(AllVar!GQ1,AllVarName!$B:$B,0)),"No match"))</f>
        <v>Qualification sublevel</v>
      </c>
      <c r="GR2" s="1" t="str">
        <f>IF(COUNTIFS(AllVarName!$B:$B,AllVar!GR1)&gt;1,INDEX(MultipleLkup!$D:$D,MATCH(AllVar!GR1,MultipleLkup!$B:$B,0)),IFERROR(INDEX(AllVarName!$C:$C,MATCH(AllVar!GR1,AllVarName!$B:$B,0)),"No match"))</f>
        <v>Qualification level</v>
      </c>
      <c r="GS2" s="1" t="str">
        <f>IF(COUNTIFS(AllVarName!$B:$B,AllVar!GS1)&gt;1,INDEX(MultipleLkup!$D:$D,MATCH(AllVar!GS1,MultipleLkup!$B:$B,0)),IFERROR(INDEX(AllVarName!$C:$C,MATCH(AllVar!GS1,AllVarName!$B:$B,0)),"No match"))</f>
        <v>Qualification Type</v>
      </c>
      <c r="GT2" s="1" t="str">
        <f>IF(COUNTIFS(AllVarName!$B:$B,AllVar!GT1)&gt;1,INDEX(MultipleLkup!$D:$D,MATCH(AllVar!GT1,MultipleLkup!$B:$B,0)),IFERROR(INDEX(AllVarName!$C:$C,MATCH(AllVar!GT1,AllVarName!$B:$B,0)),"No match"))</f>
        <v>Qualification title</v>
      </c>
      <c r="GU2" s="1" t="str">
        <f>IF(COUNTIFS(AllVarName!$B:$B,AllVar!GU1)&gt;1,INDEX(MultipleLkup!$D:$D,MATCH(AllVar!GU1,MultipleLkup!$B:$B,0)),IFERROR(INDEX(AllVarName!$C:$C,MATCH(AllVar!GU1,AllVarName!$B:$B,0)),"No match"))</f>
        <v>Equivalent or lower qualification</v>
      </c>
      <c r="GV2" s="1" t="str">
        <f>IF(COUNTIFS(AllVarName!$B:$B,AllVar!GV1)&gt;1,INDEX(MultipleLkup!$D:$D,MATCH(AllVar!GV1,MultipleLkup!$B:$B,0)),IFERROR(INDEX(AllVarName!$C:$C,MATCH(AllVar!GV1,AllVarName!$B:$B,0)),"No match"))</f>
        <v>Learning Aim Title</v>
      </c>
      <c r="GW2" s="1" t="str">
        <f>IF(COUNTIFS(AllVarName!$B:$B,AllVar!GW1)&gt;1,INDEX(MultipleLkup!$D:$D,MATCH(AllVar!GW1,MultipleLkup!$B:$B,0)),IFERROR(INDEX(AllVarName!$C:$C,MATCH(AllVar!GW1,AllVarName!$B:$B,0)),"No match"))</f>
        <v>Qualification aim</v>
      </c>
      <c r="GX2" s="1" t="str">
        <f>IF(COUNTIFS(AllVarName!$B:$B,AllVar!GX1)&gt;1,INDEX(MultipleLkup!$D:$D,MATCH(AllVar!GX1,MultipleLkup!$B:$B,0)),IFERROR(INDEX(AllVarName!$C:$C,MATCH(AllVar!GX1,AllVarName!$B:$B,0)),"No match"))</f>
        <v xml:space="preserve">Grouped level of learning </v>
      </c>
      <c r="GY2" s="1" t="str">
        <f>IF(COUNTIFS(AllVarName!$B:$B,AllVar!GY1)&gt;1,INDEX(MultipleLkup!$D:$D,MATCH(AllVar!GY1,MultipleLkup!$B:$B,0)),IFERROR(INDEX(AllVarName!$C:$C,MATCH(AllVar!GY1,AllVarName!$B:$B,0)),"No match"))</f>
        <v>Level of learning</v>
      </c>
      <c r="GZ2" s="1" t="str">
        <f>IF(COUNTIFS(AllVarName!$B:$B,AllVar!GZ1)&gt;1,INDEX(MultipleLkup!$D:$D,MATCH(AllVar!GZ1,MultipleLkup!$B:$B,0)),IFERROR(INDEX(AllVarName!$C:$C,MATCH(AllVar!GZ1,AllVarName!$B:$B,0)),"No match"))</f>
        <v>Received applications</v>
      </c>
      <c r="HA2" s="1" t="str">
        <f>IF(COUNTIFS(AllVarName!$B:$B,AllVar!HA1)&gt;1,INDEX(MultipleLkup!$D:$D,MATCH(AllVar!HA1,MultipleLkup!$B:$B,0)),IFERROR(INDEX(AllVarName!$C:$C,MATCH(AllVar!HA1,AllVarName!$B:$B,0)),"No match"))</f>
        <v>Approved applications</v>
      </c>
      <c r="HB2" s="1" t="str">
        <f>IF(COUNTIFS(AllVarName!$B:$B,AllVar!HB1)&gt;1,INDEX(MultipleLkup!$D:$D,MATCH(AllVar!HB1,MultipleLkup!$B:$B,0)),IFERROR(INDEX(AllVarName!$C:$C,MATCH(AllVar!HB1,AllVarName!$B:$B,0)),"No match"))</f>
        <v>Total loan amount awarded (£000s)</v>
      </c>
      <c r="HC2" s="1" t="str">
        <f>IF(COUNTIFS(AllVarName!$B:$B,AllVar!HC1)&gt;1,INDEX(MultipleLkup!$D:$D,MATCH(AllVar!HC1,MultipleLkup!$B:$B,0)),IFERROR(INDEX(AllVarName!$C:$C,MATCH(AllVar!HC1,AllVarName!$B:$B,0)),"No match"))</f>
        <v>Total Participation</v>
      </c>
      <c r="HD2" s="1" t="str">
        <f>IF(COUNTIFS(AllVarName!$B:$B,AllVar!HD1)&gt;1,INDEX(MultipleLkup!$D:$D,MATCH(AllVar!HD1,MultipleLkup!$B:$B,0)),IFERROR(INDEX(AllVarName!$C:$C,MATCH(AllVar!HD1,AllVarName!$B:$B,0)),"No match"))</f>
        <v>Participation Below level 2 (excluding basic skills)</v>
      </c>
      <c r="HE2" s="1" t="str">
        <f>IF(COUNTIFS(AllVarName!$B:$B,AllVar!HE1)&gt;1,INDEX(MultipleLkup!$D:$D,MATCH(AllVar!HE1,MultipleLkup!$B:$B,0)),IFERROR(INDEX(AllVarName!$C:$C,MATCH(AllVar!HE1,AllVarName!$B:$B,0)),"No match"))</f>
        <v>Participation Basic skills (Aug to Jul)</v>
      </c>
      <c r="HF2" s="1" t="str">
        <f>IF(COUNTIFS(AllVarName!$B:$B,AllVar!HF1)&gt;1,INDEX(MultipleLkup!$D:$D,MATCH(AllVar!HF1,MultipleLkup!$B:$B,0)),IFERROR(INDEX(AllVarName!$C:$C,MATCH(AllVar!HF1,AllVarName!$B:$B,0)),"No match"))</f>
        <v>Participation Full level 2</v>
      </c>
      <c r="HG2" s="1" t="str">
        <f>IF(COUNTIFS(AllVarName!$B:$B,AllVar!HG1)&gt;1,INDEX(MultipleLkup!$D:$D,MATCH(AllVar!HG1,MultipleLkup!$B:$B,0)),IFERROR(INDEX(AllVarName!$C:$C,MATCH(AllVar!HG1,AllVarName!$B:$B,0)),"No match"))</f>
        <v>Participation Full level 3</v>
      </c>
      <c r="HH2" s="1" t="str">
        <f>IF(COUNTIFS(AllVarName!$B:$B,AllVar!HH1)&gt;1,INDEX(MultipleLkup!$D:$D,MATCH(AllVar!HH1,MultipleLkup!$B:$B,0)),IFERROR(INDEX(AllVarName!$C:$C,MATCH(AllVar!HH1,AllVarName!$B:$B,0)),"No match"))</f>
        <v>Participation Level 2</v>
      </c>
      <c r="HI2" s="1" t="str">
        <f>IF(COUNTIFS(AllVarName!$B:$B,AllVar!HI1)&gt;1,INDEX(MultipleLkup!$D:$D,MATCH(AllVar!HI1,MultipleLkup!$B:$B,0)),IFERROR(INDEX(AllVarName!$C:$C,MATCH(AllVar!HI1,AllVarName!$B:$B,0)),"No match"))</f>
        <v>Participation Level 3</v>
      </c>
      <c r="HJ2" s="1" t="str">
        <f>IF(COUNTIFS(AllVarName!$B:$B,AllVar!HJ1)&gt;1,INDEX(MultipleLkup!$D:$D,MATCH(AllVar!HJ1,MultipleLkup!$B:$B,0)),IFERROR(INDEX(AllVarName!$C:$C,MATCH(AllVar!HJ1,AllVarName!$B:$B,0)),"No match"))</f>
        <v>Participation Level 4+</v>
      </c>
      <c r="HK2" s="1" t="str">
        <f>IF(COUNTIFS(AllVarName!$B:$B,AllVar!HK1)&gt;1,INDEX(MultipleLkup!$D:$D,MATCH(AllVar!HK1,MultipleLkup!$B:$B,0)),IFERROR(INDEX(AllVarName!$C:$C,MATCH(AllVar!HK1,AllVarName!$B:$B,0)),"No match"))</f>
        <v>Participation No Level Assigned (Aug to Jul)</v>
      </c>
      <c r="HL2" s="1" t="str">
        <f>IF(COUNTIFS(AllVarName!$B:$B,AllVar!HL1)&gt;1,INDEX(MultipleLkup!$D:$D,MATCH(AllVar!HL1,MultipleLkup!$B:$B,0)),IFERROR(INDEX(AllVarName!$C:$C,MATCH(AllVar!HL1,AllVarName!$B:$B,0)),"No match"))</f>
        <v>Total Achievements</v>
      </c>
      <c r="HM2" s="1" t="str">
        <f>IF(COUNTIFS(AllVarName!$B:$B,AllVar!HM1)&gt;1,INDEX(MultipleLkup!$D:$D,MATCH(AllVar!HM1,MultipleLkup!$B:$B,0)),IFERROR(INDEX(AllVarName!$C:$C,MATCH(AllVar!HM1,AllVarName!$B:$B,0)),"No match"))</f>
        <v>Achievements Below level 2 (excluding basic skills)</v>
      </c>
      <c r="HN2" s="1" t="str">
        <f>IF(COUNTIFS(AllVarName!$B:$B,AllVar!HN1)&gt;1,INDEX(MultipleLkup!$D:$D,MATCH(AllVar!HN1,MultipleLkup!$B:$B,0)),IFERROR(INDEX(AllVarName!$C:$C,MATCH(AllVar!HN1,AllVarName!$B:$B,0)),"No match"))</f>
        <v>Achievements, basic skills</v>
      </c>
      <c r="HO2" s="1" t="str">
        <f>IF(COUNTIFS(AllVarName!$B:$B,AllVar!HO1)&gt;1,INDEX(MultipleLkup!$D:$D,MATCH(AllVar!HO1,MultipleLkup!$B:$B,0)),IFERROR(INDEX(AllVarName!$C:$C,MATCH(AllVar!HO1,AllVarName!$B:$B,0)),"No match"))</f>
        <v>Achievements Full level 2</v>
      </c>
      <c r="HP2" s="1" t="str">
        <f>IF(COUNTIFS(AllVarName!$B:$B,AllVar!HP1)&gt;1,INDEX(MultipleLkup!$D:$D,MATCH(AllVar!HP1,MultipleLkup!$B:$B,0)),IFERROR(INDEX(AllVarName!$C:$C,MATCH(AllVar!HP1,AllVarName!$B:$B,0)),"No match"))</f>
        <v>Achievements Full level 3</v>
      </c>
      <c r="HQ2" s="1" t="str">
        <f>IF(COUNTIFS(AllVarName!$B:$B,AllVar!HQ1)&gt;1,INDEX(MultipleLkup!$D:$D,MATCH(AllVar!HQ1,MultipleLkup!$B:$B,0)),IFERROR(INDEX(AllVarName!$C:$C,MATCH(AllVar!HQ1,AllVarName!$B:$B,0)),"No match"))</f>
        <v>Achievements Level 2</v>
      </c>
      <c r="HR2" s="1" t="str">
        <f>IF(COUNTIFS(AllVarName!$B:$B,AllVar!HR1)&gt;1,INDEX(MultipleLkup!$D:$D,MATCH(AllVar!HR1,MultipleLkup!$B:$B,0)),IFERROR(INDEX(AllVarName!$C:$C,MATCH(AllVar!HR1,AllVarName!$B:$B,0)),"No match"))</f>
        <v>Achievements Level 3</v>
      </c>
      <c r="HS2" s="1" t="str">
        <f>IF(COUNTIFS(AllVarName!$B:$B,AllVar!HS1)&gt;1,INDEX(MultipleLkup!$D:$D,MATCH(AllVar!HS1,MultipleLkup!$B:$B,0)),IFERROR(INDEX(AllVarName!$C:$C,MATCH(AllVar!HS1,AllVarName!$B:$B,0)),"No match"))</f>
        <v>Achievements Level 4+</v>
      </c>
      <c r="HT2" s="1" t="str">
        <f>IF(COUNTIFS(AllVarName!$B:$B,AllVar!HT1)&gt;1,INDEX(MultipleLkup!$D:$D,MATCH(AllVar!HT1,MultipleLkup!$B:$B,0)),IFERROR(INDEX(AllVarName!$C:$C,MATCH(AllVar!HT1,AllVarName!$B:$B,0)),"No match"))</f>
        <v>Achievements No level assigned</v>
      </c>
      <c r="HU2" s="1" t="str">
        <f>IF(COUNTIFS(AllVarName!$B:$B,AllVar!HU1)&gt;1,INDEX(MultipleLkup!$D:$D,MATCH(AllVar!HU1,MultipleLkup!$B:$B,0)),IFERROR(INDEX(AllVarName!$C:$C,MATCH(AllVar!HU1,AllVarName!$B:$B,0)),"No match"))</f>
        <v>Reporting date</v>
      </c>
      <c r="HV2" s="1" t="str">
        <f>IF(COUNTIFS(AllVarName!$B:$B,AllVar!HV1)&gt;1,INDEX(MultipleLkup!$D:$D,MATCH(AllVar!HV1,MultipleLkup!$B:$B,0)),IFERROR(INDEX(AllVarName!$C:$C,MATCH(AllVar!HV1,AllVarName!$B:$B,0)),"No match"))</f>
        <v>Participation Personal and community development learning</v>
      </c>
      <c r="HW2" s="1" t="str">
        <f>IF(COUNTIFS(AllVarName!$B:$B,AllVar!HW1)&gt;1,INDEX(MultipleLkup!$D:$D,MATCH(AllVar!HW1,MultipleLkup!$B:$B,0)),IFERROR(INDEX(AllVarName!$C:$C,MATCH(AllVar!HW1,AllVarName!$B:$B,0)),"No match"))</f>
        <v>Participation Neighbourhood learning in deprived communities</v>
      </c>
      <c r="HX2" s="1" t="str">
        <f>IF(COUNTIFS(AllVarName!$B:$B,AllVar!HX1)&gt;1,INDEX(MultipleLkup!$D:$D,MATCH(AllVar!HX1,MultipleLkup!$B:$B,0)),IFERROR(INDEX(AllVarName!$C:$C,MATCH(AllVar!HX1,AllVarName!$B:$B,0)),"No match"))</f>
        <v>Participation Family English maths and language</v>
      </c>
      <c r="HY2" s="1" t="str">
        <f>IF(COUNTIFS(AllVarName!$B:$B,AllVar!HY1)&gt;1,INDEX(MultipleLkup!$D:$D,MATCH(AllVar!HY1,MultipleLkup!$B:$B,0)),IFERROR(INDEX(AllVarName!$C:$C,MATCH(AllVar!HY1,AllVarName!$B:$B,0)),"No match"))</f>
        <v>Participation Wider family learning</v>
      </c>
      <c r="HZ2" s="1" t="str">
        <f>IF(COUNTIFS(AllVarName!$B:$B,AllVar!HZ1)&gt;1,INDEX(MultipleLkup!$D:$D,MATCH(AllVar!HZ1,MultipleLkup!$B:$B,0)),IFERROR(INDEX(AllVarName!$C:$C,MATCH(AllVar!HZ1,AllVarName!$B:$B,0)),"No match"))</f>
        <v>Total</v>
      </c>
      <c r="IA2" s="1" t="str">
        <f>IF(COUNTIFS(AllVarName!$B:$B,AllVar!IA1)&gt;1,INDEX(MultipleLkup!$D:$D,MATCH(AllVar!IA1,MultipleLkup!$B:$B,0)),IFERROR(INDEX(AllVarName!$C:$C,MATCH(AllVar!IA1,AllVarName!$B:$B,0)),"No match"))</f>
        <v>Achievements Personal and community development learning</v>
      </c>
      <c r="IB2" s="1" t="str">
        <f>IF(COUNTIFS(AllVarName!$B:$B,AllVar!IB1)&gt;1,INDEX(MultipleLkup!$D:$D,MATCH(AllVar!IB1,MultipleLkup!$B:$B,0)),IFERROR(INDEX(AllVarName!$C:$C,MATCH(AllVar!IB1,AllVarName!$B:$B,0)),"No match"))</f>
        <v>Achievements Neighbourhood learning in deprived communities</v>
      </c>
      <c r="IC2" s="1" t="str">
        <f>IF(COUNTIFS(AllVarName!$B:$B,AllVar!IC1)&gt;1,INDEX(MultipleLkup!$D:$D,MATCH(AllVar!IC1,MultipleLkup!$B:$B,0)),IFERROR(INDEX(AllVarName!$C:$C,MATCH(AllVar!IC1,AllVarName!$B:$B,0)),"No match"))</f>
        <v>Achievements Family English maths and language</v>
      </c>
      <c r="ID2" s="1" t="str">
        <f>IF(COUNTIFS(AllVarName!$B:$B,AllVar!ID1)&gt;1,INDEX(MultipleLkup!$D:$D,MATCH(AllVar!ID1,MultipleLkup!$B:$B,0)),IFERROR(INDEX(AllVarName!$C:$C,MATCH(AllVar!ID1,AllVarName!$B:$B,0)),"No match"))</f>
        <v>Achievements Wider family learning</v>
      </c>
      <c r="IE2" s="1" t="str">
        <f>IF(COUNTIFS(AllVarName!$B:$B,AllVar!IE1)&gt;1,INDEX(MultipleLkup!$D:$D,MATCH(AllVar!IE1,MultipleLkup!$B:$B,0)),IFERROR(INDEX(AllVarName!$C:$C,MATCH(AllVar!IE1,AllVarName!$B:$B,0)),"No match"))</f>
        <v>Individualised learner record snapshot and L3 offer course list used</v>
      </c>
      <c r="IF2" s="1" t="str">
        <f>IF(COUNTIFS(AllVarName!$B:$B,AllVar!IF1)&gt;1,INDEX(MultipleLkup!$D:$D,MATCH(AllVar!IF1,MultipleLkup!$B:$B,0)),IFERROR(INDEX(AllVarName!$C:$C,MATCH(AllVar!IF1,AllVarName!$B:$B,0)),"No match"))</f>
        <v>Total enrolments by any adult on offer courses</v>
      </c>
      <c r="IG2" s="1" t="str">
        <f>IF(COUNTIFS(AllVarName!$B:$B,AllVar!IG1)&gt;1,INDEX(MultipleLkup!$D:$D,MATCH(AllVar!IG1,MultipleLkup!$B:$B,0)),IFERROR(INDEX(AllVarName!$C:$C,MATCH(AllVar!IG1,AllVarName!$B:$B,0)),"No match"))</f>
        <v>Enrolments by eligible adults on offer courses (under original offer)</v>
      </c>
      <c r="IH2" s="1" t="str">
        <f>IF(COUNTIFS(AllVarName!$B:$B,AllVar!IH1)&gt;1,INDEX(MultipleLkup!$D:$D,MATCH(AllVar!IH1,MultipleLkup!$B:$B,0)),IFERROR(INDEX(AllVarName!$C:$C,MATCH(AllVar!IH1,AllVarName!$B:$B,0)),"No match"))</f>
        <v>Enrolments by adults taking up Free Courses for Jobs (under original offer)</v>
      </c>
      <c r="II2" s="1" t="str">
        <f>IF(COUNTIFS(AllVarName!$B:$B,AllVar!II1)&gt;1,INDEX(MultipleLkup!$D:$D,MATCH(AllVar!II1,MultipleLkup!$B:$B,0)),IFERROR(INDEX(AllVarName!$C:$C,MATCH(AllVar!II1,AllVarName!$B:$B,0)),"No match"))</f>
        <v>Enrolments by adults taking up Free Courses for Jobs (including under extended offer from Apr22)</v>
      </c>
      <c r="IJ2" s="1" t="str">
        <f>IF(COUNTIFS(AllVarName!$B:$B,AllVar!IJ1)&gt;1,INDEX(MultipleLkup!$D:$D,MATCH(AllVar!IJ1,MultipleLkup!$B:$B,0)),IFERROR(INDEX(AllVarName!$C:$C,MATCH(AllVar!IJ1,AllVarName!$B:$B,0)),"No match"))</f>
        <v>Number of courses available during period under Free Courses for Jobs offer</v>
      </c>
      <c r="IK2" s="1" t="str">
        <f>IF(COUNTIFS(AllVarName!$B:$B,AllVar!IK1)&gt;1,INDEX(MultipleLkup!$D:$D,MATCH(AllVar!IK1,MultipleLkup!$B:$B,0)),IFERROR(INDEX(AllVarName!$C:$C,MATCH(AllVar!IK1,AllVarName!$B:$B,0)),"No match"))</f>
        <v>Prior attainment group</v>
      </c>
      <c r="IL2" s="1" t="str">
        <f>IF(COUNTIFS(AllVarName!$B:$B,AllVar!IL1)&gt;1,INDEX(MultipleLkup!$D:$D,MATCH(AllVar!IL1,MultipleLkup!$B:$B,0)),IFERROR(INDEX(AllVarName!$C:$C,MATCH(AllVar!IL1,AllVarName!$B:$B,0)),"No match"))</f>
        <v>Prior attainment level</v>
      </c>
      <c r="IM2" s="1" t="str">
        <f>IF(COUNTIFS(AllVarName!$B:$B,AllVar!IM1)&gt;1,INDEX(MultipleLkup!$D:$D,MATCH(AllVar!IM1,MultipleLkup!$B:$B,0)),IFERROR(INDEX(AllVarName!$C:$C,MATCH(AllVar!IM1,AllVarName!$B:$B,0)),"No match"))</f>
        <v>Employment status</v>
      </c>
      <c r="IN2" s="1" t="str">
        <f>IF(COUNTIFS(AllVarName!$B:$B,AllVar!IN1)&gt;1,INDEX(MultipleLkup!$D:$D,MATCH(AllVar!IN1,MultipleLkup!$B:$B,0)),IFERROR(INDEX(AllVarName!$C:$C,MATCH(AllVar!IN1,AllVarName!$B:$B,0)),"No match"))</f>
        <v>Total free courses for jobs total starts under original offer (April 21 to January 23)</v>
      </c>
      <c r="IO2" s="1" t="str">
        <f>IF(COUNTIFS(AllVarName!$B:$B,AllVar!IO1)&gt;1,INDEX(MultipleLkup!$D:$D,MATCH(AllVar!IO1,MultipleLkup!$B:$B,0)),IFERROR(INDEX(AllVarName!$C:$C,MATCH(AllVar!IO1,AllVarName!$B:$B,0)),"No match"))</f>
        <v>Total free courses for jobs total starts including extended offer (April 21 to January 23)</v>
      </c>
      <c r="IP2" s="1" t="str">
        <f>IF(COUNTIFS(AllVarName!$B:$B,AllVar!IP1)&gt;1,INDEX(MultipleLkup!$D:$D,MATCH(AllVar!IP1,MultipleLkup!$B:$B,0)),IFERROR(INDEX(AllVarName!$C:$C,MATCH(AllVar!IP1,AllVarName!$B:$B,0)),"No match"))</f>
        <v>Total free courses for jobs total achievements under original offer (April 21 to January 23)</v>
      </c>
      <c r="IQ2" s="1" t="str">
        <f>IF(COUNTIFS(AllVarName!$B:$B,AllVar!IQ1)&gt;1,INDEX(MultipleLkup!$D:$D,MATCH(AllVar!IQ1,MultipleLkup!$B:$B,0)),IFERROR(INDEX(AllVarName!$C:$C,MATCH(AllVar!IQ1,AllVarName!$B:$B,0)),"No match"))</f>
        <v>Total free courses for jobs total achievements including extended offer (April 21 to January 23)</v>
      </c>
      <c r="IR2" s="1" t="str">
        <f>IF(COUNTIFS(AllVarName!$B:$B,AllVar!IR1)&gt;1,INDEX(MultipleLkup!$D:$D,MATCH(AllVar!IR1,MultipleLkup!$B:$B,0)),IFERROR(INDEX(AllVarName!$C:$C,MATCH(AllVar!IR1,AllVarName!$B:$B,0)),"No match"))</f>
        <v>notional nvq level</v>
      </c>
      <c r="IS2" s="1" t="str">
        <f>IF(COUNTIFS(AllVarName!$B:$B,AllVar!IS1)&gt;1,INDEX(MultipleLkup!$D:$D,MATCH(AllVar!IS1,MultipleLkup!$B:$B,0)),IFERROR(INDEX(AllVarName!$C:$C,MATCH(AllVar!IS1,AllVarName!$B:$B,0)),"No match"))</f>
        <v>E and T Aims enrolment</v>
      </c>
      <c r="IT2" s="1" t="str">
        <f>IF(COUNTIFS(AllVarName!$B:$B,AllVar!IT1)&gt;1,INDEX(MultipleLkup!$D:$D,MATCH(AllVar!IT1,MultipleLkup!$B:$B,0)),IFERROR(INDEX(AllVarName!$C:$C,MATCH(AllVar!IT1,AllVarName!$B:$B,0)),"No match"))</f>
        <v>E and T aims achievement</v>
      </c>
      <c r="IU2" s="1" t="str">
        <f>IF(COUNTIFS(AllVarName!$B:$B,AllVar!IU1)&gt;1,INDEX(MultipleLkup!$D:$D,MATCH(AllVar!IU1,MultipleLkup!$B:$B,0)),IFERROR(INDEX(AllVarName!$C:$C,MATCH(AllVar!IU1,AllVarName!$B:$B,0)),"No match"))</f>
        <v>Apprenticeships or further education</v>
      </c>
      <c r="IV2" s="1" t="str">
        <f>IF(COUNTIFS(AllVarName!$B:$B,AllVar!IV1)&gt;1,INDEX(MultipleLkup!$D:$D,MATCH(AllVar!IV1,MultipleLkup!$B:$B,0)),IFERROR(INDEX(AllVarName!$C:$C,MATCH(AllVar!IV1,AllVarName!$B:$B,0)),"No match"))</f>
        <v>Level or type</v>
      </c>
      <c r="IW2" s="1" t="str">
        <f>IF(COUNTIFS(AllVarName!$B:$B,AllVar!IW1)&gt;1,INDEX(MultipleLkup!$D:$D,MATCH(AllVar!IW1,MultipleLkup!$B:$B,0)),IFERROR(INDEX(AllVarName!$C:$C,MATCH(AllVar!IW1,AllVarName!$B:$B,0)),"No match"))</f>
        <v>Percentage change</v>
      </c>
      <c r="IX2" s="1" t="str">
        <f>IF(COUNTIFS(AllVarName!$B:$B,AllVar!IX1)&gt;1,INDEX(MultipleLkup!$D:$D,MATCH(AllVar!IX1,MultipleLkup!$B:$B,0)),IFERROR(INDEX(AllVarName!$C:$C,MATCH(AllVar!IX1,AllVarName!$B:$B,0)),"No match"))</f>
        <v>Cohort number</v>
      </c>
      <c r="IY2" s="1" t="str">
        <f>IF(COUNTIFS(AllVarName!$B:$B,AllVar!IY1)&gt;1,INDEX(MultipleLkup!$D:$D,MATCH(AllVar!IY1,MultipleLkup!$B:$B,0)),IFERROR(INDEX(AllVarName!$C:$C,MATCH(AllVar!IY1,AllVarName!$B:$B,0)),"No match"))</f>
        <v>Cohort Level Group</v>
      </c>
      <c r="IZ2" s="1" t="str">
        <f>IF(COUNTIFS(AllVarName!$B:$B,AllVar!IZ1)&gt;1,INDEX(MultipleLkup!$D:$D,MATCH(AllVar!IZ1,MultipleLkup!$B:$B,0)),IFERROR(INDEX(AllVarName!$C:$C,MATCH(AllVar!IZ1,AllVarName!$B:$B,0)),"No match"))</f>
        <v>Qualification levels</v>
      </c>
      <c r="JA2" s="1" t="str">
        <f>IF(COUNTIFS(AllVarName!$B:$B,AllVar!JA1)&gt;1,INDEX(MultipleLkup!$D:$D,MATCH(AllVar!JA1,MultipleLkup!$B:$B,0)),IFERROR(INDEX(AllVarName!$C:$C,MATCH(AllVar!JA1,AllVarName!$B:$B,0)),"No match"))</f>
        <v>Average Cohort</v>
      </c>
      <c r="JB2" s="1" t="str">
        <f>IF(COUNTIFS(AllVarName!$B:$B,AllVar!JB1)&gt;1,INDEX(MultipleLkup!$D:$D,MATCH(AllVar!JB1,MultipleLkup!$B:$B,0)),IFERROR(INDEX(AllVarName!$C:$C,MATCH(AllVar!JB1,AllVarName!$B:$B,0)),"No match"))</f>
        <v>Number not in education, employment or training/activity not known</v>
      </c>
      <c r="JC2" s="1" t="str">
        <f>IF(COUNTIFS(AllVarName!$B:$B,AllVar!JC1)&gt;1,INDEX(MultipleLkup!$D:$D,MATCH(AllVar!JC1,MultipleLkup!$B:$B,0)),IFERROR(INDEX(AllVarName!$C:$C,MATCH(AllVar!JC1,AllVarName!$B:$B,0)),"No match"))</f>
        <v>Average not in education, employment or training</v>
      </c>
      <c r="JD2" s="1" t="str">
        <f>IF(COUNTIFS(AllVarName!$B:$B,AllVar!JD1)&gt;1,INDEX(MultipleLkup!$D:$D,MATCH(AllVar!JD1,MultipleLkup!$B:$B,0)),IFERROR(INDEX(AllVarName!$C:$C,MATCH(AllVar!JD1,AllVarName!$B:$B,0)),"No match"))</f>
        <v>Number activity not known</v>
      </c>
      <c r="JE2" s="1" t="str">
        <f>IF(COUNTIFS(AllVarName!$B:$B,AllVar!JE1)&gt;1,INDEX(MultipleLkup!$D:$D,MATCH(AllVar!JE1,MultipleLkup!$B:$B,0)),IFERROR(INDEX(AllVarName!$C:$C,MATCH(AllVar!JE1,AllVarName!$B:$B,0)),"No match"))</f>
        <v>Not in education, employment or training/not known proportion</v>
      </c>
      <c r="JF2" s="1" t="str">
        <f>IF(COUNTIFS(AllVarName!$B:$B,AllVar!JF1)&gt;1,INDEX(MultipleLkup!$D:$D,MATCH(AllVar!JF1,MultipleLkup!$B:$B,0)),IFERROR(INDEX(AllVarName!$C:$C,MATCH(AllVar!JF1,AllVarName!$B:$B,0)),"No match"))</f>
        <v>Not in education, employment or training proportion</v>
      </c>
      <c r="JG2" s="1" t="str">
        <f>IF(COUNTIFS(AllVarName!$B:$B,AllVar!JG1)&gt;1,INDEX(MultipleLkup!$D:$D,MATCH(AllVar!JG1,MultipleLkup!$B:$B,0)),IFERROR(INDEX(AllVarName!$C:$C,MATCH(AllVar!JG1,AllVarName!$B:$B,0)),"No match"))</f>
        <v>Activity not know proportion</v>
      </c>
      <c r="JH2" s="1" t="str">
        <f>IF(COUNTIFS(AllVarName!$B:$B,AllVar!JH1)&gt;1,INDEX(MultipleLkup!$D:$D,MATCH(AllVar!JH1,MultipleLkup!$B:$B,0)),IFERROR(INDEX(AllVarName!$C:$C,MATCH(AllVar!JH1,AllVarName!$B:$B,0)),"No match"))</f>
        <v>Percentage of the cohort with activity not known</v>
      </c>
      <c r="JI2" s="1" t="str">
        <f>IF(COUNTIFS(AllVarName!$B:$B,AllVar!JI1)&gt;1,INDEX(MultipleLkup!$D:$D,MATCH(AllVar!JI1,MultipleLkup!$B:$B,0)),IFERROR(INDEX(AllVarName!$C:$C,MATCH(AllVar!JI1,AllVarName!$B:$B,0)),"No match"))</f>
        <v>Annual change in: not in education, employment or training/not known rate</v>
      </c>
      <c r="JJ2" s="1" t="str">
        <f>IF(COUNTIFS(AllVarName!$B:$B,AllVar!JJ1)&gt;1,INDEX(MultipleLkup!$D:$D,MATCH(AllVar!JJ1,MultipleLkup!$B:$B,0)),IFERROR(INDEX(AllVarName!$C:$C,MATCH(AllVar!JJ1,AllVarName!$B:$B,0)),"No match"))</f>
        <v>Institution group</v>
      </c>
      <c r="JK2" s="1" t="str">
        <f>IF(COUNTIFS(AllVarName!$B:$B,AllVar!JK1)&gt;1,INDEX(MultipleLkup!$D:$D,MATCH(AllVar!JK1,MultipleLkup!$B:$B,0)),IFERROR(INDEX(AllVarName!$C:$C,MATCH(AllVar!JK1,AllVarName!$B:$B,0)),"No match"))</f>
        <v>Institution type</v>
      </c>
      <c r="JL2" s="1" t="str">
        <f>IF(COUNTIFS(AllVarName!$B:$B,AllVar!JL1)&gt;1,INDEX(MultipleLkup!$D:$D,MATCH(AllVar!JL1,MultipleLkup!$B:$B,0)),IFERROR(INDEX(AllVarName!$C:$C,MATCH(AllVar!JL1,AllVarName!$B:$B,0)),"No match"))</f>
        <v>Institution or apprenticeship grouping</v>
      </c>
      <c r="JM2" s="1" t="str">
        <f>IF(COUNTIFS(AllVarName!$B:$B,AllVar!JM1)&gt;1,INDEX(MultipleLkup!$D:$D,MATCH(AllVar!JM1,MultipleLkup!$B:$B,0)),IFERROR(INDEX(AllVarName!$C:$C,MATCH(AllVar!JM1,AllVarName!$B:$B,0)),"No match"))</f>
        <v>Institution or apprenticeship</v>
      </c>
      <c r="JN2" s="1" t="str">
        <f>IF(COUNTIFS(AllVarName!$B:$B,AllVar!JN1)&gt;1,INDEX(MultipleLkup!$D:$D,MATCH(AllVar!JN1,MultipleLkup!$B:$B,0)),IFERROR(INDEX(AllVarName!$C:$C,MATCH(AllVar!JN1,AllVarName!$B:$B,0)),"No match"))</f>
        <v>Labour market status</v>
      </c>
      <c r="JO2" s="1" t="str">
        <f>IF(COUNTIFS(AllVarName!$B:$B,AllVar!JO1)&gt;1,INDEX(MultipleLkup!$D:$D,MATCH(AllVar!JO1,MultipleLkup!$B:$B,0)),IFERROR(INDEX(AllVarName!$C:$C,MATCH(AllVar!JO1,AllVarName!$B:$B,0)),"No match"))</f>
        <v>category grouping</v>
      </c>
      <c r="JP2" s="1" t="str">
        <f>IF(COUNTIFS(AllVarName!$B:$B,AllVar!JP1)&gt;1,INDEX(MultipleLkup!$D:$D,MATCH(AllVar!JP1,MultipleLkup!$B:$B,0)),IFERROR(INDEX(AllVarName!$C:$C,MATCH(AllVar!JP1,AllVarName!$B:$B,0)),"No match"))</f>
        <v>Activity</v>
      </c>
      <c r="JQ2" s="1" t="str">
        <f>IF(COUNTIFS(AllVarName!$B:$B,AllVar!JQ1)&gt;1,INDEX(MultipleLkup!$D:$D,MATCH(AllVar!JQ1,MultipleLkup!$B:$B,0)),IFERROR(INDEX(AllVarName!$C:$C,MATCH(AllVar!JQ1,AllVarName!$B:$B,0)),"No match"))</f>
        <v>Mode of study</v>
      </c>
      <c r="JR2" s="1" t="str">
        <f>IF(COUNTIFS(AllVarName!$B:$B,AllVar!JR1)&gt;1,INDEX(MultipleLkup!$D:$D,MATCH(AllVar!JR1,MultipleLkup!$B:$B,0)),IFERROR(INDEX(AllVarName!$C:$C,MATCH(AllVar!JR1,AllVarName!$B:$B,0)),"No match"))</f>
        <v>Population (ONS estimate)</v>
      </c>
      <c r="JS2" s="1" t="str">
        <f>IF(COUNTIFS(AllVarName!$B:$B,AllVar!JS1)&gt;1,INDEX(MultipleLkup!$D:$D,MATCH(AllVar!JS1,MultipleLkup!$B:$B,0)),IFERROR(INDEX(AllVarName!$C:$C,MATCH(AllVar!JS1,AllVarName!$B:$B,0)),"No match"))</f>
        <v>Number not in education, employment or training</v>
      </c>
      <c r="JT2" s="1" t="str">
        <f>IF(COUNTIFS(AllVarName!$B:$B,AllVar!JT1)&gt;1,INDEX(MultipleLkup!$D:$D,MATCH(AllVar!JT1,MultipleLkup!$B:$B,0)),IFERROR(INDEX(AllVarName!$C:$C,MATCH(AllVar!JT1,AllVarName!$B:$B,0)),"No match"))</f>
        <v>Confidence interval (95%) for the number of not in education, employment or training</v>
      </c>
      <c r="JU2" s="1" t="str">
        <f>IF(COUNTIFS(AllVarName!$B:$B,AllVar!JU1)&gt;1,INDEX(MultipleLkup!$D:$D,MATCH(AllVar!JU1,MultipleLkup!$B:$B,0)),IFERROR(INDEX(AllVarName!$C:$C,MATCH(AllVar!JU1,AllVarName!$B:$B,0)),"No match"))</f>
        <v>Lower bound number not in education, employment or training</v>
      </c>
      <c r="JV2" s="1" t="str">
        <f>IF(COUNTIFS(AllVarName!$B:$B,AllVar!JV1)&gt;1,INDEX(MultipleLkup!$D:$D,MATCH(AllVar!JV1,MultipleLkup!$B:$B,0)),IFERROR(INDEX(AllVarName!$C:$C,MATCH(AllVar!JV1,AllVarName!$B:$B,0)),"No match"))</f>
        <v>Upper bound number not in education, employment or training</v>
      </c>
      <c r="JW2" s="1" t="str">
        <f>IF(COUNTIFS(AllVarName!$B:$B,AllVar!JW1)&gt;1,INDEX(MultipleLkup!$D:$D,MATCH(AllVar!JW1,MultipleLkup!$B:$B,0)),IFERROR(INDEX(AllVarName!$C:$C,MATCH(AllVar!JW1,AllVarName!$B:$B,0)),"No match"))</f>
        <v>Confidence interval (95%) for the percentage not in education, employment or training</v>
      </c>
      <c r="JX2" s="1" t="str">
        <f>IF(COUNTIFS(AllVarName!$B:$B,AllVar!JX1)&gt;1,INDEX(MultipleLkup!$D:$D,MATCH(AllVar!JX1,MultipleLkup!$B:$B,0)),IFERROR(INDEX(AllVarName!$C:$C,MATCH(AllVar!JX1,AllVarName!$B:$B,0)),"No match"))</f>
        <v>Lower bound percent not in education, employment or training</v>
      </c>
      <c r="JY2" s="1" t="str">
        <f>IF(COUNTIFS(AllVarName!$B:$B,AllVar!JY1)&gt;1,INDEX(MultipleLkup!$D:$D,MATCH(AllVar!JY1,MultipleLkup!$B:$B,0)),IFERROR(INDEX(AllVarName!$C:$C,MATCH(AllVar!JY1,AllVarName!$B:$B,0)),"No match"))</f>
        <v>Upper bound percent not in education, employment or training</v>
      </c>
      <c r="JZ2" s="1" t="str">
        <f>IF(COUNTIFS(AllVarName!$B:$B,AllVar!JZ1)&gt;1,INDEX(MultipleLkup!$D:$D,MATCH(AllVar!JZ1,MultipleLkup!$B:$B,0)),IFERROR(INDEX(AllVarName!$C:$C,MATCH(AllVar!JZ1,AllVarName!$B:$B,0)),"No match"))</f>
        <v>Annual change in not in education, employment or training rate</v>
      </c>
      <c r="KA2" s="1" t="str">
        <f>IF(COUNTIFS(AllVarName!$B:$B,AllVar!KA1)&gt;1,INDEX(MultipleLkup!$D:$D,MATCH(AllVar!KA1,MultipleLkup!$B:$B,0)),IFERROR(INDEX(AllVarName!$C:$C,MATCH(AllVar!KA1,AllVarName!$B:$B,0)),"No match"))</f>
        <v>Confidence interval (95%) for the annual change in not in education, employment or training rate</v>
      </c>
      <c r="KB2" s="1" t="str">
        <f>IF(COUNTIFS(AllVarName!$B:$B,AllVar!KB1)&gt;1,INDEX(MultipleLkup!$D:$D,MATCH(AllVar!KB1,MultipleLkup!$B:$B,0)),IFERROR(INDEX(AllVarName!$C:$C,MATCH(AllVar!KB1,AllVarName!$B:$B,0)),"No match"))</f>
        <v>Lower bound annual change in not in education, employment or training rate</v>
      </c>
      <c r="KC2" s="1" t="str">
        <f>IF(COUNTIFS(AllVarName!$B:$B,AllVar!KC1)&gt;1,INDEX(MultipleLkup!$D:$D,MATCH(AllVar!KC1,MultipleLkup!$B:$B,0)),IFERROR(INDEX(AllVarName!$C:$C,MATCH(AllVar!KC1,AllVarName!$B:$B,0)),"No match"))</f>
        <v>Upper bound annual change in not in education, employment or training rate</v>
      </c>
      <c r="KD2" s="1" t="str">
        <f>IF(COUNTIFS(AllVarName!$B:$B,AllVar!KD1)&gt;1,INDEX(MultipleLkup!$D:$D,MATCH(AllVar!KD1,MultipleLkup!$B:$B,0)),IFERROR(INDEX(AllVarName!$C:$C,MATCH(AllVar!KD1,AllVarName!$B:$B,0)),"No match"))</f>
        <v>Number not in education or training</v>
      </c>
      <c r="KE2" s="1" t="str">
        <f>IF(COUNTIFS(AllVarName!$B:$B,AllVar!KE1)&gt;1,INDEX(MultipleLkup!$D:$D,MATCH(AllVar!KE1,MultipleLkup!$B:$B,0)),IFERROR(INDEX(AllVarName!$C:$C,MATCH(AllVar!KE1,AllVarName!$B:$B,0)),"No match"))</f>
        <v>Confidence interval (95%) for the number not in education or training</v>
      </c>
      <c r="KF2" s="1" t="str">
        <f>IF(COUNTIFS(AllVarName!$B:$B,AllVar!KF1)&gt;1,INDEX(MultipleLkup!$D:$D,MATCH(AllVar!KF1,MultipleLkup!$B:$B,0)),IFERROR(INDEX(AllVarName!$C:$C,MATCH(AllVar!KF1,AllVarName!$B:$B,0)),"No match"))</f>
        <v>Lower bound number not in education or training</v>
      </c>
      <c r="KG2" s="1" t="str">
        <f>IF(COUNTIFS(AllVarName!$B:$B,AllVar!KG1)&gt;1,INDEX(MultipleLkup!$D:$D,MATCH(AllVar!KG1,MultipleLkup!$B:$B,0)),IFERROR(INDEX(AllVarName!$C:$C,MATCH(AllVar!KG1,AllVarName!$B:$B,0)),"No match"))</f>
        <v>Upper bound number not in education or training</v>
      </c>
      <c r="KH2" s="1" t="str">
        <f>IF(COUNTIFS(AllVarName!$B:$B,AllVar!KH1)&gt;1,INDEX(MultipleLkup!$D:$D,MATCH(AllVar!KH1,MultipleLkup!$B:$B,0)),IFERROR(INDEX(AllVarName!$C:$C,MATCH(AllVar!KH1,AllVarName!$B:$B,0)),"No match"))</f>
        <v>Percentage of population not in education or training</v>
      </c>
      <c r="KI2" s="1" t="str">
        <f>IF(COUNTIFS(AllVarName!$B:$B,AllVar!KI1)&gt;1,INDEX(MultipleLkup!$D:$D,MATCH(AllVar!KI1,MultipleLkup!$B:$B,0)),IFERROR(INDEX(AllVarName!$C:$C,MATCH(AllVar!KI1,AllVarName!$B:$B,0)),"No match"))</f>
        <v>Confidence interval (95%) for the percentage not in education or training</v>
      </c>
      <c r="KJ2" s="1" t="str">
        <f>IF(COUNTIFS(AllVarName!$B:$B,AllVar!KJ1)&gt;1,INDEX(MultipleLkup!$D:$D,MATCH(AllVar!KJ1,MultipleLkup!$B:$B,0)),IFERROR(INDEX(AllVarName!$C:$C,MATCH(AllVar!KJ1,AllVarName!$B:$B,0)),"No match"))</f>
        <v>Lower bound percent not in education or training</v>
      </c>
      <c r="KK2" s="1" t="str">
        <f>IF(COUNTIFS(AllVarName!$B:$B,AllVar!KK1)&gt;1,INDEX(MultipleLkup!$D:$D,MATCH(AllVar!KK1,MultipleLkup!$B:$B,0)),IFERROR(INDEX(AllVarName!$C:$C,MATCH(AllVar!KK1,AllVarName!$B:$B,0)),"No match"))</f>
        <v>Upper bound percent not in education or training</v>
      </c>
      <c r="KL2" s="1" t="str">
        <f>IF(COUNTIFS(AllVarName!$B:$B,AllVar!KL1)&gt;1,INDEX(MultipleLkup!$D:$D,MATCH(AllVar!KL1,MultipleLkup!$B:$B,0)),IFERROR(INDEX(AllVarName!$C:$C,MATCH(AllVar!KL1,AllVarName!$B:$B,0)),"No match"))</f>
        <v>Annual change in not in education or training rate</v>
      </c>
      <c r="KM2" s="1" t="str">
        <f>IF(COUNTIFS(AllVarName!$B:$B,AllVar!KM1)&gt;1,INDEX(MultipleLkup!$D:$D,MATCH(AllVar!KM1,MultipleLkup!$B:$B,0)),IFERROR(INDEX(AllVarName!$C:$C,MATCH(AllVar!KM1,AllVarName!$B:$B,0)),"No match"))</f>
        <v>Confidence interval (95%) for the annual change in not in education or training rate</v>
      </c>
      <c r="KN2" s="1" t="str">
        <f>IF(COUNTIFS(AllVarName!$B:$B,AllVar!KN1)&gt;1,INDEX(MultipleLkup!$D:$D,MATCH(AllVar!KN1,MultipleLkup!$B:$B,0)),IFERROR(INDEX(AllVarName!$C:$C,MATCH(AllVar!KN1,AllVarName!$B:$B,0)),"No match"))</f>
        <v>Lower bound annual change in not in education or training rate</v>
      </c>
      <c r="KO2" s="1" t="str">
        <f>IF(COUNTIFS(AllVarName!$B:$B,AllVar!KO1)&gt;1,INDEX(MultipleLkup!$D:$D,MATCH(AllVar!KO1,MultipleLkup!$B:$B,0)),IFERROR(INDEX(AllVarName!$C:$C,MATCH(AllVar!KO1,AllVarName!$B:$B,0)),"No match"))</f>
        <v>Upper bound annual change in not in education or training rate</v>
      </c>
      <c r="KP2" s="1" t="str">
        <f>IF(COUNTIFS(AllVarName!$B:$B,AllVar!KP1)&gt;1,INDEX(MultipleLkup!$D:$D,MATCH(AllVar!KP1,MultipleLkup!$B:$B,0)),IFERROR(INDEX(AllVarName!$C:$C,MATCH(AllVar!KP1,AllVarName!$B:$B,0)),"No match"))</f>
        <v>Employment rate of the not in education or training group</v>
      </c>
      <c r="KQ2" s="1" t="str">
        <f>IF(COUNTIFS(AllVarName!$B:$B,AllVar!KQ1)&gt;1,INDEX(MultipleLkup!$D:$D,MATCH(AllVar!KQ1,MultipleLkup!$B:$B,0)),IFERROR(INDEX(AllVarName!$C:$C,MATCH(AllVar!KQ1,AllVarName!$B:$B,0)),"No match"))</f>
        <v>Number not in education, employment or training who are International Labour Organisation unemployed for less than 6 months</v>
      </c>
      <c r="KR2" s="1" t="str">
        <f>IF(COUNTIFS(AllVarName!$B:$B,AllVar!KR1)&gt;1,INDEX(MultipleLkup!$D:$D,MATCH(AllVar!KR1,MultipleLkup!$B:$B,0)),IFERROR(INDEX(AllVarName!$C:$C,MATCH(AllVar!KR1,AllVarName!$B:$B,0)),"No match"))</f>
        <v>confidence interval plus minus International Labour Organisation unemployed less 6 months</v>
      </c>
      <c r="KS2" s="1" t="str">
        <f>IF(COUNTIFS(AllVarName!$B:$B,AllVar!KS1)&gt;1,INDEX(MultipleLkup!$D:$D,MATCH(AllVar!KS1,MultipleLkup!$B:$B,0)),IFERROR(INDEX(AllVarName!$C:$C,MATCH(AllVar!KS1,AllVarName!$B:$B,0)),"No match"))</f>
        <v>lower bound number International Labour Organisation unemployed less 6months</v>
      </c>
      <c r="KT2" s="1" t="str">
        <f>IF(COUNTIFS(AllVarName!$B:$B,AllVar!KT1)&gt;1,INDEX(MultipleLkup!$D:$D,MATCH(AllVar!KT1,MultipleLkup!$B:$B,0)),IFERROR(INDEX(AllVarName!$C:$C,MATCH(AllVar!KT1,AllVarName!$B:$B,0)),"No match"))</f>
        <v>Upper bound number International Labour Organisation unemployed less 6 months</v>
      </c>
      <c r="KU2" s="1" t="str">
        <f>IF(COUNTIFS(AllVarName!$B:$B,AllVar!KU1)&gt;1,INDEX(MultipleLkup!$D:$D,MATCH(AllVar!KU1,MultipleLkup!$B:$B,0)),IFERROR(INDEX(AllVarName!$C:$C,MATCH(AllVar!KU1,AllVarName!$B:$B,0)),"No match"))</f>
        <v>Number not in education, employment or training who are International Labour Organisation unemployed for more than 6 months</v>
      </c>
      <c r="KV2" s="1" t="str">
        <f>IF(COUNTIFS(AllVarName!$B:$B,AllVar!KV1)&gt;1,INDEX(MultipleLkup!$D:$D,MATCH(AllVar!KV1,MultipleLkup!$B:$B,0)),IFERROR(INDEX(AllVarName!$C:$C,MATCH(AllVar!KV1,AllVarName!$B:$B,0)),"No match"))</f>
        <v>Confidence interval (95%) for the number not in education, employment or training unemployed for more than 6 months</v>
      </c>
      <c r="KW2" s="1" t="str">
        <f>IF(COUNTIFS(AllVarName!$B:$B,AllVar!KW1)&gt;1,INDEX(MultipleLkup!$D:$D,MATCH(AllVar!KW1,MultipleLkup!$B:$B,0)),IFERROR(INDEX(AllVarName!$C:$C,MATCH(AllVar!KW1,AllVarName!$B:$B,0)),"No match"))</f>
        <v>Lower bound number International Labour Organisation unemployed more 6 months</v>
      </c>
      <c r="KX2" s="1" t="str">
        <f>IF(COUNTIFS(AllVarName!$B:$B,AllVar!KX1)&gt;1,INDEX(MultipleLkup!$D:$D,MATCH(AllVar!KX1,MultipleLkup!$B:$B,0)),IFERROR(INDEX(AllVarName!$C:$C,MATCH(AllVar!KX1,AllVarName!$B:$B,0)),"No match"))</f>
        <v>Upper bound number International Labour Organisation unemployed more 6 months</v>
      </c>
      <c r="KY2" s="1" t="str">
        <f>IF(COUNTIFS(AllVarName!$B:$B,AllVar!KY1)&gt;1,INDEX(MultipleLkup!$D:$D,MATCH(AllVar!KY1,MultipleLkup!$B:$B,0)),IFERROR(INDEX(AllVarName!$C:$C,MATCH(AllVar!KY1,AllVarName!$B:$B,0)),"No match"))</f>
        <v>Number not in education, employment or training who were inactive and want a job</v>
      </c>
      <c r="KZ2" s="1" t="str">
        <f>IF(COUNTIFS(AllVarName!$B:$B,AllVar!KZ1)&gt;1,INDEX(MultipleLkup!$D:$D,MATCH(AllVar!KZ1,MultipleLkup!$B:$B,0)),IFERROR(INDEX(AllVarName!$C:$C,MATCH(AllVar!KZ1,AllVarName!$B:$B,0)),"No match"))</f>
        <v>Confidence interval (95%) for the number not in education, employment or training inactive and want a job</v>
      </c>
      <c r="LA2" s="1" t="str">
        <f>IF(COUNTIFS(AllVarName!$B:$B,AllVar!LA1)&gt;1,INDEX(MultipleLkup!$D:$D,MATCH(AllVar!LA1,MultipleLkup!$B:$B,0)),IFERROR(INDEX(AllVarName!$C:$C,MATCH(AllVar!LA1,AllVarName!$B:$B,0)),"No match"))</f>
        <v>Lower bound number inactive wants a job</v>
      </c>
      <c r="LB2" s="1" t="str">
        <f>IF(COUNTIFS(AllVarName!$B:$B,AllVar!LB1)&gt;1,INDEX(MultipleLkup!$D:$D,MATCH(AllVar!LB1,MultipleLkup!$B:$B,0)),IFERROR(INDEX(AllVarName!$C:$C,MATCH(AllVar!LB1,AllVarName!$B:$B,0)),"No match"))</f>
        <v>Upper bound number inactive wants a job</v>
      </c>
      <c r="LC2" s="1" t="str">
        <f>IF(COUNTIFS(AllVarName!$B:$B,AllVar!LC1)&gt;1,INDEX(MultipleLkup!$D:$D,MATCH(AllVar!LC1,MultipleLkup!$B:$B,0)),IFERROR(INDEX(AllVarName!$C:$C,MATCH(AllVar!LC1,AllVarName!$B:$B,0)),"No match"))</f>
        <v>Number not in education, employment or training who were inactive and does not want a job</v>
      </c>
      <c r="LD2" s="1" t="str">
        <f>IF(COUNTIFS(AllVarName!$B:$B,AllVar!LD1)&gt;1,INDEX(MultipleLkup!$D:$D,MATCH(AllVar!LD1,MultipleLkup!$B:$B,0)),IFERROR(INDEX(AllVarName!$C:$C,MATCH(AllVar!LD1,AllVarName!$B:$B,0)),"No match"))</f>
        <v>Confidence interval (95%) for the number not in education, employment or training inactive and does not want a job</v>
      </c>
      <c r="LE2" s="1" t="str">
        <f>IF(COUNTIFS(AllVarName!$B:$B,AllVar!LE1)&gt;1,INDEX(MultipleLkup!$D:$D,MATCH(AllVar!LE1,MultipleLkup!$B:$B,0)),IFERROR(INDEX(AllVarName!$C:$C,MATCH(AllVar!LE1,AllVarName!$B:$B,0)),"No match"))</f>
        <v>Lower bound number inactive does not want a job</v>
      </c>
      <c r="LF2" s="1" t="str">
        <f>IF(COUNTIFS(AllVarName!$B:$B,AllVar!LF1)&gt;1,INDEX(MultipleLkup!$D:$D,MATCH(AllVar!LF1,MultipleLkup!$B:$B,0)),IFERROR(INDEX(AllVarName!$C:$C,MATCH(AllVar!LF1,AllVarName!$B:$B,0)),"No match"))</f>
        <v>Upper bound number inactive does not want a job</v>
      </c>
      <c r="LG2" s="1" t="str">
        <f>IF(COUNTIFS(AllVarName!$B:$B,AllVar!LG1)&gt;1,INDEX(MultipleLkup!$D:$D,MATCH(AllVar!LG1,MultipleLkup!$B:$B,0)),IFERROR(INDEX(AllVarName!$C:$C,MATCH(AllVar!LG1,AllVarName!$B:$B,0)),"No match"))</f>
        <v>Number not in education, employment or training where reason for inactivity was looking after family/home</v>
      </c>
      <c r="LH2" s="1" t="str">
        <f>IF(COUNTIFS(AllVarName!$B:$B,AllVar!LH1)&gt;1,INDEX(MultipleLkup!$D:$D,MATCH(AllVar!LH1,MultipleLkup!$B:$B,0)),IFERROR(INDEX(AllVarName!$C:$C,MATCH(AllVar!LH1,AllVarName!$B:$B,0)),"No match"))</f>
        <v>Confidence interval (95%) for the number not in education, employment or training with reason inactive as looking after family/home</v>
      </c>
      <c r="LI2" s="1" t="str">
        <f>IF(COUNTIFS(AllVarName!$B:$B,AllVar!LI1)&gt;1,INDEX(MultipleLkup!$D:$D,MATCH(AllVar!LI1,MultipleLkup!$B:$B,0)),IFERROR(INDEX(AllVarName!$C:$C,MATCH(AllVar!LI1,AllVarName!$B:$B,0)),"No match"))</f>
        <v>Lower bound number reason inactive looking after family or home</v>
      </c>
      <c r="LJ2" s="1" t="str">
        <f>IF(COUNTIFS(AllVarName!$B:$B,AllVar!LJ1)&gt;1,INDEX(MultipleLkup!$D:$D,MATCH(AllVar!LJ1,MultipleLkup!$B:$B,0)),IFERROR(INDEX(AllVarName!$C:$C,MATCH(AllVar!LJ1,AllVarName!$B:$B,0)),"No match"))</f>
        <v>Upper bound number reason inactive looking after family or home</v>
      </c>
      <c r="LK2" s="1" t="str">
        <f>IF(COUNTIFS(AllVarName!$B:$B,AllVar!LK1)&gt;1,INDEX(MultipleLkup!$D:$D,MATCH(AllVar!LK1,MultipleLkup!$B:$B,0)),IFERROR(INDEX(AllVarName!$C:$C,MATCH(AllVar!LK1,AllVarName!$B:$B,0)),"No match"))</f>
        <v>Number not in education, employment or training where reason for inactivity was long-term or temporarily sick</v>
      </c>
      <c r="LL2" s="1" t="str">
        <f>IF(COUNTIFS(AllVarName!$B:$B,AllVar!LL1)&gt;1,INDEX(MultipleLkup!$D:$D,MATCH(AllVar!LL1,MultipleLkup!$B:$B,0)),IFERROR(INDEX(AllVarName!$C:$C,MATCH(AllVar!LL1,AllVarName!$B:$B,0)),"No match"))</f>
        <v>Confidence interval (95%) for the number not in education, employment or training with reason inactive as long-term or temporary sick</v>
      </c>
      <c r="LM2" s="1" t="str">
        <f>IF(COUNTIFS(AllVarName!$B:$B,AllVar!LM1)&gt;1,INDEX(MultipleLkup!$D:$D,MATCH(AllVar!LM1,MultipleLkup!$B:$B,0)),IFERROR(INDEX(AllVarName!$C:$C,MATCH(AllVar!LM1,AllVarName!$B:$B,0)),"No match"))</f>
        <v>Lower bound number reason inactive long-term or temporary sick</v>
      </c>
      <c r="LN2" s="1" t="str">
        <f>IF(COUNTIFS(AllVarName!$B:$B,AllVar!LN1)&gt;1,INDEX(MultipleLkup!$D:$D,MATCH(AllVar!LN1,MultipleLkup!$B:$B,0)),IFERROR(INDEX(AllVarName!$C:$C,MATCH(AllVar!LN1,AllVarName!$B:$B,0)),"No match"))</f>
        <v>Upper bound number reason inactive long-term or temporary sick</v>
      </c>
      <c r="LO2" s="1" t="str">
        <f>IF(COUNTIFS(AllVarName!$B:$B,AllVar!LO1)&gt;1,INDEX(MultipleLkup!$D:$D,MATCH(AllVar!LO1,MultipleLkup!$B:$B,0)),IFERROR(INDEX(AllVarName!$C:$C,MATCH(AllVar!LO1,AllVarName!$B:$B,0)),"No match"))</f>
        <v>Number not in education, employment or training where reason for inactivity was other</v>
      </c>
      <c r="LP2" s="1" t="str">
        <f>IF(COUNTIFS(AllVarName!$B:$B,AllVar!LP1)&gt;1,INDEX(MultipleLkup!$D:$D,MATCH(AllVar!LP1,MultipleLkup!$B:$B,0)),IFERROR(INDEX(AllVarName!$C:$C,MATCH(AllVar!LP1,AllVarName!$B:$B,0)),"No match"))</f>
        <v>Confidence interval (95%) for the number not in education, employment or training with reason inactive as other</v>
      </c>
      <c r="LQ2" s="1" t="str">
        <f>IF(COUNTIFS(AllVarName!$B:$B,AllVar!LQ1)&gt;1,INDEX(MultipleLkup!$D:$D,MATCH(AllVar!LQ1,MultipleLkup!$B:$B,0)),IFERROR(INDEX(AllVarName!$C:$C,MATCH(AllVar!LQ1,AllVarName!$B:$B,0)),"No match"))</f>
        <v>Lower bound number reason inactive other</v>
      </c>
      <c r="LR2" s="1" t="str">
        <f>IF(COUNTIFS(AllVarName!$B:$B,AllVar!LR1)&gt;1,INDEX(MultipleLkup!$D:$D,MATCH(AllVar!LR1,MultipleLkup!$B:$B,0)),IFERROR(INDEX(AllVarName!$C:$C,MATCH(AllVar!LR1,AllVarName!$B:$B,0)),"No match"))</f>
        <v>Upper bound number reason inactive other</v>
      </c>
      <c r="LS2" s="1" t="str">
        <f>IF(COUNTIFS(AllVarName!$B:$B,AllVar!LS1)&gt;1,INDEX(MultipleLkup!$D:$D,MATCH(AllVar!LS1,MultipleLkup!$B:$B,0)),IFERROR(INDEX(AllVarName!$C:$C,MATCH(AllVar!LS1,AllVarName!$B:$B,0)),"No match"))</f>
        <v>Percentage of not in education, employment or training International Labour Organisation unemployed for less than 6 months</v>
      </c>
      <c r="LT2" s="1" t="str">
        <f>IF(COUNTIFS(AllVarName!$B:$B,AllVar!LT1)&gt;1,INDEX(MultipleLkup!$D:$D,MATCH(AllVar!LT1,MultipleLkup!$B:$B,0)),IFERROR(INDEX(AllVarName!$C:$C,MATCH(AllVar!LT1,AllVarName!$B:$B,0)),"No match"))</f>
        <v>Confidence interval (95%) for the percentage not in education, employment or training unemployed for less than 6 months</v>
      </c>
      <c r="LU2" s="1" t="str">
        <f>IF(COUNTIFS(AllVarName!$B:$B,AllVar!LU1)&gt;1,INDEX(MultipleLkup!$D:$D,MATCH(AllVar!LU1,MultipleLkup!$B:$B,0)),IFERROR(INDEX(AllVarName!$C:$C,MATCH(AllVar!LU1,AllVarName!$B:$B,0)),"No match"))</f>
        <v>Lower bound percent International Labour Organisation unemployed less 6 months</v>
      </c>
      <c r="LV2" s="1" t="str">
        <f>IF(COUNTIFS(AllVarName!$B:$B,AllVar!LV1)&gt;1,INDEX(MultipleLkup!$D:$D,MATCH(AllVar!LV1,MultipleLkup!$B:$B,0)),IFERROR(INDEX(AllVarName!$C:$C,MATCH(AllVar!LV1,AllVarName!$B:$B,0)),"No match"))</f>
        <v>Upper bound percent International Labour Organisation unemployed less 6 months</v>
      </c>
      <c r="LW2" s="1" t="str">
        <f>IF(COUNTIFS(AllVarName!$B:$B,AllVar!LW1)&gt;1,INDEX(MultipleLkup!$D:$D,MATCH(AllVar!LW1,MultipleLkup!$B:$B,0)),IFERROR(INDEX(AllVarName!$C:$C,MATCH(AllVar!LW1,AllVarName!$B:$B,0)),"No match"))</f>
        <v>Percentage of not in education, employment or training International Labour Organisation unemployed for more than 6 months</v>
      </c>
      <c r="LX2" s="1" t="str">
        <f>IF(COUNTIFS(AllVarName!$B:$B,AllVar!LX1)&gt;1,INDEX(MultipleLkup!$D:$D,MATCH(AllVar!LX1,MultipleLkup!$B:$B,0)),IFERROR(INDEX(AllVarName!$C:$C,MATCH(AllVar!LX1,AllVarName!$B:$B,0)),"No match"))</f>
        <v>Confidence interval (95%) for the percentage not in education, employment or training unemployed for more than 6 months</v>
      </c>
      <c r="LY2" s="1" t="str">
        <f>IF(COUNTIFS(AllVarName!$B:$B,AllVar!LY1)&gt;1,INDEX(MultipleLkup!$D:$D,MATCH(AllVar!LY1,MultipleLkup!$B:$B,0)),IFERROR(INDEX(AllVarName!$C:$C,MATCH(AllVar!LY1,AllVarName!$B:$B,0)),"No match"))</f>
        <v>Lower bound percent International Labour Organisation unemployed more 6 months</v>
      </c>
      <c r="LZ2" s="1" t="str">
        <f>IF(COUNTIFS(AllVarName!$B:$B,AllVar!LZ1)&gt;1,INDEX(MultipleLkup!$D:$D,MATCH(AllVar!LZ1,MultipleLkup!$B:$B,0)),IFERROR(INDEX(AllVarName!$C:$C,MATCH(AllVar!LZ1,AllVarName!$B:$B,0)),"No match"))</f>
        <v>Upper bound percent International Labour Organisation unemployed more 6 months</v>
      </c>
      <c r="MA2" s="1" t="str">
        <f>IF(COUNTIFS(AllVarName!$B:$B,AllVar!MA1)&gt;1,INDEX(MultipleLkup!$D:$D,MATCH(AllVar!MA1,MultipleLkup!$B:$B,0)),IFERROR(INDEX(AllVarName!$C:$C,MATCH(AllVar!MA1,AllVarName!$B:$B,0)),"No match"))</f>
        <v>Percentage of not in education, employment or training who were inactive and want a job</v>
      </c>
      <c r="MB2" s="1" t="str">
        <f>IF(COUNTIFS(AllVarName!$B:$B,AllVar!MB1)&gt;1,INDEX(MultipleLkup!$D:$D,MATCH(AllVar!MB1,MultipleLkup!$B:$B,0)),IFERROR(INDEX(AllVarName!$C:$C,MATCH(AllVar!MB1,AllVarName!$B:$B,0)),"No match"))</f>
        <v>Confidence interval (95%) for the percentage not in education, employment or training inactive and want a job</v>
      </c>
      <c r="MC2" s="1" t="str">
        <f>IF(COUNTIFS(AllVarName!$B:$B,AllVar!MC1)&gt;1,INDEX(MultipleLkup!$D:$D,MATCH(AllVar!MC1,MultipleLkup!$B:$B,0)),IFERROR(INDEX(AllVarName!$C:$C,MATCH(AllVar!MC1,AllVarName!$B:$B,0)),"No match"))</f>
        <v>Lower bound percent inactive wants a job</v>
      </c>
      <c r="MD2" s="1" t="str">
        <f>IF(COUNTIFS(AllVarName!$B:$B,AllVar!MD1)&gt;1,INDEX(MultipleLkup!$D:$D,MATCH(AllVar!MD1,MultipleLkup!$B:$B,0)),IFERROR(INDEX(AllVarName!$C:$C,MATCH(AllVar!MD1,AllVarName!$B:$B,0)),"No match"))</f>
        <v>Upper bound percent inactive wants a job</v>
      </c>
      <c r="ME2" s="1" t="str">
        <f>IF(COUNTIFS(AllVarName!$B:$B,AllVar!ME1)&gt;1,INDEX(MultipleLkup!$D:$D,MATCH(AllVar!ME1,MultipleLkup!$B:$B,0)),IFERROR(INDEX(AllVarName!$C:$C,MATCH(AllVar!ME1,AllVarName!$B:$B,0)),"No match"))</f>
        <v>Percentage of not in education, employment or training who were inactive and does not want a job</v>
      </c>
      <c r="MF2" s="1" t="str">
        <f>IF(COUNTIFS(AllVarName!$B:$B,AllVar!MF1)&gt;1,INDEX(MultipleLkup!$D:$D,MATCH(AllVar!MF1,MultipleLkup!$B:$B,0)),IFERROR(INDEX(AllVarName!$C:$C,MATCH(AllVar!MF1,AllVarName!$B:$B,0)),"No match"))</f>
        <v>Confidence interval (95%) for the percentage not in education, employment or training inactive and does not want a job</v>
      </c>
      <c r="MG2" s="1" t="str">
        <f>IF(COUNTIFS(AllVarName!$B:$B,AllVar!MG1)&gt;1,INDEX(MultipleLkup!$D:$D,MATCH(AllVar!MG1,MultipleLkup!$B:$B,0)),IFERROR(INDEX(AllVarName!$C:$C,MATCH(AllVar!MG1,AllVarName!$B:$B,0)),"No match"))</f>
        <v>Lower bound percent inactive does not want a job</v>
      </c>
      <c r="MH2" s="1" t="str">
        <f>IF(COUNTIFS(AllVarName!$B:$B,AllVar!MH1)&gt;1,INDEX(MultipleLkup!$D:$D,MATCH(AllVar!MH1,MultipleLkup!$B:$B,0)),IFERROR(INDEX(AllVarName!$C:$C,MATCH(AllVar!MH1,AllVarName!$B:$B,0)),"No match"))</f>
        <v>Upper bound percent inactive does not want a job</v>
      </c>
      <c r="MI2" s="1" t="str">
        <f>IF(COUNTIFS(AllVarName!$B:$B,AllVar!MI1)&gt;1,INDEX(MultipleLkup!$D:$D,MATCH(AllVar!MI1,MultipleLkup!$B:$B,0)),IFERROR(INDEX(AllVarName!$C:$C,MATCH(AllVar!MI1,AllVarName!$B:$B,0)),"No match"))</f>
        <v>Percentage of not in education, employment or training where reason for inactivity was looking after family/home</v>
      </c>
      <c r="MJ2" s="1" t="str">
        <f>IF(COUNTIFS(AllVarName!$B:$B,AllVar!MJ1)&gt;1,INDEX(MultipleLkup!$D:$D,MATCH(AllVar!MJ1,MultipleLkup!$B:$B,0)),IFERROR(INDEX(AllVarName!$C:$C,MATCH(AllVar!MJ1,AllVarName!$B:$B,0)),"No match"))</f>
        <v>Confidence interval (95%) for the percentage not in education, employment or training with reason inactive as looking after family/home</v>
      </c>
      <c r="MK2" s="1" t="str">
        <f>IF(COUNTIFS(AllVarName!$B:$B,AllVar!MK1)&gt;1,INDEX(MultipleLkup!$D:$D,MATCH(AllVar!MK1,MultipleLkup!$B:$B,0)),IFERROR(INDEX(AllVarName!$C:$C,MATCH(AllVar!MK1,AllVarName!$B:$B,0)),"No match"))</f>
        <v>Lower bound percent reason inactive looking after family or home</v>
      </c>
      <c r="ML2" s="1" t="str">
        <f>IF(COUNTIFS(AllVarName!$B:$B,AllVar!ML1)&gt;1,INDEX(MultipleLkup!$D:$D,MATCH(AllVar!ML1,MultipleLkup!$B:$B,0)),IFERROR(INDEX(AllVarName!$C:$C,MATCH(AllVar!ML1,AllVarName!$B:$B,0)),"No match"))</f>
        <v>Upper bound percent reason inactive looking after family or home</v>
      </c>
      <c r="MM2" s="1" t="str">
        <f>IF(COUNTIFS(AllVarName!$B:$B,AllVar!MM1)&gt;1,INDEX(MultipleLkup!$D:$D,MATCH(AllVar!MM1,MultipleLkup!$B:$B,0)),IFERROR(INDEX(AllVarName!$C:$C,MATCH(AllVar!MM1,AllVarName!$B:$B,0)),"No match"))</f>
        <v>Percentage of not in education, employment or training where reason for inactivity was long-term or temporarily sick</v>
      </c>
      <c r="MN2" s="1" t="str">
        <f>IF(COUNTIFS(AllVarName!$B:$B,AllVar!MN1)&gt;1,INDEX(MultipleLkup!$D:$D,MATCH(AllVar!MN1,MultipleLkup!$B:$B,0)),IFERROR(INDEX(AllVarName!$C:$C,MATCH(AllVar!MN1,AllVarName!$B:$B,0)),"No match"))</f>
        <v>Confidence interval (95%) for the percentage not in education, employment or training with reason inactive as long-term or temporary sick</v>
      </c>
      <c r="MO2" s="1" t="str">
        <f>IF(COUNTIFS(AllVarName!$B:$B,AllVar!MO1)&gt;1,INDEX(MultipleLkup!$D:$D,MATCH(AllVar!MO1,MultipleLkup!$B:$B,0)),IFERROR(INDEX(AllVarName!$C:$C,MATCH(AllVar!MO1,AllVarName!$B:$B,0)),"No match"))</f>
        <v>Lower bound percent reason inactive long-term or temporary sick</v>
      </c>
      <c r="MP2" s="1" t="str">
        <f>IF(COUNTIFS(AllVarName!$B:$B,AllVar!MP1)&gt;1,INDEX(MultipleLkup!$D:$D,MATCH(AllVar!MP1,MultipleLkup!$B:$B,0)),IFERROR(INDEX(AllVarName!$C:$C,MATCH(AllVar!MP1,AllVarName!$B:$B,0)),"No match"))</f>
        <v>Upper bound percent reason inactive long-term or temporary sick</v>
      </c>
      <c r="MQ2" s="1" t="str">
        <f>IF(COUNTIFS(AllVarName!$B:$B,AllVar!MQ1)&gt;1,INDEX(MultipleLkup!$D:$D,MATCH(AllVar!MQ1,MultipleLkup!$B:$B,0)),IFERROR(INDEX(AllVarName!$C:$C,MATCH(AllVar!MQ1,AllVarName!$B:$B,0)),"No match"))</f>
        <v>Percentage of not in education, employment or training where reason for inactivity was other</v>
      </c>
      <c r="MR2" s="1" t="str">
        <f>IF(COUNTIFS(AllVarName!$B:$B,AllVar!MR1)&gt;1,INDEX(MultipleLkup!$D:$D,MATCH(AllVar!MR1,MultipleLkup!$B:$B,0)),IFERROR(INDEX(AllVarName!$C:$C,MATCH(AllVar!MR1,AllVarName!$B:$B,0)),"No match"))</f>
        <v>Confidence interval (95%) for the percentage of not in education, employment or training with reason inactive as other</v>
      </c>
      <c r="MS2" s="1" t="str">
        <f>IF(COUNTIFS(AllVarName!$B:$B,AllVar!MS1)&gt;1,INDEX(MultipleLkup!$D:$D,MATCH(AllVar!MS1,MultipleLkup!$B:$B,0)),IFERROR(INDEX(AllVarName!$C:$C,MATCH(AllVar!MS1,AllVarName!$B:$B,0)),"No match"))</f>
        <v>Lower bound percent reason inactive other</v>
      </c>
      <c r="MT2" s="1" t="str">
        <f>IF(COUNTIFS(AllVarName!$B:$B,AllVar!MT1)&gt;1,INDEX(MultipleLkup!$D:$D,MATCH(AllVar!MT1,MultipleLkup!$B:$B,0)),IFERROR(INDEX(AllVarName!$C:$C,MATCH(AllVar!MT1,AllVarName!$B:$B,0)),"No match"))</f>
        <v>Upper bound percent reason inactive other</v>
      </c>
      <c r="MU2" s="1" t="str">
        <f>IF(COUNTIFS(AllVarName!$B:$B,AllVar!MU1)&gt;1,INDEX(MultipleLkup!$D:$D,MATCH(AllVar!MU1,MultipleLkup!$B:$B,0)),IFERROR(INDEX(AllVarName!$C:$C,MATCH(AllVar!MU1,AllVarName!$B:$B,0)),"No match"))</f>
        <v>National Client Caseload Information System, not in education, employment or training/not known</v>
      </c>
      <c r="MV2" s="1" t="str">
        <f>IF(COUNTIFS(AllVarName!$B:$B,AllVar!MV1)&gt;1,INDEX(MultipleLkup!$D:$D,MATCH(AllVar!MV1,MultipleLkup!$B:$B,0)),IFERROR(INDEX(AllVarName!$C:$C,MATCH(AllVar!MV1,AllVarName!$B:$B,0)),"No match"))</f>
        <v>ONS, Labour Force Survey, not in education, employment or training seasonally adjusted</v>
      </c>
      <c r="MW2" s="1" t="str">
        <f>IF(COUNTIFS(AllVarName!$B:$B,AllVar!MW1)&gt;1,INDEX(MultipleLkup!$D:$D,MATCH(AllVar!MW1,MultipleLkup!$B:$B,0)),IFERROR(INDEX(AllVarName!$C:$C,MATCH(AllVar!MW1,AllVarName!$B:$B,0)),"No match"))</f>
        <v>Total not in employment, education or training, 'not in education or training' or Total population estimates</v>
      </c>
      <c r="MX2" s="1" t="str">
        <f>IF(COUNTIFS(AllVarName!$B:$B,AllVar!MX1)&gt;1,INDEX(MultipleLkup!$D:$D,MATCH(AllVar!MX1,MultipleLkup!$B:$B,0)),IFERROR(INDEX(AllVarName!$C:$C,MATCH(AllVar!MX1,AllVarName!$B:$B,0)),"No match"))</f>
        <v>health condition grouping</v>
      </c>
      <c r="MY2" s="1" t="str">
        <f>IF(COUNTIFS(AllVarName!$B:$B,AllVar!MY1)&gt;1,INDEX(MultipleLkup!$D:$D,MATCH(AllVar!MY1,MultipleLkup!$B:$B,0)),IFERROR(INDEX(AllVarName!$C:$C,MATCH(AllVar!MY1,AllVarName!$B:$B,0)),"No match"))</f>
        <v>Main health condition reported by respondent</v>
      </c>
      <c r="MZ2" s="1" t="str">
        <f>IF(COUNTIFS(AllVarName!$B:$B,AllVar!MZ1)&gt;1,INDEX(MultipleLkup!$D:$D,MATCH(AllVar!MZ1,MultipleLkup!$B:$B,0)),IFERROR(INDEX(AllVarName!$C:$C,MATCH(AllVar!MZ1,AllVarName!$B:$B,0)),"No match"))</f>
        <v>Sample Size</v>
      </c>
      <c r="NA2" s="1" t="str">
        <f>IF(COUNTIFS(AllVarName!$B:$B,AllVar!NA1)&gt;1,INDEX(MultipleLkup!$D:$D,MATCH(AllVar!NA1,MultipleLkup!$B:$B,0)),IFERROR(INDEX(AllVarName!$C:$C,MATCH(AllVar!NA1,AllVarName!$B:$B,0)),"No match"))</f>
        <v>Confidence interval (95%) for the number of 16-24 year olds</v>
      </c>
      <c r="NB2" s="1" t="str">
        <f>IF(COUNTIFS(AllVarName!$B:$B,AllVar!NB1)&gt;1,INDEX(MultipleLkup!$D:$D,MATCH(AllVar!NB1,MultipleLkup!$B:$B,0)),IFERROR(INDEX(AllVarName!$C:$C,MATCH(AllVar!NB1,AllVarName!$B:$B,0)),"No match"))</f>
        <v>Lower bound of confidence interval (95%) for the number of 16-24 year olds</v>
      </c>
      <c r="NC2" s="1" t="str">
        <f>IF(COUNTIFS(AllVarName!$B:$B,AllVar!NC1)&gt;1,INDEX(MultipleLkup!$D:$D,MATCH(AllVar!NC1,MultipleLkup!$B:$B,0)),IFERROR(INDEX(AllVarName!$C:$C,MATCH(AllVar!NC1,AllVarName!$B:$B,0)),"No match"))</f>
        <v>Upper bound of confidence interval (95%) for the number of 16-24 year olds</v>
      </c>
      <c r="ND2" s="1" t="str">
        <f>IF(COUNTIFS(AllVarName!$B:$B,AllVar!ND1)&gt;1,INDEX(MultipleLkup!$D:$D,MATCH(AllVar!ND1,MultipleLkup!$B:$B,0)),IFERROR(INDEX(AllVarName!$C:$C,MATCH(AllVar!ND1,AllVarName!$B:$B,0)),"No match"))</f>
        <v>Percentage of 16-24 year olds</v>
      </c>
      <c r="NE2" s="1" t="str">
        <f>IF(COUNTIFS(AllVarName!$B:$B,AllVar!NE1)&gt;1,INDEX(MultipleLkup!$D:$D,MATCH(AllVar!NE1,MultipleLkup!$B:$B,0)),IFERROR(INDEX(AllVarName!$C:$C,MATCH(AllVar!NE1,AllVarName!$B:$B,0)),"No match"))</f>
        <v>Confidence interval (95%) for the percentage of 16-24 year olds</v>
      </c>
      <c r="NF2" s="1" t="str">
        <f>IF(COUNTIFS(AllVarName!$B:$B,AllVar!NF1)&gt;1,INDEX(MultipleLkup!$D:$D,MATCH(AllVar!NF1,MultipleLkup!$B:$B,0)),IFERROR(INDEX(AllVarName!$C:$C,MATCH(AllVar!NF1,AllVarName!$B:$B,0)),"No match"))</f>
        <v>Lower bound of confidence interval (95%) for the percentage of 16-24 year olds</v>
      </c>
      <c r="NG2" s="1" t="str">
        <f>IF(COUNTIFS(AllVarName!$B:$B,AllVar!NG1)&gt;1,INDEX(MultipleLkup!$D:$D,MATCH(AllVar!NG1,MultipleLkup!$B:$B,0)),IFERROR(INDEX(AllVarName!$C:$C,MATCH(AllVar!NG1,AllVarName!$B:$B,0)),"No match"))</f>
        <v>Upper bound of confidence interval (95%) for the percentage of 16-24 year olds</v>
      </c>
      <c r="NH2" s="1" t="str">
        <f>IF(COUNTIFS(AllVarName!$B:$B,AllVar!NH1)&gt;1,INDEX(MultipleLkup!$D:$D,MATCH(AllVar!NH1,MultipleLkup!$B:$B,0)),IFERROR(INDEX(AllVarName!$C:$C,MATCH(AllVar!NH1,AllVarName!$B:$B,0)),"No match"))</f>
        <v>Percentage of not in education, employment or training 16-24 year olds</v>
      </c>
      <c r="NI2" s="1" t="str">
        <f>IF(COUNTIFS(AllVarName!$B:$B,AllVar!NI1)&gt;1,INDEX(MultipleLkup!$D:$D,MATCH(AllVar!NI1,MultipleLkup!$B:$B,0)),IFERROR(INDEX(AllVarName!$C:$C,MATCH(AllVar!NI1,AllVarName!$B:$B,0)),"No match"))</f>
        <v>Data type</v>
      </c>
      <c r="NJ2" s="1" t="str">
        <f>IF(COUNTIFS(AllVarName!$B:$B,AllVar!NJ1)&gt;1,INDEX(MultipleLkup!$D:$D,MATCH(AllVar!NJ1,MultipleLkup!$B:$B,0)),IFERROR(INDEX(AllVarName!$C:$C,MATCH(AllVar!NJ1,AllVarName!$B:$B,0)),"No match"))</f>
        <v>version</v>
      </c>
      <c r="NK2" s="1" t="str">
        <f>IF(COUNTIFS(AllVarName!$B:$B,AllVar!NK1)&gt;1,INDEX(MultipleLkup!$D:$D,MATCH(AllVar!NK1,MultipleLkup!$B:$B,0)),IFERROR(INDEX(AllVarName!$C:$C,MATCH(AllVar!NK1,AllVarName!$B:$B,0)),"No match"))</f>
        <v>Number of institutions (Destinations)</v>
      </c>
      <c r="NL2" s="1" t="str">
        <f>IF(COUNTIFS(AllVarName!$B:$B,AllVar!NL1)&gt;1,INDEX(MultipleLkup!$D:$D,MATCH(AllVar!NL1,MultipleLkup!$B:$B,0)),IFERROR(INDEX(AllVarName!$C:$C,MATCH(AllVar!NL1,AllVarName!$B:$B,0)),"No match"))</f>
        <v>Number of learners in sustained employment</v>
      </c>
      <c r="NM2" s="1" t="str">
        <f>IF(COUNTIFS(AllVarName!$B:$B,AllVar!NM1)&gt;1,INDEX(MultipleLkup!$D:$D,MATCH(AllVar!NM1,MultipleLkup!$B:$B,0)),IFERROR(INDEX(AllVarName!$C:$C,MATCH(AllVar!NM1,AllVarName!$B:$B,0)),"No match"))</f>
        <v>Sustained employment rate</v>
      </c>
      <c r="NN2" s="1" t="str">
        <f>IF(COUNTIFS(AllVarName!$B:$B,AllVar!NN1)&gt;1,INDEX(MultipleLkup!$D:$D,MATCH(AllVar!NN1,MultipleLkup!$B:$B,0)),IFERROR(INDEX(AllVarName!$C:$C,MATCH(AllVar!NN1,AllVarName!$B:$B,0)),"No match"))</f>
        <v>Sustained positive destination rate</v>
      </c>
      <c r="NO2" s="1" t="str">
        <f>IF(COUNTIFS(AllVarName!$B:$B,AllVar!NO1)&gt;1,INDEX(MultipleLkup!$D:$D,MATCH(AllVar!NO1,MultipleLkup!$B:$B,0)),IFERROR(INDEX(AllVarName!$C:$C,MATCH(AllVar!NO1,AllVarName!$B:$B,0)),"No match"))</f>
        <v>Overall Sustained education, employment and apprenticeships</v>
      </c>
      <c r="NP2" s="1" t="str">
        <f>IF(COUNTIFS(AllVarName!$B:$B,AllVar!NP1)&gt;1,INDEX(MultipleLkup!$D:$D,MATCH(AllVar!NP1,MultipleLkup!$B:$B,0)),IFERROR(INDEX(AllVarName!$C:$C,MATCH(AllVar!NP1,AllVarName!$B:$B,0)),"No match"))</f>
        <v>Overall sustained destinations after one year</v>
      </c>
      <c r="NQ2" s="1" t="str">
        <f>IF(COUNTIFS(AllVarName!$B:$B,AllVar!NQ1)&gt;1,INDEX(MultipleLkup!$D:$D,MATCH(AllVar!NQ1,MultipleLkup!$B:$B,0)),IFERROR(INDEX(AllVarName!$C:$C,MATCH(AllVar!NQ1,AllVarName!$B:$B,0)),"No match"))</f>
        <v>Overall sustained destinations after three years</v>
      </c>
      <c r="NR2" s="1" t="str">
        <f>IF(COUNTIFS(AllVarName!$B:$B,AllVar!NR1)&gt;1,INDEX(MultipleLkup!$D:$D,MATCH(AllVar!NR1,MultipleLkup!$B:$B,0)),IFERROR(INDEX(AllVarName!$C:$C,MATCH(AllVar!NR1,AllVarName!$B:$B,0)),"No match"))</f>
        <v>Overall sustained destinations after five years</v>
      </c>
      <c r="NS2" s="1" t="str">
        <f>IF(COUNTIFS(AllVarName!$B:$B,AllVar!NS1)&gt;1,INDEX(MultipleLkup!$D:$D,MATCH(AllVar!NS1,MultipleLkup!$B:$B,0)),IFERROR(INDEX(AllVarName!$C:$C,MATCH(AllVar!NS1,AllVarName!$B:$B,0)),"No match"))</f>
        <v>Sustained education destination</v>
      </c>
      <c r="NT2" s="1" t="str">
        <f>IF(COUNTIFS(AllVarName!$B:$B,AllVar!NT1)&gt;1,INDEX(MultipleLkup!$D:$D,MATCH(AllVar!NT1,MultipleLkup!$B:$B,0)),IFERROR(INDEX(AllVarName!$C:$C,MATCH(AllVar!NT1,AllVarName!$B:$B,0)),"No match"))</f>
        <v>Further education</v>
      </c>
      <c r="NU2" s="1" t="str">
        <f>IF(COUNTIFS(AllVarName!$B:$B,AllVar!NU1)&gt;1,INDEX(MultipleLkup!$D:$D,MATCH(AllVar!NU1,MultipleLkup!$B:$B,0)),IFERROR(INDEX(AllVarName!$C:$C,MATCH(AllVar!NU1,AllVarName!$B:$B,0)),"No match"))</f>
        <v>Level 3 (e.g. A level, Level 3 National Certificate, Level 3 National Diploma)</v>
      </c>
      <c r="NV2" s="1" t="str">
        <f>IF(COUNTIFS(AllVarName!$B:$B,AllVar!NV1)&gt;1,INDEX(MultipleLkup!$D:$D,MATCH(AllVar!NV1,MultipleLkup!$B:$B,0)),IFERROR(INDEX(AllVarName!$C:$C,MATCH(AllVar!NV1,AllVarName!$B:$B,0)),"No match"))</f>
        <v>Level 2 (e.g. GCSE 9 - 4/ A* - C, Level 2 National Certificate, Level 2 National Diploma)</v>
      </c>
      <c r="NW2" s="1" t="str">
        <f>IF(COUNTIFS(AllVarName!$B:$B,AllVar!NW1)&gt;1,INDEX(MultipleLkup!$D:$D,MATCH(AllVar!NW1,MultipleLkup!$B:$B,0)),IFERROR(INDEX(AllVarName!$C:$C,MATCH(AllVar!NW1,AllVarName!$B:$B,0)),"No match"))</f>
        <v>Further education entry level and no identified level</v>
      </c>
      <c r="NX2" s="1" t="str">
        <f>IF(COUNTIFS(AllVarName!$B:$B,AllVar!NX1)&gt;1,INDEX(MultipleLkup!$D:$D,MATCH(AllVar!NX1,MultipleLkup!$B:$B,0)),IFERROR(INDEX(AllVarName!$C:$C,MATCH(AllVar!NX1,AllVarName!$B:$B,0)),"No match"))</f>
        <v>Entry level or level 1 (e.g. Entry Level Certificate, Entry Level Diploma, Level 1 Certificate, Level 1 Diploma)</v>
      </c>
      <c r="NY2" s="1" t="str">
        <f>IF(COUNTIFS(AllVarName!$B:$B,AllVar!NY1)&gt;1,INDEX(MultipleLkup!$D:$D,MATCH(AllVar!NY1,MultipleLkup!$B:$B,0)),IFERROR(INDEX(AllVarName!$C:$C,MATCH(AllVar!NY1,AllVarName!$B:$B,0)),"No match"))</f>
        <v>Sustained  further education rate</v>
      </c>
      <c r="NZ2" s="1" t="str">
        <f>IF(COUNTIFS(AllVarName!$B:$B,AllVar!NZ1)&gt;1,INDEX(MultipleLkup!$D:$D,MATCH(AllVar!NZ1,MultipleLkup!$B:$B,0)),IFERROR(INDEX(AllVarName!$C:$C,MATCH(AllVar!NZ1,AllVarName!$B:$B,0)),"No match"))</f>
        <v>Below Level 2 Percent</v>
      </c>
      <c r="OA2" s="1" t="str">
        <f>IF(COUNTIFS(AllVarName!$B:$B,AllVar!OA1)&gt;1,INDEX(MultipleLkup!$D:$D,MATCH(AllVar!OA1,MultipleLkup!$B:$B,0)),IFERROR(INDEX(AllVarName!$C:$C,MATCH(AllVar!OA1,AllVarName!$B:$B,0)),"No match"))</f>
        <v>English and maths</v>
      </c>
      <c r="OB2" s="1" t="str">
        <f>IF(COUNTIFS(AllVarName!$B:$B,AllVar!OB1)&gt;1,INDEX(MultipleLkup!$D:$D,MATCH(AllVar!OB1,MultipleLkup!$B:$B,0)),IFERROR(INDEX(AllVarName!$C:$C,MATCH(AllVar!OB1,AllVarName!$B:$B,0)),"No match"))</f>
        <v>Level 2 Percent</v>
      </c>
      <c r="OC2" s="1" t="str">
        <f>IF(COUNTIFS(AllVarName!$B:$B,AllVar!OC1)&gt;1,INDEX(MultipleLkup!$D:$D,MATCH(AllVar!OC1,MultipleLkup!$B:$B,0)),IFERROR(INDEX(AllVarName!$C:$C,MATCH(AllVar!OC1,AllVarName!$B:$B,0)),"No match"))</f>
        <v>Full Level 2</v>
      </c>
      <c r="OD2" s="1" t="str">
        <f>IF(COUNTIFS(AllVarName!$B:$B,AllVar!OD1)&gt;1,INDEX(MultipleLkup!$D:$D,MATCH(AllVar!OD1,MultipleLkup!$B:$B,0)),IFERROR(INDEX(AllVarName!$C:$C,MATCH(AllVar!OD1,AllVarName!$B:$B,0)),"No match"))</f>
        <v>Level 3 Percent</v>
      </c>
      <c r="OE2" s="1" t="str">
        <f>IF(COUNTIFS(AllVarName!$B:$B,AllVar!OE1)&gt;1,INDEX(MultipleLkup!$D:$D,MATCH(AllVar!OE1,MultipleLkup!$B:$B,0)),IFERROR(INDEX(AllVarName!$C:$C,MATCH(AllVar!OE1,AllVarName!$B:$B,0)),"No match"))</f>
        <v>Full Level 3</v>
      </c>
      <c r="OF2" s="1" t="str">
        <f>IF(COUNTIFS(AllVarName!$B:$B,AllVar!OF1)&gt;1,INDEX(MultipleLkup!$D:$D,MATCH(AllVar!OF1,MultipleLkup!$B:$B,0)),IFERROR(INDEX(AllVarName!$C:$C,MATCH(AllVar!OF1,AllVarName!$B:$B,0)),"No match"))</f>
        <v>Level 4/5</v>
      </c>
      <c r="OG2" s="1" t="str">
        <f>IF(COUNTIFS(AllVarName!$B:$B,AllVar!OG1)&gt;1,INDEX(MultipleLkup!$D:$D,MATCH(AllVar!OG1,MultipleLkup!$B:$B,0)),IFERROR(INDEX(AllVarName!$C:$C,MATCH(AllVar!OG1,AllVarName!$B:$B,0)),"No match"))</f>
        <v>Not Assigned Percent</v>
      </c>
      <c r="OH2" s="1" t="str">
        <f>IF(COUNTIFS(AllVarName!$B:$B,AllVar!OH1)&gt;1,INDEX(MultipleLkup!$D:$D,MATCH(AllVar!OH1,MultipleLkup!$B:$B,0)),IFERROR(INDEX(AllVarName!$C:$C,MATCH(AllVar!OH1,AllVarName!$B:$B,0)),"No match"))</f>
        <v>School sixth form</v>
      </c>
      <c r="OI2" s="1" t="str">
        <f>IF(COUNTIFS(AllVarName!$B:$B,AllVar!OI1)&gt;1,INDEX(MultipleLkup!$D:$D,MATCH(AllVar!OI1,MultipleLkup!$B:$B,0)),IFERROR(INDEX(AllVarName!$C:$C,MATCH(AllVar!OI1,AllVarName!$B:$B,0)),"No match"))</f>
        <v>Sixth form college</v>
      </c>
      <c r="OJ2" s="1" t="str">
        <f>IF(COUNTIFS(AllVarName!$B:$B,AllVar!OJ1)&gt;1,INDEX(MultipleLkup!$D:$D,MATCH(AllVar!OJ1,MultipleLkup!$B:$B,0)),IFERROR(INDEX(AllVarName!$C:$C,MATCH(AllVar!OJ1,AllVarName!$B:$B,0)),"No match"))</f>
        <v>School sixth form &amp; Sixth form college</v>
      </c>
      <c r="OK2" s="1" t="str">
        <f>IF(COUNTIFS(AllVarName!$B:$B,AllVar!OK1)&gt;1,INDEX(MultipleLkup!$D:$D,MATCH(AllVar!OK1,MultipleLkup!$B:$B,0)),IFERROR(INDEX(AllVarName!$C:$C,MATCH(AllVar!OK1,AllVarName!$B:$B,0)),"No match"))</f>
        <v>Other education destination</v>
      </c>
      <c r="OL2" s="1" t="str">
        <f>IF(COUNTIFS(AllVarName!$B:$B,AllVar!OL1)&gt;1,INDEX(MultipleLkup!$D:$D,MATCH(AllVar!OL1,MultipleLkup!$B:$B,0)),IFERROR(INDEX(AllVarName!$C:$C,MATCH(AllVar!OL1,AllVarName!$B:$B,0)),"No match"))</f>
        <v>Independent schools</v>
      </c>
      <c r="OM2" s="1" t="str">
        <f>IF(COUNTIFS(AllVarName!$B:$B,AllVar!OM1)&gt;1,INDEX(MultipleLkup!$D:$D,MATCH(AllVar!OM1,MultipleLkup!$B:$B,0)),IFERROR(INDEX(AllVarName!$C:$C,MATCH(AllVar!OM1,AllVarName!$B:$B,0)),"No match"))</f>
        <v>Alternative provision</v>
      </c>
      <c r="ON2" s="1" t="str">
        <f>IF(COUNTIFS(AllVarName!$B:$B,AllVar!ON1)&gt;1,INDEX(MultipleLkup!$D:$D,MATCH(AllVar!ON1,MultipleLkup!$B:$B,0)),IFERROR(INDEX(AllVarName!$C:$C,MATCH(AllVar!ON1,AllVarName!$B:$B,0)),"No match"))</f>
        <v>Special school</v>
      </c>
      <c r="OO2" s="1" t="str">
        <f>IF(COUNTIFS(AllVarName!$B:$B,AllVar!OO1)&gt;1,INDEX(MultipleLkup!$D:$D,MATCH(AllVar!OO1,MultipleLkup!$B:$B,0)),IFERROR(INDEX(AllVarName!$C:$C,MATCH(AllVar!OO1,AllVarName!$B:$B,0)),"No match"))</f>
        <v>Specialist provision</v>
      </c>
      <c r="OP2" s="1" t="str">
        <f>IF(COUNTIFS(AllVarName!$B:$B,AllVar!OP1)&gt;1,INDEX(MultipleLkup!$D:$D,MATCH(AllVar!OP1,MultipleLkup!$B:$B,0)),IFERROR(INDEX(AllVarName!$C:$C,MATCH(AllVar!OP1,AllVarName!$B:$B,0)),"No match"))</f>
        <v>Specialist post-16 institution</v>
      </c>
      <c r="OQ2" s="1" t="str">
        <f>IF(COUNTIFS(AllVarName!$B:$B,AllVar!OQ1)&gt;1,INDEX(MultipleLkup!$D:$D,MATCH(AllVar!OQ1,MultipleLkup!$B:$B,0)),IFERROR(INDEX(AllVarName!$C:$C,MATCH(AllVar!OQ1,AllVarName!$B:$B,0)),"No match"))</f>
        <v>Sustained education combination destination</v>
      </c>
      <c r="OR2" s="1" t="str">
        <f>IF(COUNTIFS(AllVarName!$B:$B,AllVar!OR1)&gt;1,INDEX(MultipleLkup!$D:$D,MATCH(AllVar!OR1,MultipleLkup!$B:$B,0)),IFERROR(INDEX(AllVarName!$C:$C,MATCH(AllVar!OR1,AllVarName!$B:$B,0)),"No match"))</f>
        <v>UK higher education institution</v>
      </c>
      <c r="OS2" s="1" t="str">
        <f>IF(COUNTIFS(AllVarName!$B:$B,AllVar!OS1)&gt;1,INDEX(MultipleLkup!$D:$D,MATCH(AllVar!OS1,MultipleLkup!$B:$B,0)),IFERROR(INDEX(AllVarName!$C:$C,MATCH(AllVar!OS1,AllVarName!$B:$B,0)),"No match"))</f>
        <v>Type of higher level learning</v>
      </c>
      <c r="OT2" s="1" t="str">
        <f>IF(COUNTIFS(AllVarName!$B:$B,AllVar!OT1)&gt;1,INDEX(MultipleLkup!$D:$D,MATCH(AllVar!OT1,MultipleLkup!$B:$B,0)),IFERROR(INDEX(AllVarName!$C:$C,MATCH(AllVar!OT1,AllVarName!$B:$B,0)),"No match"))</f>
        <v>Level 4 (e.g. Higher National Certificates)</v>
      </c>
      <c r="OU2" s="1" t="str">
        <f>IF(COUNTIFS(AllVarName!$B:$B,AllVar!OU1)&gt;1,INDEX(MultipleLkup!$D:$D,MATCH(AllVar!OU1,MultipleLkup!$B:$B,0)),IFERROR(INDEX(AllVarName!$C:$C,MATCH(AllVar!OU1,AllVarName!$B:$B,0)),"No match"))</f>
        <v>Level 5 (e.g. Foundation degree and Higher National Diploma)</v>
      </c>
      <c r="OV2" s="1" t="str">
        <f>IF(COUNTIFS(AllVarName!$B:$B,AllVar!OV1)&gt;1,INDEX(MultipleLkup!$D:$D,MATCH(AllVar!OV1,MultipleLkup!$B:$B,0)),IFERROR(INDEX(AllVarName!$C:$C,MATCH(AllVar!OV1,AllVarName!$B:$B,0)),"No match"))</f>
        <v>Level 6 (e.g. Degree with/without honours)</v>
      </c>
      <c r="OW2" s="1" t="str">
        <f>IF(COUNTIFS(AllVarName!$B:$B,AllVar!OW1)&gt;1,INDEX(MultipleLkup!$D:$D,MATCH(AllVar!OW1,MultipleLkup!$B:$B,0)),IFERROR(INDEX(AllVarName!$C:$C,MATCH(AllVar!OW1,AllVarName!$B:$B,0)),"No match"))</f>
        <v>Sustained higher education rate (Level 6+)</v>
      </c>
      <c r="OX2" s="1" t="str">
        <f>IF(COUNTIFS(AllVarName!$B:$B,AllVar!OX1)&gt;1,INDEX(MultipleLkup!$D:$D,MATCH(AllVar!OX1,MultipleLkup!$B:$B,0)),IFERROR(INDEX(AllVarName!$C:$C,MATCH(AllVar!OX1,AllVarName!$B:$B,0)),"No match"))</f>
        <v>Access to Higher Education</v>
      </c>
      <c r="OY2" s="1" t="str">
        <f>IF(COUNTIFS(AllVarName!$B:$B,AllVar!OY1)&gt;1,INDEX(MultipleLkup!$D:$D,MATCH(AllVar!OY1,MultipleLkup!$B:$B,0)),IFERROR(INDEX(AllVarName!$C:$C,MATCH(AllVar!OY1,AllVarName!$B:$B,0)),"No match"))</f>
        <v>Sustained apprenticeship rate</v>
      </c>
      <c r="OZ2" s="1" t="str">
        <f>IF(COUNTIFS(AllVarName!$B:$B,AllVar!OZ1)&gt;1,INDEX(MultipleLkup!$D:$D,MATCH(AllVar!OZ1,MultipleLkup!$B:$B,0)),IFERROR(INDEX(AllVarName!$C:$C,MATCH(AllVar!OZ1,AllVarName!$B:$B,0)),"No match"))</f>
        <v>Apprenticeship type</v>
      </c>
      <c r="PA2" s="1" t="str">
        <f>IF(COUNTIFS(AllVarName!$B:$B,AllVar!PA1)&gt;1,INDEX(MultipleLkup!$D:$D,MATCH(AllVar!PA1,MultipleLkup!$B:$B,0)),IFERROR(INDEX(AllVarName!$C:$C,MATCH(AllVar!PA1,AllVarName!$B:$B,0)),"No match"))</f>
        <v>Sustained apprenticeships</v>
      </c>
      <c r="PB2" s="1" t="str">
        <f>IF(COUNTIFS(AllVarName!$B:$B,AllVar!PB1)&gt;1,INDEX(MultipleLkup!$D:$D,MATCH(AllVar!PB1,MultipleLkup!$B:$B,0)),IFERROR(INDEX(AllVarName!$C:$C,MATCH(AllVar!PB1,AllVarName!$B:$B,0)),"No match"))</f>
        <v>Higher and degree apprenticeships (level 4 and above)</v>
      </c>
      <c r="PC2" s="1" t="str">
        <f>IF(COUNTIFS(AllVarName!$B:$B,AllVar!PC1)&gt;1,INDEX(MultipleLkup!$D:$D,MATCH(AllVar!PC1,MultipleLkup!$B:$B,0)),IFERROR(INDEX(AllVarName!$C:$C,MATCH(AllVar!PC1,AllVarName!$B:$B,0)),"No match"))</f>
        <v>Apprenticeship level 3</v>
      </c>
      <c r="PD2" s="1" t="str">
        <f>IF(COUNTIFS(AllVarName!$B:$B,AllVar!PD1)&gt;1,INDEX(MultipleLkup!$D:$D,MATCH(AllVar!PD1,MultipleLkup!$B:$B,0)),IFERROR(INDEX(AllVarName!$C:$C,MATCH(AllVar!PD1,AllVarName!$B:$B,0)),"No match"))</f>
        <v>Intermediate apprenticeships (level 2)</v>
      </c>
      <c r="PE2" s="1" t="str">
        <f>IF(COUNTIFS(AllVarName!$B:$B,AllVar!PE1)&gt;1,INDEX(MultipleLkup!$D:$D,MATCH(AllVar!PE1,MultipleLkup!$B:$B,0)),IFERROR(INDEX(AllVarName!$C:$C,MATCH(AllVar!PE1,AllVarName!$B:$B,0)),"No match"))</f>
        <v>Apprenticeship Intermediate Percent</v>
      </c>
      <c r="PF2" s="1" t="str">
        <f>IF(COUNTIFS(AllVarName!$B:$B,AllVar!PF1)&gt;1,INDEX(MultipleLkup!$D:$D,MATCH(AllVar!PF1,MultipleLkup!$B:$B,0)),IFERROR(INDEX(AllVarName!$C:$C,MATCH(AllVar!PF1,AllVarName!$B:$B,0)),"No match"))</f>
        <v>Apprenticeship Advanced Percent</v>
      </c>
      <c r="PG2" s="1" t="str">
        <f>IF(COUNTIFS(AllVarName!$B:$B,AllVar!PG1)&gt;1,INDEX(MultipleLkup!$D:$D,MATCH(AllVar!PG1,MultipleLkup!$B:$B,0)),IFERROR(INDEX(AllVarName!$C:$C,MATCH(AllVar!PG1,AllVarName!$B:$B,0)),"No match"))</f>
        <v>Apprenticeship Higher Percent</v>
      </c>
      <c r="PH2" s="1" t="str">
        <f>IF(COUNTIFS(AllVarName!$B:$B,AllVar!PH1)&gt;1,INDEX(MultipleLkup!$D:$D,MATCH(AllVar!PH1,MultipleLkup!$B:$B,0)),IFERROR(INDEX(AllVarName!$C:$C,MATCH(AllVar!PH1,AllVarName!$B:$B,0)),"No match"))</f>
        <v>Advanced apprenticeship (Level 3 or above)</v>
      </c>
      <c r="PI2" s="1" t="str">
        <f>IF(COUNTIFS(AllVarName!$B:$B,AllVar!PI1)&gt;1,INDEX(MultipleLkup!$D:$D,MATCH(AllVar!PI1,MultipleLkup!$B:$B,0)),IFERROR(INDEX(AllVarName!$C:$C,MATCH(AllVar!PI1,AllVarName!$B:$B,0)),"No match"))</f>
        <v>Any learning rate</v>
      </c>
      <c r="PJ2" s="1" t="str">
        <f>IF(COUNTIFS(AllVarName!$B:$B,AllVar!PJ1)&gt;1,INDEX(MultipleLkup!$D:$D,MATCH(AllVar!PJ1,MultipleLkup!$B:$B,0)),IFERROR(INDEX(AllVarName!$C:$C,MATCH(AllVar!PJ1,AllVarName!$B:$B,0)),"No match"))</f>
        <v>Sustained progression from achieved aim</v>
      </c>
      <c r="PK2" s="1" t="str">
        <f>IF(COUNTIFS(AllVarName!$B:$B,AllVar!PK1)&gt;1,INDEX(MultipleLkup!$D:$D,MATCH(AllVar!PK1,MultipleLkup!$B:$B,0)),IFERROR(INDEX(AllVarName!$C:$C,MATCH(AllVar!PK1,AllVarName!$B:$B,0)),"No match"))</f>
        <v>Progression for learner overall</v>
      </c>
      <c r="PL2" s="1" t="str">
        <f>IF(COUNTIFS(AllVarName!$B:$B,AllVar!PL1)&gt;1,INDEX(MultipleLkup!$D:$D,MATCH(AllVar!PL1,MultipleLkup!$B:$B,0)),IFERROR(INDEX(AllVarName!$C:$C,MATCH(AllVar!PL1,AllVarName!$B:$B,0)),"No match"))</f>
        <v>Destination not sustained</v>
      </c>
      <c r="PM2" s="1" t="str">
        <f>IF(COUNTIFS(AllVarName!$B:$B,AllVar!PM1)&gt;1,INDEX(MultipleLkup!$D:$D,MATCH(AllVar!PM1,MultipleLkup!$B:$B,0)),IFERROR(INDEX(AllVarName!$C:$C,MATCH(AllVar!PM1,AllVarName!$B:$B,0)),"No match"))</f>
        <v>Destination not sustained and not on benefits</v>
      </c>
      <c r="PN2" s="1" t="str">
        <f>IF(COUNTIFS(AllVarName!$B:$B,AllVar!PN1)&gt;1,INDEX(MultipleLkup!$D:$D,MATCH(AllVar!PN1,MultipleLkup!$B:$B,0)),IFERROR(INDEX(AllVarName!$C:$C,MATCH(AllVar!PN1,AllVarName!$B:$B,0)),"No match"))</f>
        <v>Destination not sustained and in receipt of benefits</v>
      </c>
      <c r="PO2" s="1" t="str">
        <f>IF(COUNTIFS(AllVarName!$B:$B,AllVar!PO1)&gt;1,INDEX(MultipleLkup!$D:$D,MATCH(AllVar!PO1,MultipleLkup!$B:$B,0)),IFERROR(INDEX(AllVarName!$C:$C,MATCH(AllVar!PO1,AllVarName!$B:$B,0)),"No match"))</f>
        <v>In receipt of benefits only</v>
      </c>
      <c r="PP2" s="1" t="str">
        <f>IF(COUNTIFS(AllVarName!$B:$B,AllVar!PP1)&gt;1,INDEX(MultipleLkup!$D:$D,MATCH(AllVar!PP1,MultipleLkup!$B:$B,0)),IFERROR(INDEX(AllVarName!$C:$C,MATCH(AllVar!PP1,AllVarName!$B:$B,0)),"No match"))</f>
        <v>No activity captured in data</v>
      </c>
      <c r="PQ2" s="1" t="str">
        <f>IF(COUNTIFS(AllVarName!$B:$B,AllVar!PQ1)&gt;1,INDEX(MultipleLkup!$D:$D,MATCH(AllVar!PQ1,MultipleLkup!$B:$B,0)),IFERROR(INDEX(AllVarName!$C:$C,MATCH(AllVar!PQ1,AllVarName!$B:$B,0)),"No match"))</f>
        <v>Learners with earnings one year after study</v>
      </c>
      <c r="PR2" s="1" t="str">
        <f>IF(COUNTIFS(AllVarName!$B:$B,AllVar!PR1)&gt;1,INDEX(MultipleLkup!$D:$D,MATCH(AllVar!PR1,MultipleLkup!$B:$B,0)),IFERROR(INDEX(AllVarName!$C:$C,MATCH(AllVar!PR1,AllVarName!$B:$B,0)),"No match"))</f>
        <v>Lower quartile annualised earnings</v>
      </c>
      <c r="PS2" s="1" t="str">
        <f>IF(COUNTIFS(AllVarName!$B:$B,AllVar!PS1)&gt;1,INDEX(MultipleLkup!$D:$D,MATCH(AllVar!PS1,MultipleLkup!$B:$B,0)),IFERROR(INDEX(AllVarName!$C:$C,MATCH(AllVar!PS1,AllVarName!$B:$B,0)),"No match"))</f>
        <v>Median annualised earnings</v>
      </c>
      <c r="PT2" s="1" t="str">
        <f>IF(COUNTIFS(AllVarName!$B:$B,AllVar!PT1)&gt;1,INDEX(MultipleLkup!$D:$D,MATCH(AllVar!PT1,MultipleLkup!$B:$B,0)),IFERROR(INDEX(AllVarName!$C:$C,MATCH(AllVar!PT1,AllVarName!$B:$B,0)),"No match"))</f>
        <v>Upper quartile annualised earnings</v>
      </c>
      <c r="PU2" s="1" t="str">
        <f>IF(COUNTIFS(AllVarName!$B:$B,AllVar!PU1)&gt;1,INDEX(MultipleLkup!$D:$D,MATCH(AllVar!PU1,MultipleLkup!$B:$B,0)),IFERROR(INDEX(AllVarName!$C:$C,MATCH(AllVar!PU1,AllVarName!$B:$B,0)),"No match"))</f>
        <v>Sustained employment destination</v>
      </c>
      <c r="PV2" s="1" t="str">
        <f>IF(COUNTIFS(AllVarName!$B:$B,AllVar!PV1)&gt;1,INDEX(MultipleLkup!$D:$D,MATCH(AllVar!PV1,MultipleLkup!$B:$B,0)),IFERROR(INDEX(AllVarName!$C:$C,MATCH(AllVar!PV1,AllVarName!$B:$B,0)),"No match"))</f>
        <v>Not recorded as a sustained destination</v>
      </c>
      <c r="PW2" s="1" t="str">
        <f>IF(COUNTIFS(AllVarName!$B:$B,AllVar!PW1)&gt;1,INDEX(MultipleLkup!$D:$D,MATCH(AllVar!PW1,MultipleLkup!$B:$B,0)),IFERROR(INDEX(AllVarName!$C:$C,MATCH(AllVar!PW1,AllVarName!$B:$B,0)),"No match"))</f>
        <v>Education or employment not sustained</v>
      </c>
      <c r="PX2" s="1" t="str">
        <f>IF(COUNTIFS(AllVarName!$B:$B,AllVar!PX1)&gt;1,INDEX(MultipleLkup!$D:$D,MATCH(AllVar!PX1,MultipleLkup!$B:$B,0)),IFERROR(INDEX(AllVarName!$C:$C,MATCH(AllVar!PX1,AllVarName!$B:$B,0)),"No match"))</f>
        <v>Education or employment not sustained and known to be not in education, employment or training</v>
      </c>
      <c r="PY2" s="1" t="str">
        <f>IF(COUNTIFS(AllVarName!$B:$B,AllVar!PY1)&gt;1,INDEX(MultipleLkup!$D:$D,MATCH(AllVar!PY1,MultipleLkup!$B:$B,0)),IFERROR(INDEX(AllVarName!$C:$C,MATCH(AllVar!PY1,AllVarName!$B:$B,0)),"No match"))</f>
        <v>No participation and known to be not in education, employment or training</v>
      </c>
      <c r="PZ2" s="1" t="str">
        <f>IF(COUNTIFS(AllVarName!$B:$B,AllVar!PZ1)&gt;1,INDEX(MultipleLkup!$D:$D,MATCH(AllVar!PZ1,MultipleLkup!$B:$B,0)),IFERROR(INDEX(AllVarName!$C:$C,MATCH(AllVar!PZ1,AllVarName!$B:$B,0)),"No match"))</f>
        <v>Activity not captured (Destinations)</v>
      </c>
      <c r="QA2" s="1" t="str">
        <f>IF(COUNTIFS(AllVarName!$B:$B,AllVar!QA1)&gt;1,INDEX(MultipleLkup!$D:$D,MATCH(AllVar!QA1,MultipleLkup!$B:$B,0)),IFERROR(INDEX(AllVarName!$C:$C,MATCH(AllVar!QA1,AllVarName!$B:$B,0)),"No match"))</f>
        <v>Identified as DWP/HMRC customer</v>
      </c>
      <c r="QB2" s="1" t="str">
        <f>IF(COUNTIFS(AllVarName!$B:$B,AllVar!QB1)&gt;1,INDEX(MultipleLkup!$D:$D,MATCH(AllVar!QB1,MultipleLkup!$B:$B,0)),IFERROR(INDEX(AllVarName!$C:$C,MATCH(AllVar!QB1,AllVarName!$B:$B,0)),"No match"))</f>
        <v>Not identified in any data</v>
      </c>
      <c r="QC2" s="1" t="str">
        <f>IF(COUNTIFS(AllVarName!$B:$B,AllVar!QC1)&gt;1,INDEX(MultipleLkup!$D:$D,MATCH(AllVar!QC1,MultipleLkup!$B:$B,0)),IFERROR(INDEX(AllVarName!$C:$C,MATCH(AllVar!QC1,AllVarName!$B:$B,0)),"No match"))</f>
        <v>Level based on Local Education Authority area or provider location</v>
      </c>
      <c r="QD2" s="1" t="str">
        <f>IF(COUNTIFS(AllVarName!$B:$B,AllVar!QD1)&gt;1,INDEX(MultipleLkup!$D:$D,MATCH(AllVar!QD1,MultipleLkup!$B:$B,0)),IFERROR(INDEX(AllVarName!$C:$C,MATCH(AllVar!QD1,AllVarName!$B:$B,0)),"No match"))</f>
        <v>Non-designated provision</v>
      </c>
      <c r="QE2" s="1" t="str">
        <f>IF(COUNTIFS(AllVarName!$B:$B,AllVar!QE1)&gt;1,INDEX(MultipleLkup!$D:$D,MATCH(AllVar!QE1,MultipleLkup!$B:$B,0)),IFERROR(INDEX(AllVarName!$C:$C,MATCH(AllVar!QE1,AllVarName!$B:$B,0)),"No match"))</f>
        <v>Sustained a level 4 or higher destination</v>
      </c>
      <c r="QF2" s="1" t="str">
        <f>IF(COUNTIFS(AllVarName!$B:$B,AllVar!QF1)&gt;1,INDEX(MultipleLkup!$D:$D,MATCH(AllVar!QF1,MultipleLkup!$B:$B,0)),IFERROR(INDEX(AllVarName!$C:$C,MATCH(AllVar!QF1,AllVarName!$B:$B,0)),"No match"))</f>
        <v>National comparator</v>
      </c>
      <c r="QG2" s="1" t="str">
        <f>IF(COUNTIFS(AllVarName!$B:$B,AllVar!QG1)&gt;1,INDEX(MultipleLkup!$D:$D,MATCH(AllVar!QG1,MultipleLkup!$B:$B,0)),IFERROR(INDEX(AllVarName!$C:$C,MATCH(AllVar!QG1,AllVarName!$B:$B,0)),"No match"))</f>
        <v>Progression score</v>
      </c>
      <c r="QH2" s="1" t="str">
        <f>IF(COUNTIFS(AllVarName!$B:$B,AllVar!QH1)&gt;1,INDEX(MultipleLkup!$D:$D,MATCH(AllVar!QH1,MultipleLkup!$B:$B,0)),IFERROR(INDEX(AllVarName!$C:$C,MATCH(AllVar!QH1,AllVarName!$B:$B,0)),"No match"))</f>
        <v>Sustained degree destination</v>
      </c>
      <c r="QI2" s="1" t="str">
        <f>IF(COUNTIFS(AllVarName!$B:$B,AllVar!QI1)&gt;1,INDEX(MultipleLkup!$D:$D,MATCH(AllVar!QI1,MultipleLkup!$B:$B,0)),IFERROR(INDEX(AllVarName!$C:$C,MATCH(AllVar!QI1,AllVarName!$B:$B,0)),"No match"))</f>
        <v>Degree class - Select the Degree Class you are interested in</v>
      </c>
      <c r="QJ2" s="1" t="str">
        <f>IF(COUNTIFS(AllVarName!$B:$B,AllVar!QJ1)&gt;1,INDEX(MultipleLkup!$D:$D,MATCH(AllVar!QJ1,MultipleLkup!$B:$B,0)),IFERROR(INDEX(AllVarName!$C:$C,MATCH(AllVar!QJ1,AllVarName!$B:$B,0)),"No match"))</f>
        <v>Top third higher education destination</v>
      </c>
      <c r="QK2" s="1" t="str">
        <f>IF(COUNTIFS(AllVarName!$B:$B,AllVar!QK1)&gt;1,INDEX(MultipleLkup!$D:$D,MATCH(AllVar!QK1,MultipleLkup!$B:$B,0)),IFERROR(INDEX(AllVarName!$C:$C,MATCH(AllVar!QK1,AllVarName!$B:$B,0)),"No match"))</f>
        <v>Oxford or Cambridge</v>
      </c>
      <c r="QL2" s="1" t="str">
        <f>IF(COUNTIFS(AllVarName!$B:$B,AllVar!QL1)&gt;1,INDEX(MultipleLkup!$D:$D,MATCH(AllVar!QL1,MultipleLkup!$B:$B,0)),IFERROR(INDEX(AllVarName!$C:$C,MATCH(AllVar!QL1,AllVarName!$B:$B,0)),"No match"))</f>
        <v>Russell group institution</v>
      </c>
      <c r="QM2" s="1" t="str">
        <f>IF(COUNTIFS(AllVarName!$B:$B,AllVar!QM1)&gt;1,INDEX(MultipleLkup!$D:$D,MATCH(AllVar!QM1,MultipleLkup!$B:$B,0)),IFERROR(INDEX(AllVarName!$C:$C,MATCH(AllVar!QM1,AllVarName!$B:$B,0)),"No match"))</f>
        <v>Sustained apprenticeship destination</v>
      </c>
      <c r="QN2" s="1" t="str">
        <f>IF(COUNTIFS(AllVarName!$B:$B,AllVar!QN1)&gt;1,INDEX(MultipleLkup!$D:$D,MATCH(AllVar!QN1,MultipleLkup!$B:$B,0)),IFERROR(INDEX(AllVarName!$C:$C,MATCH(AllVar!QN1,AllVarName!$B:$B,0)),"No match"))</f>
        <v>Sustained level 4 or 5 destination</v>
      </c>
      <c r="QO2" s="1" t="str">
        <f>IF(COUNTIFS(AllVarName!$B:$B,AllVar!QO1)&gt;1,INDEX(MultipleLkup!$D:$D,MATCH(AllVar!QO1,MultipleLkup!$B:$B,0)),IFERROR(INDEX(AllVarName!$C:$C,MATCH(AllVar!QO1,AllVarName!$B:$B,0)),"No match"))</f>
        <v>Number of pupils studying academic or applied general qualifications</v>
      </c>
      <c r="QP2" s="1" t="str">
        <f>IF(COUNTIFS(AllVarName!$B:$B,AllVar!QP1)&gt;1,INDEX(MultipleLkup!$D:$D,MATCH(AllVar!QP1,MultipleLkup!$B:$B,0)),IFERROR(INDEX(AllVarName!$C:$C,MATCH(AllVar!QP1,AllVarName!$B:$B,0)),"No match"))</f>
        <v>Academic/Applied general qualifications students who sustained L4+ destination</v>
      </c>
      <c r="QQ2" s="1" t="str">
        <f>IF(COUNTIFS(AllVarName!$B:$B,AllVar!QQ1)&gt;1,INDEX(MultipleLkup!$D:$D,MATCH(AllVar!QQ1,MultipleLkup!$B:$B,0)),IFERROR(INDEX(AllVarName!$C:$C,MATCH(AllVar!QQ1,AllVarName!$B:$B,0)),"No match"))</f>
        <v>Academic/AGQ national comparator</v>
      </c>
      <c r="QR2" s="1" t="str">
        <f>IF(COUNTIFS(AllVarName!$B:$B,AllVar!QR1)&gt;1,INDEX(MultipleLkup!$D:$D,MATCH(AllVar!QR1,MultipleLkup!$B:$B,0)),IFERROR(INDEX(AllVarName!$C:$C,MATCH(AllVar!QR1,AllVarName!$B:$B,0)),"No match"))</f>
        <v>Academic/Applied general qualifications progression score</v>
      </c>
      <c r="QS2" s="1" t="str">
        <f>IF(COUNTIFS(AllVarName!$B:$B,AllVar!QS1)&gt;1,INDEX(MultipleLkup!$D:$D,MATCH(AllVar!QS1,MultipleLkup!$B:$B,0)),IFERROR(INDEX(AllVarName!$C:$C,MATCH(AllVar!QS1,AllVarName!$B:$B,0)),"No match"))</f>
        <v>Number of pupils studying tech levels</v>
      </c>
      <c r="QT2" s="1" t="str">
        <f>IF(COUNTIFS(AllVarName!$B:$B,AllVar!QT1)&gt;1,INDEX(MultipleLkup!$D:$D,MATCH(AllVar!QT1,MultipleLkup!$B:$B,0)),IFERROR(INDEX(AllVarName!$C:$C,MATCH(AllVar!QT1,AllVarName!$B:$B,0)),"No match"))</f>
        <v>Tech level students who sustained L4+ destination</v>
      </c>
      <c r="QU2" s="1" t="str">
        <f>IF(COUNTIFS(AllVarName!$B:$B,AllVar!QU1)&gt;1,INDEX(MultipleLkup!$D:$D,MATCH(AllVar!QU1,MultipleLkup!$B:$B,0)),IFERROR(INDEX(AllVarName!$C:$C,MATCH(AllVar!QU1,AllVarName!$B:$B,0)),"No match"))</f>
        <v>Tech level national comparator</v>
      </c>
      <c r="QV2" s="1" t="str">
        <f>IF(COUNTIFS(AllVarName!$B:$B,AllVar!QV1)&gt;1,INDEX(MultipleLkup!$D:$D,MATCH(AllVar!QV1,MultipleLkup!$B:$B,0)),IFERROR(INDEX(AllVarName!$C:$C,MATCH(AllVar!QV1,AllVarName!$B:$B,0)),"No match"))</f>
        <v>Tech level progression score</v>
      </c>
      <c r="QW2" s="1" t="str">
        <f>IF(COUNTIFS(AllVarName!$B:$B,AllVar!QW1)&gt;1,INDEX(MultipleLkup!$D:$D,MATCH(AllVar!QW1,MultipleLkup!$B:$B,0)),IFERROR(INDEX(AllVarName!$C:$C,MATCH(AllVar!QW1,AllVarName!$B:$B,0)),"No match"))</f>
        <v>Number of pupils studying other level 3 qualifications</v>
      </c>
      <c r="QX2" s="1" t="str">
        <f>IF(COUNTIFS(AllVarName!$B:$B,AllVar!QX1)&gt;1,INDEX(MultipleLkup!$D:$D,MATCH(AllVar!QX1,MultipleLkup!$B:$B,0)),IFERROR(INDEX(AllVarName!$C:$C,MATCH(AllVar!QX1,AllVarName!$B:$B,0)),"No match"))</f>
        <v>Other level 3 students who sustained L4+ destination</v>
      </c>
      <c r="QY2" s="1" t="str">
        <f>IF(COUNTIFS(AllVarName!$B:$B,AllVar!QY1)&gt;1,INDEX(MultipleLkup!$D:$D,MATCH(AllVar!QY1,MultipleLkup!$B:$B,0)),IFERROR(INDEX(AllVarName!$C:$C,MATCH(AllVar!QY1,AllVarName!$B:$B,0)),"No match"))</f>
        <v>Other level 3 national comparator</v>
      </c>
      <c r="QZ2" s="1" t="str">
        <f>IF(COUNTIFS(AllVarName!$B:$B,AllVar!QZ1)&gt;1,INDEX(MultipleLkup!$D:$D,MATCH(AllVar!QZ1,MultipleLkup!$B:$B,0)),IFERROR(INDEX(AllVarName!$C:$C,MATCH(AllVar!QZ1,AllVarName!$B:$B,0)),"No match"))</f>
        <v>Other level 3 progression score</v>
      </c>
      <c r="RA2" s="1" t="str">
        <f>IF(COUNTIFS(AllVarName!$B:$B,AllVar!RA1)&gt;1,INDEX(MultipleLkup!$D:$D,MATCH(AllVar!RA1,MultipleLkup!$B:$B,0)),IFERROR(INDEX(AllVarName!$C:$C,MATCH(AllVar!RA1,AllVarName!$B:$B,0)),"No match"))</f>
        <v>School URN</v>
      </c>
      <c r="RB2" s="1" t="str">
        <f>IF(COUNTIFS(AllVarName!$B:$B,AllVar!RB1)&gt;1,INDEX(MultipleLkup!$D:$D,MATCH(AllVar!RB1,MultipleLkup!$B:$B,0)),IFERROR(INDEX(AllVarName!$C:$C,MATCH(AllVar!RB1,AllVarName!$B:$B,0)),"No match"))</f>
        <v>School LAESTAB</v>
      </c>
      <c r="RC2" s="1" t="str">
        <f>IF(COUNTIFS(AllVarName!$B:$B,AllVar!RC1)&gt;1,INDEX(MultipleLkup!$D:$D,MATCH(AllVar!RC1,MultipleLkup!$B:$B,0)),IFERROR(INDEX(AllVarName!$C:$C,MATCH(AllVar!RC1,AllVarName!$B:$B,0)),"No match"))</f>
        <v>School Name</v>
      </c>
      <c r="RD2" s="1" t="str">
        <f>IF(COUNTIFS(AllVarName!$B:$B,AllVar!RD1)&gt;1,INDEX(MultipleLkup!$D:$D,MATCH(AllVar!RD1,MultipleLkup!$B:$B,0)),IFERROR(INDEX(AllVarName!$C:$C,MATCH(AllVar!RD1,AllVarName!$B:$B,0)),"No match"))</f>
        <v>School Type (higher education)</v>
      </c>
      <c r="RE2" s="1" t="str">
        <f>IF(COUNTIFS(AllVarName!$B:$B,AllVar!RE1)&gt;1,INDEX(MultipleLkup!$D:$D,MATCH(AllVar!RE1,MultipleLkup!$B:$B,0)),IFERROR(INDEX(AllVarName!$C:$C,MATCH(AllVar!RE1,AllVarName!$B:$B,0)),"No match"))</f>
        <v>Skills Index</v>
      </c>
      <c r="RF2" s="1" t="str">
        <f>IF(COUNTIFS(AllVarName!$B:$B,AllVar!RF1)&gt;1,INDEX(MultipleLkup!$D:$D,MATCH(AllVar!RF1,MultipleLkup!$B:$B,0)),IFERROR(INDEX(AllVarName!$C:$C,MATCH(AllVar!RF1,AllVarName!$B:$B,0)),"No match"))</f>
        <v>A level status</v>
      </c>
      <c r="RG2" s="1" t="str">
        <f>IF(COUNTIFS(AllVarName!$B:$B,AllVar!RG1)&gt;1,INDEX(MultipleLkup!$D:$D,MATCH(AllVar!RG1,MultipleLkup!$B:$B,0)),IFERROR(INDEX(AllVarName!$C:$C,MATCH(AllVar!RG1,AllVarName!$B:$B,0)),"No match"))</f>
        <v>Estimated value added</v>
      </c>
      <c r="RH2" s="1" t="str">
        <f>IF(COUNTIFS(AllVarName!$B:$B,AllVar!RH1)&gt;1,INDEX(MultipleLkup!$D:$D,MATCH(AllVar!RH1,MultipleLkup!$B:$B,0)),IFERROR(INDEX(AllVarName!$C:$C,MATCH(AllVar!RH1,AllVarName!$B:$B,0)),"No match"))</f>
        <v>Percentage contribution to total value added</v>
      </c>
      <c r="RI2" s="1" t="str">
        <f>IF(COUNTIFS(AllVarName!$B:$B,AllVar!RI1)&gt;1,INDEX(MultipleLkup!$D:$D,MATCH(AllVar!RI1,MultipleLkup!$B:$B,0)),IFERROR(INDEX(AllVarName!$C:$C,MATCH(AllVar!RI1,AllVarName!$B:$B,0)),"No match"))</f>
        <v>Value-added per learner index</v>
      </c>
      <c r="RJ2" s="1" t="str">
        <f>IF(COUNTIFS(AllVarName!$B:$B,AllVar!RJ1)&gt;1,INDEX(MultipleLkup!$D:$D,MATCH(AllVar!RJ1,MultipleLkup!$B:$B,0)),IFERROR(INDEX(AllVarName!$C:$C,MATCH(AllVar!RJ1,AllVarName!$B:$B,0)),"No match"))</f>
        <v>Annual change in Skills Index</v>
      </c>
      <c r="RK2" s="1" t="str">
        <f>IF(COUNTIFS(AllVarName!$B:$B,AllVar!RK1)&gt;1,INDEX(MultipleLkup!$D:$D,MATCH(AllVar!RK1,MultipleLkup!$B:$B,0)),IFERROR(INDEX(AllVarName!$C:$C,MATCH(AllVar!RK1,AllVarName!$B:$B,0)),"No match"))</f>
        <v>Annual change in Value added per learner index</v>
      </c>
      <c r="RL2" s="1" t="str">
        <f>IF(COUNTIFS(AllVarName!$B:$B,AllVar!RL1)&gt;1,INDEX(MultipleLkup!$D:$D,MATCH(AllVar!RL1,MultipleLkup!$B:$B,0)),IFERROR(INDEX(AllVarName!$C:$C,MATCH(AllVar!RL1,AllVarName!$B:$B,0)),"No match"))</f>
        <v>Index of achiever numbers</v>
      </c>
      <c r="RM2" s="1" t="str">
        <f>IF(COUNTIFS(AllVarName!$B:$B,AllVar!RM1)&gt;1,INDEX(MultipleLkup!$D:$D,MATCH(AllVar!RM1,MultipleLkup!$B:$B,0)),IFERROR(INDEX(AllVarName!$C:$C,MATCH(AllVar!RM1,AllVarName!$B:$B,0)),"No match"))</f>
        <v>Higher education Entry Percentage by Age 25 (Overall)</v>
      </c>
      <c r="RN2" s="1" t="str">
        <f>IF(COUNTIFS(AllVarName!$B:$B,AllVar!RN1)&gt;1,INDEX(MultipleLkup!$D:$D,MATCH(AllVar!RN1,MultipleLkup!$B:$B,0)),IFERROR(INDEX(AllVarName!$C:$C,MATCH(AllVar!RN1,AllVarName!$B:$B,0)),"No match"))</f>
        <v>Higher education Entry Percentage by Age 25 (Females)</v>
      </c>
      <c r="RO2" s="1" t="str">
        <f>IF(COUNTIFS(AllVarName!$B:$B,AllVar!RO1)&gt;1,INDEX(MultipleLkup!$D:$D,MATCH(AllVar!RO1,MultipleLkup!$B:$B,0)),IFERROR(INDEX(AllVarName!$C:$C,MATCH(AllVar!RO1,AllVarName!$B:$B,0)),"No match"))</f>
        <v>Regional higher education Entry Percentage by Age 25 (Highest)</v>
      </c>
      <c r="RP2" s="1" t="str">
        <f>IF(COUNTIFS(AllVarName!$B:$B,AllVar!RP1)&gt;1,INDEX(MultipleLkup!$D:$D,MATCH(AllVar!RP1,MultipleLkup!$B:$B,0)),IFERROR(INDEX(AllVarName!$C:$C,MATCH(AllVar!RP1,AllVarName!$B:$B,0)),"No match"))</f>
        <v>Regional higher education Entry Percentage by Age 25 (Lowest)</v>
      </c>
      <c r="RQ2" s="1" t="str">
        <f>IF(COUNTIFS(AllVarName!$B:$B,AllVar!RQ1)&gt;1,INDEX(MultipleLkup!$D:$D,MATCH(AllVar!RQ1,MultipleLkup!$B:$B,0)),IFERROR(INDEX(AllVarName!$C:$C,MATCH(AllVar!RQ1,AllVarName!$B:$B,0)),"No match"))</f>
        <v>Higher education Entry Percentage by Age 25 (First Degrees)</v>
      </c>
      <c r="RR2" s="1" t="str">
        <f>IF(COUNTIFS(AllVarName!$B:$B,AllVar!RR1)&gt;1,INDEX(MultipleLkup!$D:$D,MATCH(AllVar!RR1,MultipleLkup!$B:$B,0)),IFERROR(INDEX(AllVarName!$C:$C,MATCH(AllVar!RR1,AllVarName!$B:$B,0)),"No match"))</f>
        <v>Higher education Entry Percentage by Age 25 (Full Time)</v>
      </c>
      <c r="RS2" s="1" t="str">
        <f>IF(COUNTIFS(AllVarName!$B:$B,AllVar!RS1)&gt;1,INDEX(MultipleLkup!$D:$D,MATCH(AllVar!RS1,MultipleLkup!$B:$B,0)),IFERROR(INDEX(AllVarName!$C:$C,MATCH(AllVar!RS1,AllVarName!$B:$B,0)),"No match"))</f>
        <v>Age entered HE</v>
      </c>
      <c r="RT2" s="1" t="str">
        <f>IF(COUNTIFS(AllVarName!$B:$B,AllVar!RT1)&gt;1,INDEX(MultipleLkup!$D:$D,MATCH(AllVar!RT1,MultipleLkup!$B:$B,0)),IFERROR(INDEX(AllVarName!$C:$C,MATCH(AllVar!RT1,AllVarName!$B:$B,0)),"No match"))</f>
        <v>Entrants</v>
      </c>
      <c r="RU2" s="1" t="str">
        <f>IF(COUNTIFS(AllVarName!$B:$B,AllVar!RU1)&gt;1,INDEX(MultipleLkup!$D:$D,MATCH(AllVar!RU1,MultipleLkup!$B:$B,0)),IFERROR(INDEX(AllVarName!$C:$C,MATCH(AllVar!RU1,AllVarName!$B:$B,0)),"No match"))</f>
        <v>Entry percentage</v>
      </c>
      <c r="RV2" s="1" t="str">
        <f>IF(COUNTIFS(AllVarName!$B:$B,AllVar!RV1)&gt;1,INDEX(MultipleLkup!$D:$D,MATCH(AllVar!RV1,MultipleLkup!$B:$B,0)),IFERROR(INDEX(AllVarName!$C:$C,MATCH(AllVar!RV1,AllVarName!$B:$B,0)),"No match"))</f>
        <v>Age in Higher Education</v>
      </c>
      <c r="RW2" s="1" t="str">
        <f>IF(COUNTIFS(AllVarName!$B:$B,AllVar!RW1)&gt;1,INDEX(MultipleLkup!$D:$D,MATCH(AllVar!RW1,MultipleLkup!$B:$B,0)),IFERROR(INDEX(AllVarName!$C:$C,MATCH(AllVar!RW1,AllVarName!$B:$B,0)),"No match"))</f>
        <v>Cumulative entry percentage</v>
      </c>
      <c r="RX2" s="1" t="str">
        <f>IF(COUNTIFS(AllVarName!$B:$B,AllVar!RX1)&gt;1,INDEX(MultipleLkup!$D:$D,MATCH(AllVar!RX1,MultipleLkup!$B:$B,0)),IFERROR(INDEX(AllVarName!$C:$C,MATCH(AllVar!RX1,AllVarName!$B:$B,0)),"No match"))</f>
        <v>Mode</v>
      </c>
      <c r="RY2" s="1" t="str">
        <f>IF(COUNTIFS(AllVarName!$B:$B,AllVar!RY1)&gt;1,INDEX(MultipleLkup!$D:$D,MATCH(AllVar!RY1,MultipleLkup!$B:$B,0)),IFERROR(INDEX(AllVarName!$C:$C,MATCH(AllVar!RY1,AllVarName!$B:$B,0)),"No match"))</f>
        <v>Methodology</v>
      </c>
      <c r="RZ2" s="1" t="str">
        <f>IF(COUNTIFS(AllVarName!$B:$B,AllVar!RZ1)&gt;1,INDEX(MultipleLkup!$D:$D,MATCH(AllVar!RZ1,MultipleLkup!$B:$B,0)),IFERROR(INDEX(AllVarName!$C:$C,MATCH(AllVar!RZ1,AllVarName!$B:$B,0)),"No match"))</f>
        <v>Level of degree</v>
      </c>
      <c r="SA2" s="1" t="str">
        <f>IF(COUNTIFS(AllVarName!$B:$B,AllVar!SA1)&gt;1,INDEX(MultipleLkup!$D:$D,MATCH(AllVar!SA1,MultipleLkup!$B:$B,0)),IFERROR(INDEX(AllVarName!$C:$C,MATCH(AllVar!SA1,AllVarName!$B:$B,0)),"No match"))</f>
        <v>Percentage with degree</v>
      </c>
      <c r="SB2" s="1" t="str">
        <f>IF(COUNTIFS(AllVarName!$B:$B,AllVar!SB1)&gt;1,INDEX(MultipleLkup!$D:$D,MATCH(AllVar!SB1,MultipleLkup!$B:$B,0)),IFERROR(INDEX(AllVarName!$C:$C,MATCH(AllVar!SB1,AllVarName!$B:$B,0)),"No match"))</f>
        <v>Years after graduation</v>
      </c>
      <c r="SC2" s="1" t="str">
        <f>IF(COUNTIFS(AllVarName!$B:$B,AllVar!SC1)&gt;1,INDEX(MultipleLkup!$D:$D,MATCH(AllVar!SC1,MultipleLkup!$B:$B,0)),IFERROR(INDEX(AllVarName!$C:$C,MATCH(AllVar!SC1,AllVarName!$B:$B,0)),"No match"))</f>
        <v>Mature</v>
      </c>
      <c r="SD2" s="1" t="str">
        <f>IF(COUNTIFS(AllVarName!$B:$B,AllVar!SD1)&gt;1,INDEX(MultipleLkup!$D:$D,MATCH(AllVar!SD1,MultipleLkup!$B:$B,0)),IFERROR(INDEX(AllVarName!$C:$C,MATCH(AllVar!SD1,AllVarName!$B:$B,0)),"No match"))</f>
        <v>Selective status</v>
      </c>
      <c r="SE2" s="1" t="str">
        <f>IF(COUNTIFS(AllVarName!$B:$B,AllVar!SE1)&gt;1,INDEX(MultipleLkup!$D:$D,MATCH(AllVar!SE1,MultipleLkup!$B:$B,0)),IFERROR(INDEX(AllVarName!$C:$C,MATCH(AllVar!SE1,AllVarName!$B:$B,0)),"No match"))</f>
        <v>Local area Higher education participation grouping</v>
      </c>
      <c r="SF2" s="1" t="str">
        <f>IF(COUNTIFS(AllVarName!$B:$B,AllVar!SF1)&gt;1,INDEX(MultipleLkup!$D:$D,MATCH(AllVar!SF1,MultipleLkup!$B:$B,0)),IFERROR(INDEX(AllVarName!$C:$C,MATCH(AllVar!SF1,AllVarName!$B:$B,0)),"No match"))</f>
        <v>Migration to university</v>
      </c>
      <c r="SG2" s="1" t="str">
        <f>IF(COUNTIFS(AllVarName!$B:$B,AllVar!SG1)&gt;1,INDEX(MultipleLkup!$D:$D,MATCH(AllVar!SG1,MultipleLkup!$B:$B,0)),IFERROR(INDEX(AllVarName!$C:$C,MATCH(AllVar!SG1,AllVarName!$B:$B,0)),"No match"))</f>
        <v>Migration from university</v>
      </c>
      <c r="SH2" s="1" t="str">
        <f>IF(COUNTIFS(AllVarName!$B:$B,AllVar!SH1)&gt;1,INDEX(MultipleLkup!$D:$D,MATCH(AllVar!SH1,MultipleLkup!$B:$B,0)),IFERROR(INDEX(AllVarName!$C:$C,MATCH(AllVar!SH1,AllVarName!$B:$B,0)),"No match"))</f>
        <v>Number of graduates</v>
      </c>
      <c r="SI2" s="1" t="str">
        <f>IF(COUNTIFS(AllVarName!$B:$B,AllVar!SI1)&gt;1,INDEX(MultipleLkup!$D:$D,MATCH(AllVar!SI1,MultipleLkup!$B:$B,0)),IFERROR(INDEX(AllVarName!$C:$C,MATCH(AllVar!SI1,AllVarName!$B:$B,0)),"No match"))</f>
        <v>Graduates included in outcomes calculation</v>
      </c>
      <c r="SJ2" s="1" t="str">
        <f>IF(COUNTIFS(AllVarName!$B:$B,AllVar!SJ1)&gt;1,INDEX(MultipleLkup!$D:$D,MATCH(AllVar!SJ1,MultipleLkup!$B:$B,0)),IFERROR(INDEX(AllVarName!$C:$C,MATCH(AllVar!SJ1,AllVarName!$B:$B,0)),"No match"))</f>
        <v>Unmatched graduates</v>
      </c>
      <c r="SK2" s="1" t="str">
        <f>IF(COUNTIFS(AllVarName!$B:$B,AllVar!SK1)&gt;1,INDEX(MultipleLkup!$D:$D,MATCH(AllVar!SK1,MultipleLkup!$B:$B,0)),IFERROR(INDEX(AllVarName!$C:$C,MATCH(AllVar!SK1,AllVarName!$B:$B,0)),"No match"))</f>
        <v>Overseas graduates</v>
      </c>
      <c r="SL2" s="1" t="str">
        <f>IF(COUNTIFS(AllVarName!$B:$B,AllVar!SL1)&gt;1,INDEX(MultipleLkup!$D:$D,MATCH(AllVar!SL1,MultipleLkup!$B:$B,0)),IFERROR(INDEX(AllVarName!$C:$C,MATCH(AllVar!SL1,AllVarName!$B:$B,0)),"No match"))</f>
        <v>Number of matched graduates</v>
      </c>
      <c r="SM2" s="1" t="str">
        <f>IF(COUNTIFS(AllVarName!$B:$B,AllVar!SM1)&gt;1,INDEX(MultipleLkup!$D:$D,MATCH(AllVar!SM1,MultipleLkup!$B:$B,0)),IFERROR(INDEX(AllVarName!$C:$C,MATCH(AllVar!SM1,AllVarName!$B:$B,0)),"No match"))</f>
        <v>Proportion of graduates</v>
      </c>
      <c r="SN2" s="1" t="str">
        <f>IF(COUNTIFS(AllVarName!$B:$B,AllVar!SN1)&gt;1,INDEX(MultipleLkup!$D:$D,MATCH(AllVar!SN1,MultipleLkup!$B:$B,0)),IFERROR(INDEX(AllVarName!$C:$C,MATCH(AllVar!SN1,AllVarName!$B:$B,0)),"No match"))</f>
        <v>Activity not captured (Higher Education)</v>
      </c>
      <c r="SO2" s="1" t="str">
        <f>IF(COUNTIFS(AllVarName!$B:$B,AllVar!SO1)&gt;1,INDEX(MultipleLkup!$D:$D,MATCH(AllVar!SO1,MultipleLkup!$B:$B,0)),IFERROR(INDEX(AllVarName!$C:$C,MATCH(AllVar!SO1,AllVarName!$B:$B,0)),"No match"))</f>
        <v>No sustained destination</v>
      </c>
      <c r="SP2" s="1" t="str">
        <f>IF(COUNTIFS(AllVarName!$B:$B,AllVar!SP1)&gt;1,INDEX(MultipleLkup!$D:$D,MATCH(AllVar!SP1,MultipleLkup!$B:$B,0)),IFERROR(INDEX(AllVarName!$C:$C,MATCH(AllVar!SP1,AllVarName!$B:$B,0)),"No match"))</f>
        <v>Sustained employment only</v>
      </c>
      <c r="SQ2" s="1" t="str">
        <f>IF(COUNTIFS(AllVarName!$B:$B,AllVar!SQ1)&gt;1,INDEX(MultipleLkup!$D:$D,MATCH(AllVar!SQ1,MultipleLkup!$B:$B,0)),IFERROR(INDEX(AllVarName!$C:$C,MATCH(AllVar!SQ1,AllVarName!$B:$B,0)),"No match"))</f>
        <v>Sustained employment with or without further study</v>
      </c>
      <c r="SR2" s="1" t="str">
        <f>IF(COUNTIFS(AllVarName!$B:$B,AllVar!SR1)&gt;1,INDEX(MultipleLkup!$D:$D,MATCH(AllVar!SR1,MultipleLkup!$B:$B,0)),IFERROR(INDEX(AllVarName!$C:$C,MATCH(AllVar!SR1,AllVarName!$B:$B,0)),"No match"))</f>
        <v>Sustained employment further study or both</v>
      </c>
      <c r="SS2" s="1" t="str">
        <f>IF(COUNTIFS(AllVarName!$B:$B,AllVar!SS1)&gt;1,INDEX(MultipleLkup!$D:$D,MATCH(AllVar!SS1,MultipleLkup!$B:$B,0)),IFERROR(INDEX(AllVarName!$C:$C,MATCH(AllVar!SS1,AllVarName!$B:$B,0)),"No match"))</f>
        <v>Further study with or without sustained employment</v>
      </c>
      <c r="ST2" s="1" t="str">
        <f>IF(COUNTIFS(AllVarName!$B:$B,AllVar!ST1)&gt;1,INDEX(MultipleLkup!$D:$D,MATCH(AllVar!ST1,MultipleLkup!$B:$B,0)),IFERROR(INDEX(AllVarName!$C:$C,MATCH(AllVar!ST1,AllVarName!$B:$B,0)),"No match"))</f>
        <v>Graduates included in earnings figures</v>
      </c>
      <c r="SU2" s="1" t="str">
        <f>IF(COUNTIFS(AllVarName!$B:$B,AllVar!SU1)&gt;1,INDEX(MultipleLkup!$D:$D,MATCH(AllVar!SU1,MultipleLkup!$B:$B,0)),IFERROR(INDEX(AllVarName!$C:$C,MATCH(AllVar!SU1,AllVarName!$B:$B,0)),"No match"))</f>
        <v>Lower quartile provider earnings</v>
      </c>
      <c r="SV2" s="1" t="str">
        <f>IF(COUNTIFS(AllVarName!$B:$B,AllVar!SV1)&gt;1,INDEX(MultipleLkup!$D:$D,MATCH(AllVar!SV1,MultipleLkup!$B:$B,0)),IFERROR(INDEX(AllVarName!$C:$C,MATCH(AllVar!SV1,AllVarName!$B:$B,0)),"No match"))</f>
        <v>Median earnings of graduates</v>
      </c>
      <c r="SW2" s="1" t="str">
        <f>IF(COUNTIFS(AllVarName!$B:$B,AllVar!SW1)&gt;1,INDEX(MultipleLkup!$D:$D,MATCH(AllVar!SW1,MultipleLkup!$B:$B,0)),IFERROR(INDEX(AllVarName!$C:$C,MATCH(AllVar!SW1,AllVarName!$B:$B,0)),"No match"))</f>
        <v>Upper quartile provider earnings</v>
      </c>
      <c r="SX2" s="1" t="str">
        <f>IF(COUNTIFS(AllVarName!$B:$B,AllVar!SX1)&gt;1,INDEX(MultipleLkup!$D:$D,MATCH(AllVar!SX1,MultipleLkup!$B:$B,0)),IFERROR(INDEX(AllVarName!$C:$C,MATCH(AllVar!SX1,AllVarName!$B:$B,0)),"No match"))</f>
        <v>Lower quartile of real term earnings of graduates</v>
      </c>
      <c r="SY2" s="1" t="str">
        <f>IF(COUNTIFS(AllVarName!$B:$B,AllVar!SY1)&gt;1,INDEX(MultipleLkup!$D:$D,MATCH(AllVar!SY1,MultipleLkup!$B:$B,0)),IFERROR(INDEX(AllVarName!$C:$C,MATCH(AllVar!SY1,AllVarName!$B:$B,0)),"No match"))</f>
        <v>Median real term earnings</v>
      </c>
      <c r="SZ2" s="1" t="str">
        <f>IF(COUNTIFS(AllVarName!$B:$B,AllVar!SZ1)&gt;1,INDEX(MultipleLkup!$D:$D,MATCH(AllVar!SZ1,MultipleLkup!$B:$B,0)),IFERROR(INDEX(AllVarName!$C:$C,MATCH(AllVar!SZ1,AllVarName!$B:$B,0)),"No match"))</f>
        <v>Upper real term quartile of earnings of graduates</v>
      </c>
      <c r="TA2" s="1" t="str">
        <f>IF(COUNTIFS(AllVarName!$B:$B,AllVar!TA1)&gt;1,INDEX(MultipleLkup!$D:$D,MATCH(AllVar!TA1,MultipleLkup!$B:$B,0)),IFERROR(INDEX(AllVarName!$C:$C,MATCH(AllVar!TA1,AllVarName!$B:$B,0)),"No match"))</f>
        <v>Name of Country</v>
      </c>
      <c r="TB2" s="1" t="str">
        <f>IF(COUNTIFS(AllVarName!$B:$B,AllVar!TB1)&gt;1,INDEX(MultipleLkup!$D:$D,MATCH(AllVar!TB1,MultipleLkup!$B:$B,0)),IFERROR(INDEX(AllVarName!$C:$C,MATCH(AllVar!TB1,AllVarName!$B:$B,0)),"No match"))</f>
        <v>Domicile</v>
      </c>
      <c r="TC2" s="1" t="str">
        <f>IF(COUNTIFS(AllVarName!$B:$B,AllVar!TC1)&gt;1,INDEX(MultipleLkup!$D:$D,MATCH(AllVar!TC1,MultipleLkup!$B:$B,0)),IFERROR(INDEX(AllVarName!$C:$C,MATCH(AllVar!TC1,AllVarName!$B:$B,0)),"No match"))</f>
        <v>Median first degree graduate earnings five years after graduation</v>
      </c>
      <c r="TD2" s="1" t="str">
        <f>IF(COUNTIFS(AllVarName!$B:$B,AllVar!TD1)&gt;1,INDEX(MultipleLkup!$D:$D,MATCH(AllVar!TD1,MultipleLkup!$B:$B,0)),IFERROR(INDEX(AllVarName!$C:$C,MATCH(AllVar!TD1,AllVarName!$B:$B,0)),"No match"))</f>
        <v>Median level 7 (taught) postgraduate earnings five years after graduation</v>
      </c>
      <c r="TE2" s="1" t="str">
        <f>IF(COUNTIFS(AllVarName!$B:$B,AllVar!TE1)&gt;1,INDEX(MultipleLkup!$D:$D,MATCH(AllVar!TE1,MultipleLkup!$B:$B,0)),IFERROR(INDEX(AllVarName!$C:$C,MATCH(AllVar!TE1,AllVarName!$B:$B,0)),"No match"))</f>
        <v>Median level 8 postgraduate earnings five years after graduation</v>
      </c>
      <c r="TF2" s="1" t="str">
        <f>IF(COUNTIFS(AllVarName!$B:$B,AllVar!TF1)&gt;1,INDEX(MultipleLkup!$D:$D,MATCH(AllVar!TF1,MultipleLkup!$B:$B,0)),IFERROR(INDEX(AllVarName!$C:$C,MATCH(AllVar!TF1,AllVarName!$B:$B,0)),"No match"))</f>
        <v>First degree graduates in sustained employment, further study or both five years after graduation</v>
      </c>
      <c r="TG2" s="1" t="str">
        <f>IF(COUNTIFS(AllVarName!$B:$B,AllVar!TG1)&gt;1,INDEX(MultipleLkup!$D:$D,MATCH(AllVar!TG1,MultipleLkup!$B:$B,0)),IFERROR(INDEX(AllVarName!$C:$C,MATCH(AllVar!TG1,AllVarName!$B:$B,0)),"No match"))</f>
        <v>Level 7 (taught) postgraduates in sustained employment, further study or both five years after graduation</v>
      </c>
      <c r="TH2" s="1" t="str">
        <f>IF(COUNTIFS(AllVarName!$B:$B,AllVar!TH1)&gt;1,INDEX(MultipleLkup!$D:$D,MATCH(AllVar!TH1,MultipleLkup!$B:$B,0)),IFERROR(INDEX(AllVarName!$C:$C,MATCH(AllVar!TH1,AllVarName!$B:$B,0)),"No match"))</f>
        <v>Level 8 postgraduates in sustained employment, further study or both five years after graduation</v>
      </c>
      <c r="TI2" s="1" t="str">
        <f>IF(COUNTIFS(AllVarName!$B:$B,AllVar!TI1)&gt;1,INDEX(MultipleLkup!$D:$D,MATCH(AllVar!TI1,MultipleLkup!$B:$B,0)),IFERROR(INDEX(AllVarName!$C:$C,MATCH(AllVar!TI1,AllVarName!$B:$B,0)),"No match"))</f>
        <v>Graduate industry of employment one year after graduation</v>
      </c>
      <c r="TJ2" s="1" t="str">
        <f>IF(COUNTIFS(AllVarName!$B:$B,AllVar!TJ1)&gt;1,INDEX(MultipleLkup!$D:$D,MATCH(AllVar!TJ1,MultipleLkup!$B:$B,0)),IFERROR(INDEX(AllVarName!$C:$C,MATCH(AllVar!TJ1,AllVarName!$B:$B,0)),"No match"))</f>
        <v>Graduate industry of employment three year after graduation</v>
      </c>
      <c r="TK2" s="1" t="str">
        <f>IF(COUNTIFS(AllVarName!$B:$B,AllVar!TK1)&gt;1,INDEX(MultipleLkup!$D:$D,MATCH(AllVar!TK1,MultipleLkup!$B:$B,0)),IFERROR(INDEX(AllVarName!$C:$C,MATCH(AllVar!TK1,AllVarName!$B:$B,0)),"No match"))</f>
        <v>Graduate industry of employment five year after graduation</v>
      </c>
      <c r="TL2" s="1" t="str">
        <f>IF(COUNTIFS(AllVarName!$B:$B,AllVar!TL1)&gt;1,INDEX(MultipleLkup!$D:$D,MATCH(AllVar!TL1,MultipleLkup!$B:$B,0)),IFERROR(INDEX(AllVarName!$C:$C,MATCH(AllVar!TL1,AllVarName!$B:$B,0)),"No match"))</f>
        <v>Qualification TR</v>
      </c>
      <c r="TM2" s="1" t="str">
        <f>IF(COUNTIFS(AllVarName!$B:$B,AllVar!TM1)&gt;1,INDEX(MultipleLkup!$D:$D,MATCH(AllVar!TM1,MultipleLkup!$B:$B,0)),IFERROR(INDEX(AllVarName!$C:$C,MATCH(AllVar!TM1,AllVarName!$B:$B,0)),"No match"))</f>
        <v>Count</v>
      </c>
      <c r="TN2" s="1" t="str">
        <f>IF(COUNTIFS(AllVarName!$B:$B,AllVar!TN1)&gt;1,INDEX(MultipleLkup!$D:$D,MATCH(AllVar!TN1,MultipleLkup!$B:$B,0)),IFERROR(INDEX(AllVarName!$C:$C,MATCH(AllVar!TN1,AllVarName!$B:$B,0)),"No match"))</f>
        <v>Higher Education, Industry section</v>
      </c>
      <c r="TO2" s="1" t="str">
        <f>IF(COUNTIFS(AllVarName!$B:$B,AllVar!TO1)&gt;1,INDEX(MultipleLkup!$D:$D,MATCH(AllVar!TO1,MultipleLkup!$B:$B,0)),IFERROR(INDEX(AllVarName!$C:$C,MATCH(AllVar!TO1,AllVarName!$B:$B,0)),"No match"))</f>
        <v>Number of graduates that studied in region</v>
      </c>
      <c r="TP2" s="1" t="str">
        <f>IF(COUNTIFS(AllVarName!$B:$B,AllVar!TP1)&gt;1,INDEX(MultipleLkup!$D:$D,MATCH(AllVar!TP1,MultipleLkup!$B:$B,0)),IFERROR(INDEX(AllVarName!$C:$C,MATCH(AllVar!TP1,AllVarName!$B:$B,0)),"No match"))</f>
        <v>Number of graduates currently living in region</v>
      </c>
      <c r="TQ2" s="1" t="str">
        <f>IF(COUNTIFS(AllVarName!$B:$B,AllVar!TQ1)&gt;1,INDEX(MultipleLkup!$D:$D,MATCH(AllVar!TQ1,MultipleLkup!$B:$B,0)),IFERROR(INDEX(AllVarName!$C:$C,MATCH(AllVar!TQ1,AllVarName!$B:$B,0)),"No match"))</f>
        <v>Difference in number of graduates who studied in and are currently living in the region</v>
      </c>
      <c r="TR2" s="1" t="str">
        <f>IF(COUNTIFS(AllVarName!$B:$B,AllVar!TR1)&gt;1,INDEX(MultipleLkup!$D:$D,MATCH(AllVar!TR1,MultipleLkup!$B:$B,0)),IFERROR(INDEX(AllVarName!$C:$C,MATCH(AllVar!TR1,AllVarName!$B:$B,0)),"No match"))</f>
        <v>The difference as a proportion</v>
      </c>
      <c r="TS2" s="1" t="str">
        <f>IF(COUNTIFS(AllVarName!$B:$B,AllVar!TS1)&gt;1,INDEX(MultipleLkup!$D:$D,MATCH(AllVar!TS1,MultipleLkup!$B:$B,0)),IFERROR(INDEX(AllVarName!$C:$C,MATCH(AllVar!TS1,AllVarName!$B:$B,0)),"No match"))</f>
        <v>Number of providers for the combination of subject studied and industry</v>
      </c>
      <c r="TT2" s="1" t="str">
        <f>IF(COUNTIFS(AllVarName!$B:$B,AllVar!TT1)&gt;1,INDEX(MultipleLkup!$D:$D,MATCH(AllVar!TT1,MultipleLkup!$B:$B,0)),IFERROR(INDEX(AllVarName!$C:$C,MATCH(AllVar!TT1,AllVarName!$B:$B,0)),"No match"))</f>
        <v xml:space="preserve">Industry section group </v>
      </c>
      <c r="TU2" s="1" t="str">
        <f>IF(COUNTIFS(AllVarName!$B:$B,AllVar!TU1)&gt;1,INDEX(MultipleLkup!$D:$D,MATCH(AllVar!TU1,MultipleLkup!$B:$B,0)),IFERROR(INDEX(AllVarName!$C:$C,MATCH(AllVar!TU1,AllVarName!$B:$B,0)),"No match"))</f>
        <v>Number of providers with earnings data for male and female graduates</v>
      </c>
      <c r="TV2" s="1" t="str">
        <f>IF(COUNTIFS(AllVarName!$B:$B,AllVar!TV1)&gt;1,INDEX(MultipleLkup!$D:$D,MATCH(AllVar!TV1,MultipleLkup!$B:$B,0)),IFERROR(INDEX(AllVarName!$C:$C,MATCH(AllVar!TV1,AllVarName!$B:$B,0)),"No match"))</f>
        <v>Median provider median earnings</v>
      </c>
      <c r="TW2" s="1" t="str">
        <f>IF(COUNTIFS(AllVarName!$B:$B,AllVar!TW1)&gt;1,INDEX(MultipleLkup!$D:$D,MATCH(AllVar!TW1,MultipleLkup!$B:$B,0)),IFERROR(INDEX(AllVarName!$C:$C,MATCH(AllVar!TW1,AllVarName!$B:$B,0)),"No match"))</f>
        <v>Number of providers where female median earnings are lower than male median earnings</v>
      </c>
      <c r="TX2" s="1" t="str">
        <f>IF(COUNTIFS(AllVarName!$B:$B,AllVar!TX1)&gt;1,INDEX(MultipleLkup!$D:$D,MATCH(AllVar!TX1,MultipleLkup!$B:$B,0)),IFERROR(INDEX(AllVarName!$C:$C,MATCH(AllVar!TX1,AllVarName!$B:$B,0)),"No match"))</f>
        <v>Number of providers where female median earnings are equal to male median earnings</v>
      </c>
      <c r="TY2" s="1" t="str">
        <f>IF(COUNTIFS(AllVarName!$B:$B,AllVar!TY1)&gt;1,INDEX(MultipleLkup!$D:$D,MATCH(AllVar!TY1,MultipleLkup!$B:$B,0)),IFERROR(INDEX(AllVarName!$C:$C,MATCH(AllVar!TY1,AllVarName!$B:$B,0)),"No match"))</f>
        <v>Number of providers where female median earnings are higher than male median earnings</v>
      </c>
      <c r="TZ2" s="1" t="str">
        <f>IF(COUNTIFS(AllVarName!$B:$B,AllVar!TZ1)&gt;1,INDEX(MultipleLkup!$D:$D,MATCH(AllVar!TZ1,MultipleLkup!$B:$B,0)),IFERROR(INDEX(AllVarName!$C:$C,MATCH(AllVar!TZ1,AllVarName!$B:$B,0)),"No match"))</f>
        <v>Proportion of included providers where female median earnings are lower than male median earnings</v>
      </c>
      <c r="UA2" s="1" t="str">
        <f>IF(COUNTIFS(AllVarName!$B:$B,AllVar!UA1)&gt;1,INDEX(MultipleLkup!$D:$D,MATCH(AllVar!UA1,MultipleLkup!$B:$B,0)),IFERROR(INDEX(AllVarName!$C:$C,MATCH(AllVar!UA1,AllVarName!$B:$B,0)),"No match"))</f>
        <v>Proportion of included providers where female median earnings are equal to male median earnings</v>
      </c>
      <c r="UB2" s="1" t="str">
        <f>IF(COUNTIFS(AllVarName!$B:$B,AllVar!UB1)&gt;1,INDEX(MultipleLkup!$D:$D,MATCH(AllVar!UB1,MultipleLkup!$B:$B,0)),IFERROR(INDEX(AllVarName!$C:$C,MATCH(AllVar!UB1,AllVarName!$B:$B,0)),"No match"))</f>
        <v>Proportion of included providers where female median earnings are higher than male median earnings</v>
      </c>
      <c r="UC2" s="1" t="str">
        <f>IF(COUNTIFS(AllVarName!$B:$B,AllVar!UC1)&gt;1,INDEX(MultipleLkup!$D:$D,MATCH(AllVar!UC1,MultipleLkup!$B:$B,0)),IFERROR(INDEX(AllVarName!$C:$C,MATCH(AllVar!UC1,AllVarName!$B:$B,0)),"No match"))</f>
        <v>Proportion of included providers where female median earnings were 15%+ greater than male median earnings</v>
      </c>
      <c r="UD2" s="1" t="str">
        <f>IF(COUNTIFS(AllVarName!$B:$B,AllVar!UD1)&gt;1,INDEX(MultipleLkup!$D:$D,MATCH(AllVar!UD1,MultipleLkup!$B:$B,0)),IFERROR(INDEX(AllVarName!$C:$C,MATCH(AllVar!UD1,AllVarName!$B:$B,0)),"No match"))</f>
        <v>Proportion of included providers where female median earnings were 5%-15% greater than male median earnings</v>
      </c>
      <c r="UE2" s="1" t="str">
        <f>IF(COUNTIFS(AllVarName!$B:$B,AllVar!UE1)&gt;1,INDEX(MultipleLkup!$D:$D,MATCH(AllVar!UE1,MultipleLkup!$B:$B,0)),IFERROR(INDEX(AllVarName!$C:$C,MATCH(AllVar!UE1,AllVarName!$B:$B,0)),"No match"))</f>
        <v>Proportion of included providers where the difference was less than 5%</v>
      </c>
      <c r="UF2" s="1" t="str">
        <f>IF(COUNTIFS(AllVarName!$B:$B,AllVar!UF1)&gt;1,INDEX(MultipleLkup!$D:$D,MATCH(AllVar!UF1,MultipleLkup!$B:$B,0)),IFERROR(INDEX(AllVarName!$C:$C,MATCH(AllVar!UF1,AllVarName!$B:$B,0)),"No match"))</f>
        <v>Proportion of included providers where female median earnings were 5%-15% lower than male median earnings</v>
      </c>
      <c r="UG2" s="1" t="str">
        <f>IF(COUNTIFS(AllVarName!$B:$B,AllVar!UG1)&gt;1,INDEX(MultipleLkup!$D:$D,MATCH(AllVar!UG1,MultipleLkup!$B:$B,0)),IFERROR(INDEX(AllVarName!$C:$C,MATCH(AllVar!UG1,AllVarName!$B:$B,0)),"No match"))</f>
        <v>Proportion of included providers where female median earnings were 15%+ lower than male median earnings</v>
      </c>
      <c r="UH2" s="1" t="str">
        <f>IF(COUNTIFS(AllVarName!$B:$B,AllVar!UH1)&gt;1,INDEX(MultipleLkup!$D:$D,MATCH(AllVar!UH1,MultipleLkup!$B:$B,0)),IFERROR(INDEX(AllVarName!$C:$C,MATCH(AllVar!UH1,AllVarName!$B:$B,0)),"No match"))</f>
        <v>Prior Attainment Band</v>
      </c>
      <c r="UI2" s="1" t="str">
        <f>IF(COUNTIFS(AllVarName!$B:$B,AllVar!UI1)&gt;1,INDEX(MultipleLkup!$D:$D,MATCH(AllVar!UI1,MultipleLkup!$B:$B,0)),IFERROR(INDEX(AllVarName!$C:$C,MATCH(AllVar!UI1,AllVarName!$B:$B,0)),"No match"))</f>
        <v>Maximum provider earnings</v>
      </c>
      <c r="UJ2" s="1" t="str">
        <f>IF(COUNTIFS(AllVarName!$B:$B,AllVar!UJ1)&gt;1,INDEX(MultipleLkup!$D:$D,MATCH(AllVar!UJ1,MultipleLkup!$B:$B,0)),IFERROR(INDEX(AllVarName!$C:$C,MATCH(AllVar!UJ1,AllVarName!$B:$B,0)),"No match"))</f>
        <v>Proportion of providers in the prior attainment band</v>
      </c>
      <c r="UK2" s="1" t="str">
        <f>IF(COUNTIFS(AllVarName!$B:$B,AllVar!UK1)&gt;1,INDEX(MultipleLkup!$D:$D,MATCH(AllVar!UK1,MultipleLkup!$B:$B,0)),IFERROR(INDEX(AllVarName!$C:$C,MATCH(AllVar!UK1,AllVarName!$B:$B,0)),"No match"))</f>
        <v>Number of providers in the prior attainment band</v>
      </c>
      <c r="UL2" s="1" t="str">
        <f>IF(COUNTIFS(AllVarName!$B:$B,AllVar!UL1)&gt;1,INDEX(MultipleLkup!$D:$D,MATCH(AllVar!UL1,MultipleLkup!$B:$B,0)),IFERROR(INDEX(AllVarName!$C:$C,MATCH(AllVar!UL1,AllVarName!$B:$B,0)),"No match"))</f>
        <v>Minimum provider earnings</v>
      </c>
      <c r="UM2" s="1" t="str">
        <f>IF(COUNTIFS(AllVarName!$B:$B,AllVar!UM1)&gt;1,INDEX(MultipleLkup!$D:$D,MATCH(AllVar!UM1,MultipleLkup!$B:$B,0)),IFERROR(INDEX(AllVarName!$C:$C,MATCH(AllVar!UM1,AllVarName!$B:$B,0)),"No match"))</f>
        <v>Number of providers included for earnings</v>
      </c>
      <c r="UN2" s="1" t="str">
        <f>IF(COUNTIFS(AllVarName!$B:$B,AllVar!UN1)&gt;1,INDEX(MultipleLkup!$D:$D,MATCH(AllVar!UN1,MultipleLkup!$B:$B,0)),IFERROR(INDEX(AllVarName!$C:$C,MATCH(AllVar!UN1,AllVarName!$B:$B,0)),"No match"))</f>
        <v>Difference between maximum and minimum provider earnings</v>
      </c>
      <c r="UO2" s="1" t="str">
        <f>IF(COUNTIFS(AllVarName!$B:$B,AllVar!UO1)&gt;1,INDEX(MultipleLkup!$D:$D,MATCH(AllVar!UO1,MultipleLkup!$B:$B,0)),IFERROR(INDEX(AllVarName!$C:$C,MATCH(AllVar!UO1,AllVarName!$B:$B,0)),"No match"))</f>
        <v>Proportion of included institutions where adjusted earnings are more than 10% lower than raw median earnings</v>
      </c>
      <c r="UP2" s="1" t="str">
        <f>IF(COUNTIFS(AllVarName!$B:$B,AllVar!UP1)&gt;1,INDEX(MultipleLkup!$D:$D,MATCH(AllVar!UP1,MultipleLkup!$B:$B,0)),IFERROR(INDEX(AllVarName!$C:$C,MATCH(AllVar!UP1,AllVarName!$B:$B,0)),"No match"))</f>
        <v>Proportion of included institutions where adjusted earnings are more than 5% to 10% lower than raw median earnings</v>
      </c>
      <c r="UQ2" s="1" t="str">
        <f>IF(COUNTIFS(AllVarName!$B:$B,AllVar!UQ1)&gt;1,INDEX(MultipleLkup!$D:$D,MATCH(AllVar!UQ1,MultipleLkup!$B:$B,0)),IFERROR(INDEX(AllVarName!$C:$C,MATCH(AllVar!UQ1,AllVarName!$B:$B,0)),"No match"))</f>
        <v>Proportion of included institutions where  adjusted earnings are within 5% of raw median earnings</v>
      </c>
      <c r="UR2" s="1" t="str">
        <f>IF(COUNTIFS(AllVarName!$B:$B,AllVar!UR1)&gt;1,INDEX(MultipleLkup!$D:$D,MATCH(AllVar!UR1,MultipleLkup!$B:$B,0)),IFERROR(INDEX(AllVarName!$C:$C,MATCH(AllVar!UR1,AllVarName!$B:$B,0)),"No match"))</f>
        <v>Proportion of included institutions where  adjusted earnings are more than 5% to 10% higher than raw median earnings</v>
      </c>
      <c r="US2" s="1" t="str">
        <f>IF(COUNTIFS(AllVarName!$B:$B,AllVar!US1)&gt;1,INDEX(MultipleLkup!$D:$D,MATCH(AllVar!US1,MultipleLkup!$B:$B,0)),IFERROR(INDEX(AllVarName!$C:$C,MATCH(AllVar!US1,AllVarName!$B:$B,0)),"No match"))</f>
        <v>Proportion of included institutions where  adjusted earnings are more than 10% higher than raw median earnings</v>
      </c>
      <c r="UT2" s="1" t="str">
        <f>IF(COUNTIFS(AllVarName!$B:$B,AllVar!UT1)&gt;1,INDEX(MultipleLkup!$D:$D,MATCH(AllVar!UT1,MultipleLkup!$B:$B,0)),IFERROR(INDEX(AllVarName!$C:$C,MATCH(AllVar!UT1,AllVarName!$B:$B,0)),"No match"))</f>
        <v>Number of providers included for outcomes</v>
      </c>
      <c r="UU2" s="1" t="str">
        <f>IF(COUNTIFS(AllVarName!$B:$B,AllVar!UU1)&gt;1,INDEX(MultipleLkup!$D:$D,MATCH(AllVar!UU1,MultipleLkup!$B:$B,0)),IFERROR(INDEX(AllVarName!$C:$C,MATCH(AllVar!UU1,AllVarName!$B:$B,0)),"No match"))</f>
        <v>Minimum provider graduates in sustained employment further study or both</v>
      </c>
      <c r="UV2" s="1" t="str">
        <f>IF(COUNTIFS(AllVarName!$B:$B,AllVar!UV1)&gt;1,INDEX(MultipleLkup!$D:$D,MATCH(AllVar!UV1,MultipleLkup!$B:$B,0)),IFERROR(INDEX(AllVarName!$C:$C,MATCH(AllVar!UV1,AllVarName!$B:$B,0)),"No match"))</f>
        <v>Lower quartile provider graduates in sustained employment further study or both</v>
      </c>
      <c r="UW2" s="1" t="str">
        <f>IF(COUNTIFS(AllVarName!$B:$B,AllVar!UW1)&gt;1,INDEX(MultipleLkup!$D:$D,MATCH(AllVar!UW1,MultipleLkup!$B:$B,0)),IFERROR(INDEX(AllVarName!$C:$C,MATCH(AllVar!UW1,AllVarName!$B:$B,0)),"No match"))</f>
        <v>Median provider graduates in sustained employment further study or both</v>
      </c>
      <c r="UX2" s="1" t="str">
        <f>IF(COUNTIFS(AllVarName!$B:$B,AllVar!UX1)&gt;1,INDEX(MultipleLkup!$D:$D,MATCH(AllVar!UX1,MultipleLkup!$B:$B,0)),IFERROR(INDEX(AllVarName!$C:$C,MATCH(AllVar!UX1,AllVarName!$B:$B,0)),"No match"))</f>
        <v>Upper quartile provider graduates in sustained employment further study or both</v>
      </c>
      <c r="UY2" s="1" t="str">
        <f>IF(COUNTIFS(AllVarName!$B:$B,AllVar!UY1)&gt;1,INDEX(MultipleLkup!$D:$D,MATCH(AllVar!UY1,MultipleLkup!$B:$B,0)),IFERROR(INDEX(AllVarName!$C:$C,MATCH(AllVar!UY1,AllVarName!$B:$B,0)),"No match"))</f>
        <v>Maximum provider graduates in sustained employment further study or both</v>
      </c>
      <c r="UZ2" s="1" t="str">
        <f>IF(COUNTIFS(AllVarName!$B:$B,AllVar!UZ1)&gt;1,INDEX(MultipleLkup!$D:$D,MATCH(AllVar!UZ1,MultipleLkup!$B:$B,0)),IFERROR(INDEX(AllVarName!$C:$C,MATCH(AllVar!UZ1,AllVarName!$B:$B,0)),"No match"))</f>
        <v>Difference between maximum and minimum provider graduates in sustained employment further study or both</v>
      </c>
      <c r="VA2" s="1" t="str">
        <f>IF(COUNTIFS(AllVarName!$B:$B,AllVar!VA1)&gt;1,INDEX(MultipleLkup!$D:$D,MATCH(AllVar!VA1,MultipleLkup!$B:$B,0)),IFERROR(INDEX(AllVarName!$C:$C,MATCH(AllVar!VA1,AllVarName!$B:$B,0)),"No match"))</f>
        <v>Number of providers with earnings data for 14/15 and 19/20 tax years</v>
      </c>
      <c r="VB2" s="1" t="str">
        <f>IF(COUNTIFS(AllVarName!$B:$B,AllVar!VB1)&gt;1,INDEX(MultipleLkup!$D:$D,MATCH(AllVar!VB1,MultipleLkup!$B:$B,0)),IFERROR(INDEX(AllVarName!$C:$C,MATCH(AllVar!VB1,AllVarName!$B:$B,0)),"No match"))</f>
        <v>Proportion of providers with 19/20 median earnings more than 5% lower than 14/15 median earnings</v>
      </c>
      <c r="VC2" s="1" t="str">
        <f>IF(COUNTIFS(AllVarName!$B:$B,AllVar!VC1)&gt;1,INDEX(MultipleLkup!$D:$D,MATCH(AllVar!VC1,MultipleLkup!$B:$B,0)),IFERROR(INDEX(AllVarName!$C:$C,MATCH(AllVar!VC1,AllVarName!$B:$B,0)),"No match"))</f>
        <v>Proportion of providers with 19/20 median earnings within 5% of the 14/15 median earnings</v>
      </c>
      <c r="VD2" s="1" t="str">
        <f>IF(COUNTIFS(AllVarName!$B:$B,AllVar!VD1)&gt;1,INDEX(MultipleLkup!$D:$D,MATCH(AllVar!VD1,MultipleLkup!$B:$B,0)),IFERROR(INDEX(AllVarName!$C:$C,MATCH(AllVar!VD1,AllVarName!$B:$B,0)),"No match"))</f>
        <v>Proportion of providers with 19/20 median earnings 5% to 10% greater than 14/15 median earnings</v>
      </c>
      <c r="VE2" s="1" t="str">
        <f>IF(COUNTIFS(AllVarName!$B:$B,AllVar!VE1)&gt;1,INDEX(MultipleLkup!$D:$D,MATCH(AllVar!VE1,MultipleLkup!$B:$B,0)),IFERROR(INDEX(AllVarName!$C:$C,MATCH(AllVar!VE1,AllVarName!$B:$B,0)),"No match"))</f>
        <v>Proportion of providers with 19/20 median earnings 10% to 20% greater than 14/15 median earnings</v>
      </c>
      <c r="VF2" s="1" t="str">
        <f>IF(COUNTIFS(AllVarName!$B:$B,AllVar!VF1)&gt;1,INDEX(MultipleLkup!$D:$D,MATCH(AllVar!VF1,MultipleLkup!$B:$B,0)),IFERROR(INDEX(AllVarName!$C:$C,MATCH(AllVar!VF1,AllVarName!$B:$B,0)),"No match"))</f>
        <v>Proportion of providers with 19/20 median earnings over 20% greater than 14/15 median earnings</v>
      </c>
      <c r="VG2" s="1" t="str">
        <f>IF(COUNTIFS(AllVarName!$B:$B,AllVar!VG1)&gt;1,INDEX(MultipleLkup!$D:$D,MATCH(AllVar!VG1,MultipleLkup!$B:$B,0)),IFERROR(INDEX(AllVarName!$C:$C,MATCH(AllVar!VG1,AllVarName!$B:$B,0)),"No match"))</f>
        <v>Higher education Progression Rate</v>
      </c>
      <c r="VH2" s="1" t="str">
        <f>IF(COUNTIFS(AllVarName!$B:$B,AllVar!VH1)&gt;1,INDEX(MultipleLkup!$D:$D,MATCH(AllVar!VH1,MultipleLkup!$B:$B,0)),IFERROR(INDEX(AllVarName!$C:$C,MATCH(AllVar!VH1,AllVarName!$B:$B,0)),"No match"))</f>
        <v>High Tariff HE Progression Rate (Free School Meals)</v>
      </c>
      <c r="VI2" s="1" t="str">
        <f>IF(COUNTIFS(AllVarName!$B:$B,AllVar!VI1)&gt;1,INDEX(MultipleLkup!$D:$D,MATCH(AllVar!VI1,MultipleLkup!$B:$B,0)),IFERROR(INDEX(AllVarName!$C:$C,MATCH(AllVar!VI1,AllVarName!$B:$B,0)),"No match"))</f>
        <v>High Tariff HE Progression Rate (Non-Free School Meals)</v>
      </c>
      <c r="VJ2" s="1" t="str">
        <f>IF(COUNTIFS(AllVarName!$B:$B,AllVar!VJ1)&gt;1,INDEX(MultipleLkup!$D:$D,MATCH(AllVar!VJ1,MultipleLkup!$B:$B,0)),IFERROR(INDEX(AllVarName!$C:$C,MATCH(AllVar!VJ1,AllVarName!$B:$B,0)),"No match"))</f>
        <v>High Tariff HE Progression Rate</v>
      </c>
      <c r="VK2" s="1" t="str">
        <f>IF(COUNTIFS(AllVarName!$B:$B,AllVar!VK1)&gt;1,INDEX(MultipleLkup!$D:$D,MATCH(AllVar!VK1,MultipleLkup!$B:$B,0)),IFERROR(INDEX(AllVarName!$C:$C,MATCH(AllVar!VK1,AllVarName!$B:$B,0)),"No match"))</f>
        <v>Progression Rate Gap</v>
      </c>
      <c r="VL2" s="1" t="str">
        <f>IF(COUNTIFS(AllVarName!$B:$B,AllVar!VL1)&gt;1,INDEX(MultipleLkup!$D:$D,MATCH(AllVar!VL1,MultipleLkup!$B:$B,0)),IFERROR(INDEX(AllVarName!$C:$C,MATCH(AllVar!VL1,AllVarName!$B:$B,0)),"No match"))</f>
        <v>High Tariff Progression Rate Gap</v>
      </c>
      <c r="VM2" s="1" t="str">
        <f>IF(COUNTIFS(AllVarName!$B:$B,AllVar!VM1)&gt;1,INDEX(MultipleLkup!$D:$D,MATCH(AllVar!VM1,MultipleLkup!$B:$B,0)),IFERROR(INDEX(AllVarName!$C:$C,MATCH(AllVar!VM1,AllVarName!$B:$B,0)),"No match"))</f>
        <v>Number of higher education students</v>
      </c>
      <c r="VN2" s="1" t="str">
        <f>IF(COUNTIFS(AllVarName!$B:$B,AllVar!VN1)&gt;1,INDEX(MultipleLkup!$D:$D,MATCH(AllVar!VN1,MultipleLkup!$B:$B,0)),IFERROR(INDEX(AllVarName!$C:$C,MATCH(AllVar!VN1,AllVarName!$B:$B,0)),"No match"))</f>
        <v>Number of HE Students (High Tariff)</v>
      </c>
      <c r="VO2" s="1" t="str">
        <f>IF(COUNTIFS(AllVarName!$B:$B,AllVar!VO1)&gt;1,INDEX(MultipleLkup!$D:$D,MATCH(AllVar!VO1,MultipleLkup!$B:$B,0)),IFERROR(INDEX(AllVarName!$C:$C,MATCH(AllVar!VO1,AllVarName!$B:$B,0)),"No match"))</f>
        <v>Number of Pupils</v>
      </c>
      <c r="VP2" s="1" t="str">
        <f>IF(COUNTIFS(AllVarName!$B:$B,AllVar!VP1)&gt;1,INDEX(MultipleLkup!$D:$D,MATCH(AllVar!VP1,MultipleLkup!$B:$B,0)),IFERROR(INDEX(AllVarName!$C:$C,MATCH(AllVar!VP1,AllVarName!$B:$B,0)),"No match"))</f>
        <v>Higher education Progression Rate (Free School Meals gap)</v>
      </c>
      <c r="VQ2" s="1" t="str">
        <f>IF(COUNTIFS(AllVarName!$B:$B,AllVar!VQ1)&gt;1,INDEX(MultipleLkup!$D:$D,MATCH(AllVar!VQ1,MultipleLkup!$B:$B,0)),IFERROR(INDEX(AllVarName!$C:$C,MATCH(AllVar!VQ1,AllVarName!$B:$B,0)),"No match"))</f>
        <v>High Tariff Higher Education Progression Rate (lowest ethnic group - White)</v>
      </c>
      <c r="VR2" s="1" t="str">
        <f>IF(COUNTIFS(AllVarName!$B:$B,AllVar!VR1)&gt;1,INDEX(MultipleLkup!$D:$D,MATCH(AllVar!VR1,MultipleLkup!$B:$B,0)),IFERROR(INDEX(AllVarName!$C:$C,MATCH(AllVar!VR1,AllVarName!$B:$B,0)),"No match"))</f>
        <v>Higher education Progression Rate (greatest increase - Black)</v>
      </c>
      <c r="VS2" s="1" t="str">
        <f>IF(COUNTIFS(AllVarName!$B:$B,AllVar!VS1)&gt;1,INDEX(MultipleLkup!$D:$D,MATCH(AllVar!VS1,MultipleLkup!$B:$B,0)),IFERROR(INDEX(AllVarName!$C:$C,MATCH(AllVar!VS1,AllVarName!$B:$B,0)),"No match"))</f>
        <v>Higher education progression rate (Female)</v>
      </c>
      <c r="VT2" s="1" t="str">
        <f>IF(COUNTIFS(AllVarName!$B:$B,AllVar!VT1)&gt;1,INDEX(MultipleLkup!$D:$D,MATCH(AllVar!VT1,MultipleLkup!$B:$B,0)),IFERROR(INDEX(AllVarName!$C:$C,MATCH(AllVar!VT1,AllVarName!$B:$B,0)),"No match"))</f>
        <v>Higher education Progression Rate (free school meals highest region – Inner London)</v>
      </c>
      <c r="VU2" s="1" t="str">
        <f>IF(COUNTIFS(AllVarName!$B:$B,AllVar!VU1)&gt;1,INDEX(MultipleLkup!$D:$D,MATCH(AllVar!VU1,MultipleLkup!$B:$B,0)),IFERROR(INDEX(AllVarName!$C:$C,MATCH(AllVar!VU1,AllVarName!$B:$B,0)),"No match"))</f>
        <v>Higher education Progression Rate (State)</v>
      </c>
      <c r="VV2" s="1" t="str">
        <f>IF(COUNTIFS(AllVarName!$B:$B,AllVar!VV1)&gt;1,INDEX(MultipleLkup!$D:$D,MATCH(AllVar!VV1,MultipleLkup!$B:$B,0)),IFERROR(INDEX(AllVarName!$C:$C,MATCH(AllVar!VV1,AllVarName!$B:$B,0)),"No match"))</f>
        <v>Higher education Progression Rate (Independent)</v>
      </c>
      <c r="VW2" s="1" t="str">
        <f>IF(COUNTIFS(AllVarName!$B:$B,AllVar!VW1)&gt;1,INDEX(MultipleLkup!$D:$D,MATCH(AllVar!VW1,MultipleLkup!$B:$B,0)),IFERROR(INDEX(AllVarName!$C:$C,MATCH(AllVar!VW1,AllVarName!$B:$B,0)),"No match"))</f>
        <v>High Tariff Higher Education Progression Rate (State)</v>
      </c>
      <c r="VX2" s="1" t="str">
        <f>IF(COUNTIFS(AllVarName!$B:$B,AllVar!VX1)&gt;1,INDEX(MultipleLkup!$D:$D,MATCH(AllVar!VX1,MultipleLkup!$B:$B,0)),IFERROR(INDEX(AllVarName!$C:$C,MATCH(AllVar!VX1,AllVarName!$B:$B,0)),"No match"))</f>
        <v>High Tariff Higher Education Progression Rate (Independent)</v>
      </c>
      <c r="VY2" s="1" t="str">
        <f>IF(COUNTIFS(AllVarName!$B:$B,AllVar!VY1)&gt;1,INDEX(MultipleLkup!$D:$D,MATCH(AllVar!VY1,MultipleLkup!$B:$B,0)),IFERROR(INDEX(AllVarName!$C:$C,MATCH(AllVar!VY1,AllVarName!$B:$B,0)),"No match"))</f>
        <v>Special educational needs status</v>
      </c>
      <c r="VZ2" s="1" t="str">
        <f>IF(COUNTIFS(AllVarName!$B:$B,AllVar!VZ1)&gt;1,INDEX(MultipleLkup!$D:$D,MATCH(AllVar!VZ1,MultipleLkup!$B:$B,0)),IFERROR(INDEX(AllVarName!$C:$C,MATCH(AllVar!VZ1,AllVarName!$B:$B,0)),"No match"))</f>
        <v>Tariff Group</v>
      </c>
      <c r="WA2" s="1" t="str">
        <f>IF(COUNTIFS(AllVarName!$B:$B,AllVar!WA1)&gt;1,INDEX(MultipleLkup!$D:$D,MATCH(AllVar!WA1,MultipleLkup!$B:$B,0)),IFERROR(INDEX(AllVarName!$C:$C,MATCH(AllVar!WA1,AllVarName!$B:$B,0)),"No match"))</f>
        <v>Mean Tariff</v>
      </c>
      <c r="WB2" s="1" t="str">
        <f>IF(COUNTIFS(AllVarName!$B:$B,AllVar!WB1)&gt;1,INDEX(MultipleLkup!$D:$D,MATCH(AllVar!WB1,MultipleLkup!$B:$B,0)),IFERROR(INDEX(AllVarName!$C:$C,MATCH(AllVar!WB1,AllVarName!$B:$B,0)),"No match"))</f>
        <v>Teaching excellence framework Rating</v>
      </c>
      <c r="WC2" s="1" t="str">
        <f>IF(COUNTIFS(AllVarName!$B:$B,AllVar!WC1)&gt;1,INDEX(MultipleLkup!$D:$D,MATCH(AllVar!WC1,MultipleLkup!$B:$B,0)),IFERROR(INDEX(AllVarName!$C:$C,MATCH(AllVar!WC1,AllVarName!$B:$B,0)),"No match"))</f>
        <v>Percentage of higher education Students</v>
      </c>
      <c r="WD2" s="1" t="str">
        <f>IF(COUNTIFS(AllVarName!$B:$B,AllVar!WD1)&gt;1,INDEX(MultipleLkup!$D:$D,MATCH(AllVar!WD1,MultipleLkup!$B:$B,0)),IFERROR(INDEX(AllVarName!$C:$C,MATCH(AllVar!WD1,AllVarName!$B:$B,0)),"No match"))</f>
        <v>All achievements</v>
      </c>
      <c r="WE2" s="1" t="str">
        <f>IF(COUNTIFS(AllVarName!$B:$B,AllVar!WE1)&gt;1,INDEX(MultipleLkup!$D:$D,MATCH(AllVar!WE1,MultipleLkup!$B:$B,0)),IFERROR(INDEX(AllVarName!$C:$C,MATCH(AllVar!WE1,AllVarName!$B:$B,0)),"No match"))</f>
        <v>Type of higher Education level learning (broad)</v>
      </c>
      <c r="WF2" s="1" t="str">
        <f>IF(COUNTIFS(AllVarName!$B:$B,AllVar!WF1)&gt;1,INDEX(MultipleLkup!$D:$D,MATCH(AllVar!WF1,MultipleLkup!$B:$B,0)),IFERROR(INDEX(AllVarName!$C:$C,MATCH(AllVar!WF1,AllVarName!$B:$B,0)),"No match"))</f>
        <v>Percentage of all achievements</v>
      </c>
      <c r="WG2" s="1" t="str">
        <f>IF(COUNTIFS(AllVarName!$B:$B,AllVar!WG1)&gt;1,INDEX(MultipleLkup!$D:$D,MATCH(AllVar!WG1,MultipleLkup!$B:$B,0)),IFERROR(INDEX(AllVarName!$C:$C,MATCH(AllVar!WG1,AllVarName!$B:$B,0)),"No match"))</f>
        <v>Percentage of entrants</v>
      </c>
      <c r="WH2" s="1" t="str">
        <f>IF(COUNTIFS(AllVarName!$B:$B,AllVar!WH1)&gt;1,INDEX(MultipleLkup!$D:$D,MATCH(AllVar!WH1,MultipleLkup!$B:$B,0)),IFERROR(INDEX(AllVarName!$C:$C,MATCH(AllVar!WH1,AllVarName!$B:$B,0)),"No match"))</f>
        <v>Percentage of all enrolments</v>
      </c>
      <c r="WI2" s="1" t="str">
        <f>IF(COUNTIFS(AllVarName!$B:$B,AllVar!WI1)&gt;1,INDEX(MultipleLkup!$D:$D,MATCH(AllVar!WI1,MultipleLkup!$B:$B,0)),IFERROR(INDEX(AllVarName!$C:$C,MATCH(AllVar!WI1,AllVarName!$B:$B,0)),"No match"))</f>
        <v>Entrants to Level 4 in 2020/21</v>
      </c>
      <c r="WJ2" s="1" t="str">
        <f>IF(COUNTIFS(AllVarName!$B:$B,AllVar!WJ1)&gt;1,INDEX(MultipleLkup!$D:$D,MATCH(AllVar!WJ1,MultipleLkup!$B:$B,0)),IFERROR(INDEX(AllVarName!$C:$C,MATCH(AllVar!WJ1,AllVarName!$B:$B,0)),"No match"))</f>
        <v>Entrants to Level 5 in 2020/21</v>
      </c>
      <c r="WK2" s="1" t="str">
        <f>IF(COUNTIFS(AllVarName!$B:$B,AllVar!WK1)&gt;1,INDEX(MultipleLkup!$D:$D,MATCH(AllVar!WK1,MultipleLkup!$B:$B,0)),IFERROR(INDEX(AllVarName!$C:$C,MATCH(AllVar!WK1,AllVarName!$B:$B,0)),"No match"))</f>
        <v>Entrants to Level 6 in 2020/21</v>
      </c>
      <c r="WL2" s="1" t="str">
        <f>IF(COUNTIFS(AllVarName!$B:$B,AllVar!WL1)&gt;1,INDEX(MultipleLkup!$D:$D,MATCH(AllVar!WL1,MultipleLkup!$B:$B,0)),IFERROR(INDEX(AllVarName!$C:$C,MATCH(AllVar!WL1,AllVarName!$B:$B,0)),"No match"))</f>
        <v>Entrants to Level 7 in 2020/21</v>
      </c>
      <c r="WM2" s="1" t="str">
        <f>IF(COUNTIFS(AllVarName!$B:$B,AllVar!WM1)&gt;1,INDEX(MultipleLkup!$D:$D,MATCH(AllVar!WM1,MultipleLkup!$B:$B,0)),IFERROR(INDEX(AllVarName!$C:$C,MATCH(AllVar!WM1,AllVarName!$B:$B,0)),"No match"))</f>
        <v>Entrants to Level 8 in 2020/21</v>
      </c>
      <c r="WN2" s="1" t="str">
        <f>IF(COUNTIFS(AllVarName!$B:$B,AllVar!WN1)&gt;1,INDEX(MultipleLkup!$D:$D,MATCH(AllVar!WN1,MultipleLkup!$B:$B,0)),IFERROR(INDEX(AllVarName!$C:$C,MATCH(AllVar!WN1,AllVarName!$B:$B,0)),"No match"))</f>
        <v>Percentage of higher-level entrants registered in Higher Education Providers (HEPs) in 2020/21</v>
      </c>
      <c r="WO2" s="1" t="str">
        <f>IF(COUNTIFS(AllVarName!$B:$B,AllVar!WO1)&gt;1,INDEX(MultipleLkup!$D:$D,MATCH(AllVar!WO1,MultipleLkup!$B:$B,0)),IFERROR(INDEX(AllVarName!$C:$C,MATCH(AllVar!WO1,AllVarName!$B:$B,0)),"No match"))</f>
        <v>Index of multiple deprivation quintile</v>
      </c>
      <c r="WP2" s="1" t="str">
        <f>IF(COUNTIFS(AllVarName!$B:$B,AllVar!WP1)&gt;1,INDEX(MultipleLkup!$D:$D,MATCH(AllVar!WP1,MultipleLkup!$B:$B,0)),IFERROR(INDEX(AllVarName!$C:$C,MATCH(AllVar!WP1,AllVarName!$B:$B,0)),"No match"))</f>
        <v>Funding</v>
      </c>
      <c r="WQ2" s="1" t="str">
        <f>IF(COUNTIFS(AllVarName!$B:$B,AllVar!WQ1)&gt;1,INDEX(MultipleLkup!$D:$D,MATCH(AllVar!WQ1,MultipleLkup!$B:$B,0)),IFERROR(INDEX(AllVarName!$C:$C,MATCH(AllVar!WQ1,AllVarName!$B:$B,0)),"No match"))</f>
        <v>Provider category</v>
      </c>
      <c r="WR2" s="1" t="str">
        <f>IF(COUNTIFS(AllVarName!$B:$B,AllVar!WR1)&gt;1,INDEX(MultipleLkup!$D:$D,MATCH(AllVar!WR1,MultipleLkup!$B:$B,0)),IFERROR(INDEX(AllVarName!$C:$C,MATCH(AllVar!WR1,AllVarName!$B:$B,0)),"No match"))</f>
        <v>Common aggregation hierarchy subject first level grouping</v>
      </c>
      <c r="WS2" s="1" t="str">
        <f>IF(COUNTIFS(AllVarName!$B:$B,AllVar!WS1)&gt;1,INDEX(MultipleLkup!$D:$D,MATCH(AllVar!WS1,MultipleLkup!$B:$B,0)),IFERROR(INDEX(AllVarName!$C:$C,MATCH(AllVar!WS1,AllVarName!$B:$B,0)),"No match"))</f>
        <v>Common aggregation hierarchy subject second level grouping</v>
      </c>
      <c r="WT2" s="1" t="str">
        <f>IF(COUNTIFS(AllVarName!$B:$B,AllVar!WT1)&gt;1,INDEX(MultipleLkup!$D:$D,MATCH(AllVar!WT1,MultipleLkup!$B:$B,0)),IFERROR(INDEX(AllVarName!$C:$C,MATCH(AllVar!WT1,AllVarName!$B:$B,0)),"No match"))</f>
        <v>Technical route</v>
      </c>
      <c r="WU2" s="1" t="str">
        <f>IF(COUNTIFS(AllVarName!$B:$B,AllVar!WU1)&gt;1,INDEX(MultipleLkup!$D:$D,MATCH(AllVar!WU1,MultipleLkup!$B:$B,0)),IFERROR(INDEX(AllVarName!$C:$C,MATCH(AllVar!WU1,AllVarName!$B:$B,0)),"No match"))</f>
        <v>Graduate Characteristic</v>
      </c>
      <c r="WV2" s="1" t="str">
        <f>IF(COUNTIFS(AllVarName!$B:$B,AllVar!WV1)&gt;1,INDEX(MultipleLkup!$D:$D,MATCH(AllVar!WV1,MultipleLkup!$B:$B,0)),IFERROR(INDEX(AllVarName!$C:$C,MATCH(AllVar!WV1,AllVarName!$B:$B,0)),"No match"))</f>
        <v>Graduate Breakdown</v>
      </c>
      <c r="WW2" s="1" t="str">
        <f>IF(COUNTIFS(AllVarName!$B:$B,AllVar!WW1)&gt;1,INDEX(MultipleLkup!$D:$D,MATCH(AllVar!WW1,MultipleLkup!$B:$B,0)),IFERROR(INDEX(AllVarName!$C:$C,MATCH(AllVar!WW1,AllVarName!$B:$B,0)),"No match"))</f>
        <v>Graduate Type</v>
      </c>
      <c r="WX2" s="1" t="str">
        <f>IF(COUNTIFS(AllVarName!$B:$B,AllVar!WX1)&gt;1,INDEX(MultipleLkup!$D:$D,MATCH(AllVar!WX1,MultipleLkup!$B:$B,0)),IFERROR(INDEX(AllVarName!$C:$C,MATCH(AllVar!WX1,AllVarName!$B:$B,0)),"No match"))</f>
        <v xml:space="preserve">Graduate Age Group </v>
      </c>
      <c r="WY2" s="1" t="str">
        <f>IF(COUNTIFS(AllVarName!$B:$B,AllVar!WY1)&gt;1,INDEX(MultipleLkup!$D:$D,MATCH(AllVar!WY1,MultipleLkup!$B:$B,0)),IFERROR(INDEX(AllVarName!$C:$C,MATCH(AllVar!WY1,AllVarName!$B:$B,0)),"No match"))</f>
        <v>Graduate Employment Rate</v>
      </c>
      <c r="WZ2" s="1" t="str">
        <f>IF(COUNTIFS(AllVarName!$B:$B,AllVar!WZ1)&gt;1,INDEX(MultipleLkup!$D:$D,MATCH(AllVar!WZ1,MultipleLkup!$B:$B,0)),IFERROR(INDEX(AllVarName!$C:$C,MATCH(AllVar!WZ1,AllVarName!$B:$B,0)),"No match"))</f>
        <v>Graduate High-Skilled Employment Rate</v>
      </c>
      <c r="XA2" s="1" t="str">
        <f>IF(COUNTIFS(AllVarName!$B:$B,AllVar!XA1)&gt;1,INDEX(MultipleLkup!$D:$D,MATCH(AllVar!XA1,MultipleLkup!$B:$B,0)),IFERROR(INDEX(AllVarName!$C:$C,MATCH(AllVar!XA1,AllVarName!$B:$B,0)),"No match"))</f>
        <v>Median Salary for Graduates (to the nearest £500)</v>
      </c>
      <c r="XB2" s="1" t="str">
        <f>IF(COUNTIFS(AllVarName!$B:$B,AllVar!XB1)&gt;1,INDEX(MultipleLkup!$D:$D,MATCH(AllVar!XB1,MultipleLkup!$B:$B,0)),IFERROR(INDEX(AllVarName!$C:$C,MATCH(AllVar!XB1,AllVarName!$B:$B,0)),"No match"))</f>
        <v>Median Salary Premium for Graduates over Non-graduates</v>
      </c>
      <c r="XC2" s="1" t="str">
        <f>IF(COUNTIFS(AllVarName!$B:$B,AllVar!XC1)&gt;1,INDEX(MultipleLkup!$D:$D,MATCH(AllVar!XC1,MultipleLkup!$B:$B,0)),IFERROR(INDEX(AllVarName!$C:$C,MATCH(AllVar!XC1,AllVarName!$B:$B,0)),"No match"))</f>
        <v>Employment Rate</v>
      </c>
      <c r="XD2" s="1" t="str">
        <f>IF(COUNTIFS(AllVarName!$B:$B,AllVar!XD1)&gt;1,INDEX(MultipleLkup!$D:$D,MATCH(AllVar!XD1,MultipleLkup!$B:$B,0)),IFERROR(INDEX(AllVarName!$C:$C,MATCH(AllVar!XD1,AllVarName!$B:$B,0)),"No match"))</f>
        <v>High-skilled Employment Rate</v>
      </c>
      <c r="XE2" s="1" t="str">
        <f>IF(COUNTIFS(AllVarName!$B:$B,AllVar!XE1)&gt;1,INDEX(MultipleLkup!$D:$D,MATCH(AllVar!XE1,MultipleLkup!$B:$B,0)),IFERROR(INDEX(AllVarName!$C:$C,MATCH(AllVar!XE1,AllVarName!$B:$B,0)),"No match"))</f>
        <v>Graduate Unemployment Rate</v>
      </c>
      <c r="XF2" s="1" t="str">
        <f>IF(COUNTIFS(AllVarName!$B:$B,AllVar!XF1)&gt;1,INDEX(MultipleLkup!$D:$D,MATCH(AllVar!XF1,MultipleLkup!$B:$B,0)),IFERROR(INDEX(AllVarName!$C:$C,MATCH(AllVar!XF1,AllVarName!$B:$B,0)),"No match"))</f>
        <v>Inactivity Rate</v>
      </c>
      <c r="XG2" s="1" t="str">
        <f>IF(COUNTIFS(AllVarName!$B:$B,AllVar!XG1)&gt;1,INDEX(MultipleLkup!$D:$D,MATCH(AllVar!XG1,MultipleLkup!$B:$B,0)),IFERROR(INDEX(AllVarName!$C:$C,MATCH(AllVar!XG1,AllVarName!$B:$B,0)),"No match"))</f>
        <v>Proportion Of Part Time Workers</v>
      </c>
      <c r="XH2" s="1" t="str">
        <f>IF(COUNTIFS(AllVarName!$B:$B,AllVar!XH1)&gt;1,INDEX(MultipleLkup!$D:$D,MATCH(AllVar!XH1,MultipleLkup!$B:$B,0)),IFERROR(INDEX(AllVarName!$C:$C,MATCH(AllVar!XH1,AllVarName!$B:$B,0)),"No match"))</f>
        <v>Employment  proportion</v>
      </c>
      <c r="XI2" s="1" t="str">
        <f>IF(COUNTIFS(AllVarName!$B:$B,AllVar!XI1)&gt;1,INDEX(MultipleLkup!$D:$D,MATCH(AllVar!XI1,MultipleLkup!$B:$B,0)),IFERROR(INDEX(AllVarName!$C:$C,MATCH(AllVar!XI1,AllVarName!$B:$B,0)),"No match"))</f>
        <v>Employment Rate Upper Bound</v>
      </c>
      <c r="XJ2" s="1" t="str">
        <f>IF(COUNTIFS(AllVarName!$B:$B,AllVar!XJ1)&gt;1,INDEX(MultipleLkup!$D:$D,MATCH(AllVar!XJ1,MultipleLkup!$B:$B,0)),IFERROR(INDEX(AllVarName!$C:$C,MATCH(AllVar!XJ1,AllVarName!$B:$B,0)),"No match"))</f>
        <v>Employment Rate Lower Bound</v>
      </c>
      <c r="XK2" s="1" t="str">
        <f>IF(COUNTIFS(AllVarName!$B:$B,AllVar!XK1)&gt;1,INDEX(MultipleLkup!$D:$D,MATCH(AllVar!XK1,MultipleLkup!$B:$B,0)),IFERROR(INDEX(AllVarName!$C:$C,MATCH(AllVar!XK1,AllVarName!$B:$B,0)),"No match"))</f>
        <v>High-skilled Employment Proportion</v>
      </c>
      <c r="XL2" s="1" t="str">
        <f>IF(COUNTIFS(AllVarName!$B:$B,AllVar!XL1)&gt;1,INDEX(MultipleLkup!$D:$D,MATCH(AllVar!XL1,MultipleLkup!$B:$B,0)),IFERROR(INDEX(AllVarName!$C:$C,MATCH(AllVar!XL1,AllVarName!$B:$B,0)),"No match"))</f>
        <v>High-skilled Employment Rate Upper Bound</v>
      </c>
      <c r="XM2" s="1" t="str">
        <f>IF(COUNTIFS(AllVarName!$B:$B,AllVar!XM1)&gt;1,INDEX(MultipleLkup!$D:$D,MATCH(AllVar!XM1,MultipleLkup!$B:$B,0)),IFERROR(INDEX(AllVarName!$C:$C,MATCH(AllVar!XM1,AllVarName!$B:$B,0)),"No match"))</f>
        <v>High-skilled Employment Rate Lower Bound</v>
      </c>
      <c r="XN2" s="1" t="str">
        <f>IF(COUNTIFS(AllVarName!$B:$B,AllVar!XN1)&gt;1,INDEX(MultipleLkup!$D:$D,MATCH(AllVar!XN1,MultipleLkup!$B:$B,0)),IFERROR(INDEX(AllVarName!$C:$C,MATCH(AllVar!XN1,AllVarName!$B:$B,0)),"No match"))</f>
        <v>Unemployment proportion</v>
      </c>
      <c r="XO2" s="1" t="str">
        <f>IF(COUNTIFS(AllVarName!$B:$B,AllVar!XO1)&gt;1,INDEX(MultipleLkup!$D:$D,MATCH(AllVar!XO1,MultipleLkup!$B:$B,0)),IFERROR(INDEX(AllVarName!$C:$C,MATCH(AllVar!XO1,AllVarName!$B:$B,0)),"No match"))</f>
        <v>Unemployment Rate Upper Bound</v>
      </c>
      <c r="XP2" s="1" t="str">
        <f>IF(COUNTIFS(AllVarName!$B:$B,AllVar!XP1)&gt;1,INDEX(MultipleLkup!$D:$D,MATCH(AllVar!XP1,MultipleLkup!$B:$B,0)),IFERROR(INDEX(AllVarName!$C:$C,MATCH(AllVar!XP1,AllVarName!$B:$B,0)),"No match"))</f>
        <v>Unemployment Rate Lower Bound</v>
      </c>
      <c r="XQ2" s="1" t="str">
        <f>IF(COUNTIFS(AllVarName!$B:$B,AllVar!XQ1)&gt;1,INDEX(MultipleLkup!$D:$D,MATCH(AllVar!XQ1,MultipleLkup!$B:$B,0)),IFERROR(INDEX(AllVarName!$C:$C,MATCH(AllVar!XQ1,AllVarName!$B:$B,0)),"No match"))</f>
        <v>total number of starts FY 2122</v>
      </c>
      <c r="XR2" s="1" t="str">
        <f>IF(COUNTIFS(AllVarName!$B:$B,AllVar!XR1)&gt;1,INDEX(MultipleLkup!$D:$D,MATCH(AllVar!XR1,MultipleLkup!$B:$B,0)),IFERROR(INDEX(AllVarName!$C:$C,MATCH(AllVar!XR1,AllVarName!$B:$B,0)),"No match"))</f>
        <v>number of heavy goods vehicle starts FY 2122</v>
      </c>
      <c r="XS2" s="1" t="str">
        <f>IF(COUNTIFS(AllVarName!$B:$B,AllVar!XS1)&gt;1,INDEX(MultipleLkup!$D:$D,MATCH(AllVar!XS1,MultipleLkup!$B:$B,0)),IFERROR(INDEX(AllVarName!$C:$C,MATCH(AllVar!XS1,AllVarName!$B:$B,0)),"No match"))</f>
        <v>number of non heavy goods vehicle starts FY 2122</v>
      </c>
      <c r="XT2" s="1" t="str">
        <f>IF(COUNTIFS(AllVarName!$B:$B,AllVar!XT1)&gt;1,INDEX(MultipleLkup!$D:$D,MATCH(AllVar!XT1,MultipleLkup!$B:$B,0)),IFERROR(INDEX(AllVarName!$C:$C,MATCH(AllVar!XT1,AllVarName!$B:$B,0)),"No match"))</f>
        <v>qualification number</v>
      </c>
      <c r="XU2" s="1" t="str">
        <f>IF(COUNTIFS(AllVarName!$B:$B,AllVar!XU1)&gt;1,INDEX(MultipleLkup!$D:$D,MATCH(AllVar!XU1,MultipleLkup!$B:$B,0)),IFERROR(INDEX(AllVarName!$C:$C,MATCH(AllVar!XU1,AllVarName!$B:$B,0)),"No match"))</f>
        <v>GCSE</v>
      </c>
      <c r="XV2" s="1" t="str">
        <f>IF(COUNTIFS(AllVarName!$B:$B,AllVar!XV1)&gt;1,INDEX(MultipleLkup!$D:$D,MATCH(AllVar!XV1,MultipleLkup!$B:$B,0)),IFERROR(INDEX(AllVarName!$C:$C,MATCH(AllVar!XV1,AllVarName!$B:$B,0)),"No match"))</f>
        <v>SPD Percent</v>
      </c>
      <c r="XW2" s="1" t="str">
        <f>IF(COUNTIFS(AllVarName!$B:$B,AllVar!XW1)&gt;1,INDEX(MultipleLkup!$D:$D,MATCH(AllVar!XW1,MultipleLkup!$B:$B,0)),IFERROR(INDEX(AllVarName!$C:$C,MATCH(AllVar!XW1,AllVarName!$B:$B,0)),"No match"))</f>
        <v>Employment Percent</v>
      </c>
      <c r="XX2" s="1" t="str">
        <f>IF(COUNTIFS(AllVarName!$B:$B,AllVar!XX1)&gt;1,INDEX(MultipleLkup!$D:$D,MATCH(AllVar!XX1,MultipleLkup!$B:$B,0)),IFERROR(INDEX(AllVarName!$C:$C,MATCH(AllVar!XX1,AllVarName!$B:$B,0)),"No match"))</f>
        <v>Employment Only Percent</v>
      </c>
      <c r="XY2" s="1" t="str">
        <f>IF(COUNTIFS(AllVarName!$B:$B,AllVar!XY1)&gt;1,INDEX(MultipleLkup!$D:$D,MATCH(AllVar!XY1,MultipleLkup!$B:$B,0)),IFERROR(INDEX(AllVarName!$C:$C,MATCH(AllVar!XY1,AllVarName!$B:$B,0)),"No match"))</f>
        <v>Employment and learning percent</v>
      </c>
      <c r="XZ2" s="1" t="str">
        <f>IF(COUNTIFS(AllVarName!$B:$B,AllVar!XZ1)&gt;1,INDEX(MultipleLkup!$D:$D,MATCH(AllVar!XZ1,MultipleLkup!$B:$B,0)),IFERROR(INDEX(AllVarName!$C:$C,MATCH(AllVar!XZ1,AllVarName!$B:$B,0)),"No match"))</f>
        <v>Learn only percent</v>
      </c>
      <c r="YA2" s="1" t="str">
        <f>IF(COUNTIFS(AllVarName!$B:$B,AllVar!YA1)&gt;1,INDEX(MultipleLkup!$D:$D,MATCH(AllVar!YA1,MultipleLkup!$B:$B,0)),IFERROR(INDEX(AllVarName!$C:$C,MATCH(AllVar!YA1,AllVarName!$B:$B,0)),"No match"))</f>
        <v>Higher Education Percent</v>
      </c>
      <c r="YB2" s="1" t="str">
        <f>IF(COUNTIFS(AllVarName!$B:$B,AllVar!YB1)&gt;1,INDEX(MultipleLkup!$D:$D,MATCH(AllVar!YB1,MultipleLkup!$B:$B,0)),IFERROR(INDEX(AllVarName!$C:$C,MATCH(AllVar!YB1,AllVarName!$B:$B,0)),"No match"))</f>
        <v>Further Education Percent</v>
      </c>
      <c r="YC2" s="1" t="str">
        <f>IF(COUNTIFS(AllVarName!$B:$B,AllVar!YC1)&gt;1,INDEX(MultipleLkup!$D:$D,MATCH(AllVar!YC1,MultipleLkup!$B:$B,0)),IFERROR(INDEX(AllVarName!$C:$C,MATCH(AllVar!YC1,AllVarName!$B:$B,0)),"No match"))</f>
        <v>Education Percent</v>
      </c>
      <c r="YD2" s="1" t="str">
        <f>IF(COUNTIFS(AllVarName!$B:$B,AllVar!YD1)&gt;1,INDEX(MultipleLkup!$D:$D,MATCH(AllVar!YD1,MultipleLkup!$B:$B,0)),IFERROR(INDEX(AllVarName!$C:$C,MATCH(AllVar!YD1,AllVarName!$B:$B,0)),"No match"))</f>
        <v>Wholesale retail percent</v>
      </c>
      <c r="YE2" s="1" t="str">
        <f>IF(COUNTIFS(AllVarName!$B:$B,AllVar!YE1)&gt;1,INDEX(MultipleLkup!$D:$D,MATCH(AllVar!YE1,MultipleLkup!$B:$B,0)),IFERROR(INDEX(AllVarName!$C:$C,MATCH(AllVar!YE1,AllVarName!$B:$B,0)),"No match"))</f>
        <v>public administration percent</v>
      </c>
      <c r="YF2" s="1" t="str">
        <f>IF(COUNTIFS(AllVarName!$B:$B,AllVar!YF1)&gt;1,INDEX(MultipleLkup!$D:$D,MATCH(AllVar!YF1,MultipleLkup!$B:$B,0)),IFERROR(INDEX(AllVarName!$C:$C,MATCH(AllVar!YF1,AllVarName!$B:$B,0)),"No match"))</f>
        <v>professional scientific technical percent</v>
      </c>
      <c r="YG2" s="1" t="str">
        <f>IF(COUNTIFS(AllVarName!$B:$B,AllVar!YG1)&gt;1,INDEX(MultipleLkup!$D:$D,MATCH(AllVar!YG1,MultipleLkup!$B:$B,0)),IFERROR(INDEX(AllVarName!$C:$C,MATCH(AllVar!YG1,AllVarName!$B:$B,0)),"No match"))</f>
        <v>transport percent</v>
      </c>
      <c r="YH2" s="1" t="str">
        <f>IF(COUNTIFS(AllVarName!$B:$B,AllVar!YH1)&gt;1,INDEX(MultipleLkup!$D:$D,MATCH(AllVar!YH1,MultipleLkup!$B:$B,0)),IFERROR(INDEX(AllVarName!$C:$C,MATCH(AllVar!YH1,AllVarName!$B:$B,0)),"No match"))</f>
        <v>agriculture percent</v>
      </c>
      <c r="YI2" s="1" t="str">
        <f>IF(COUNTIFS(AllVarName!$B:$B,AllVar!YI1)&gt;1,INDEX(MultipleLkup!$D:$D,MATCH(AllVar!YI1,MultipleLkup!$B:$B,0)),IFERROR(INDEX(AllVarName!$C:$C,MATCH(AllVar!YI1,AllVarName!$B:$B,0)),"No match"))</f>
        <v>health and social care percent</v>
      </c>
      <c r="YJ2" s="1" t="str">
        <f>IF(COUNTIFS(AllVarName!$B:$B,AllVar!YJ1)&gt;1,INDEX(MultipleLkup!$D:$D,MATCH(AllVar!YJ1,MultipleLkup!$B:$B,0)),IFERROR(INDEX(AllVarName!$C:$C,MATCH(AllVar!YJ1,AllVarName!$B:$B,0)),"No match"))</f>
        <v>construction percent</v>
      </c>
      <c r="YK2" s="1" t="str">
        <f>IF(COUNTIFS(AllVarName!$B:$B,AllVar!YK1)&gt;1,INDEX(MultipleLkup!$D:$D,MATCH(AllVar!YK1,MultipleLkup!$B:$B,0)),IFERROR(INDEX(AllVarName!$C:$C,MATCH(AllVar!YK1,AllVarName!$B:$B,0)),"No match"))</f>
        <v>information and communication percent</v>
      </c>
      <c r="YL2" s="1" t="str">
        <f>IF(COUNTIFS(AllVarName!$B:$B,AllVar!YL1)&gt;1,INDEX(MultipleLkup!$D:$D,MATCH(AllVar!YL1,MultipleLkup!$B:$B,0)),IFERROR(INDEX(AllVarName!$C:$C,MATCH(AllVar!YL1,AllVarName!$B:$B,0)),"No match"))</f>
        <v>administration percent</v>
      </c>
      <c r="YM2" s="1" t="str">
        <f>IF(COUNTIFS(AllVarName!$B:$B,AllVar!YM1)&gt;1,INDEX(MultipleLkup!$D:$D,MATCH(AllVar!YM1,MultipleLkup!$B:$B,0)),IFERROR(INDEX(AllVarName!$C:$C,MATCH(AllVar!YM1,AllVarName!$B:$B,0)),"No match"))</f>
        <v>manufacturing percent</v>
      </c>
      <c r="YN2" s="1" t="str">
        <f>IF(COUNTIFS(AllVarName!$B:$B,AllVar!YN1)&gt;1,INDEX(MultipleLkup!$D:$D,MATCH(AllVar!YN1,MultipleLkup!$B:$B,0)),IFERROR(INDEX(AllVarName!$C:$C,MATCH(AllVar!YN1,AllVarName!$B:$B,0)),"No match"))</f>
        <v>real estate percent</v>
      </c>
      <c r="YO2" s="1" t="str">
        <f>IF(COUNTIFS(AllVarName!$B:$B,AllVar!YO1)&gt;1,INDEX(MultipleLkup!$D:$D,MATCH(AllVar!YO1,MultipleLkup!$B:$B,0)),IFERROR(INDEX(AllVarName!$C:$C,MATCH(AllVar!YO1,AllVarName!$B:$B,0)),"No match"))</f>
        <v>arts percent</v>
      </c>
      <c r="YP2" s="1" t="str">
        <f>IF(COUNTIFS(AllVarName!$B:$B,AllVar!YP1)&gt;1,INDEX(MultipleLkup!$D:$D,MATCH(AllVar!YP1,MultipleLkup!$B:$B,0)),IFERROR(INDEX(AllVarName!$C:$C,MATCH(AllVar!YP1,AllVarName!$B:$B,0)),"No match"))</f>
        <v>finance percent</v>
      </c>
      <c r="YQ2" s="1" t="str">
        <f>IF(COUNTIFS(AllVarName!$B:$B,AllVar!YQ1)&gt;1,INDEX(MultipleLkup!$D:$D,MATCH(AllVar!YQ1,MultipleLkup!$B:$B,0)),IFERROR(INDEX(AllVarName!$C:$C,MATCH(AllVar!YQ1,AllVarName!$B:$B,0)),"No match"))</f>
        <v>hospitality percent</v>
      </c>
      <c r="YR2" s="1" t="str">
        <f>IF(COUNTIFS(AllVarName!$B:$B,AllVar!YR1)&gt;1,INDEX(MultipleLkup!$D:$D,MATCH(AllVar!YR1,MultipleLkup!$B:$B,0)),IFERROR(INDEX(AllVarName!$C:$C,MATCH(AllVar!YR1,AllVarName!$B:$B,0)),"No match"))</f>
        <v>other activities percent</v>
      </c>
      <c r="YS2" s="1" t="str">
        <f>IF(COUNTIFS(AllVarName!$B:$B,AllVar!YS1)&gt;1,INDEX(MultipleLkup!$D:$D,MATCH(AllVar!YS1,MultipleLkup!$B:$B,0)),IFERROR(INDEX(AllVarName!$C:$C,MATCH(AllVar!YS1,AllVarName!$B:$B,0)),"No match"))</f>
        <v>sector information not available percent</v>
      </c>
      <c r="YT2" s="1" t="str">
        <f>IF(COUNTIFS(AllVarName!$B:$B,AllVar!YT1)&gt;1,INDEX(MultipleLkup!$D:$D,MATCH(AllVar!YT1,MultipleLkup!$B:$B,0)),IFERROR(INDEX(AllVarName!$C:$C,MATCH(AllVar!YT1,AllVarName!$B:$B,0)),"No match"))</f>
        <v>science mathematics percent</v>
      </c>
      <c r="YU2" s="1" t="str">
        <f>IF(COUNTIFS(AllVarName!$B:$B,AllVar!YU1)&gt;1,INDEX(MultipleLkup!$D:$D,MATCH(AllVar!YU1,MultipleLkup!$B:$B,0)),IFERROR(INDEX(AllVarName!$C:$C,MATCH(AllVar!YU1,AllVarName!$B:$B,0)),"No match"))</f>
        <v>retail commercial percent</v>
      </c>
      <c r="YV2" s="1" t="str">
        <f>IF(COUNTIFS(AllVarName!$B:$B,AllVar!YV1)&gt;1,INDEX(MultipleLkup!$D:$D,MATCH(AllVar!YV1,MultipleLkup!$B:$B,0)),IFERROR(INDEX(AllVarName!$C:$C,MATCH(AllVar!YV1,AllVarName!$B:$B,0)),"No match"))</f>
        <v>history philosophy theology percent</v>
      </c>
      <c r="YW2" s="1" t="str">
        <f>IF(COUNTIFS(AllVarName!$B:$B,AllVar!YW1)&gt;1,INDEX(MultipleLkup!$D:$D,MATCH(AllVar!YW1,MultipleLkup!$B:$B,0)),IFERROR(INDEX(AllVarName!$C:$C,MATCH(AllVar!YW1,AllVarName!$B:$B,0)),"No match"))</f>
        <v>Information and communications technology percent</v>
      </c>
      <c r="YX2" s="1" t="str">
        <f>IF(COUNTIFS(AllVarName!$B:$B,AllVar!YX1)&gt;1,INDEX(MultipleLkup!$D:$D,MATCH(AllVar!YX1,MultipleLkup!$B:$B,0)),IFERROR(INDEX(AllVarName!$C:$C,MATCH(AllVar!YX1,AllVarName!$B:$B,0)),"No match"))</f>
        <v>social sciences percent</v>
      </c>
      <c r="YY2" s="1" t="str">
        <f>IF(COUNTIFS(AllVarName!$B:$B,AllVar!YY1)&gt;1,INDEX(MultipleLkup!$D:$D,MATCH(AllVar!YY1,MultipleLkup!$B:$B,0)),IFERROR(INDEX(AllVarName!$C:$C,MATCH(AllVar!YY1,AllVarName!$B:$B,0)),"No match"))</f>
        <v>leisure travel tourism percent</v>
      </c>
      <c r="YZ2" s="1" t="str">
        <f>IF(COUNTIFS(AllVarName!$B:$B,AllVar!YZ1)&gt;1,INDEX(MultipleLkup!$D:$D,MATCH(AllVar!YZ1,MultipleLkup!$B:$B,0)),IFERROR(INDEX(AllVarName!$C:$C,MATCH(AllVar!YZ1,AllVarName!$B:$B,0)),"No match"))</f>
        <v>agriculture, horticulture animal care percent</v>
      </c>
      <c r="ZA2" s="1" t="str">
        <f>IF(COUNTIFS(AllVarName!$B:$B,AllVar!ZA1)&gt;1,INDEX(MultipleLkup!$D:$D,MATCH(AllVar!ZA1,MultipleLkup!$B:$B,0)),IFERROR(INDEX(AllVarName!$C:$C,MATCH(AllVar!ZA1,AllVarName!$B:$B,0)),"No match"))</f>
        <v>language literature culture percent</v>
      </c>
      <c r="ZB2" s="1" t="str">
        <f>IF(COUNTIFS(AllVarName!$B:$B,AllVar!ZB1)&gt;1,INDEX(MultipleLkup!$D:$D,MATCH(AllVar!ZB1,MultipleLkup!$B:$B,0)),IFERROR(INDEX(AllVarName!$C:$C,MATCH(AllVar!ZB1,AllVarName!$B:$B,0)),"No match"))</f>
        <v>business admin law percent</v>
      </c>
      <c r="ZC2" s="1" t="str">
        <f>IF(COUNTIFS(AllVarName!$B:$B,AllVar!ZC1)&gt;1,INDEX(MultipleLkup!$D:$D,MATCH(AllVar!ZC1,MultipleLkup!$B:$B,0)),IFERROR(INDEX(AllVarName!$C:$C,MATCH(AllVar!ZC1,AllVarName!$B:$B,0)),"No match"))</f>
        <v>Engineering, manufacturing percent</v>
      </c>
      <c r="ZD2" s="1" t="str">
        <f>IF(COUNTIFS(AllVarName!$B:$B,AllVar!ZD1)&gt;1,INDEX(MultipleLkup!$D:$D,MATCH(AllVar!ZD1,MultipleLkup!$B:$B,0)),IFERROR(INDEX(AllVarName!$C:$C,MATCH(AllVar!ZD1,AllVarName!$B:$B,0)),"No match"))</f>
        <v>arts, media, and publishing percent</v>
      </c>
      <c r="ZE2" s="1" t="str">
        <f>IF(COUNTIFS(AllVarName!$B:$B,AllVar!ZE1)&gt;1,INDEX(MultipleLkup!$D:$D,MATCH(AllVar!ZE1,MultipleLkup!$B:$B,0)),IFERROR(INDEX(AllVarName!$C:$C,MATCH(AllVar!ZE1,AllVarName!$B:$B,0)),"No match"))</f>
        <v>health services care percent</v>
      </c>
      <c r="ZF2" s="1" t="str">
        <f>IF(COUNTIFS(AllVarName!$B:$B,AllVar!ZF1)&gt;1,INDEX(MultipleLkup!$D:$D,MATCH(AllVar!ZF1,MultipleLkup!$B:$B,0)),IFERROR(INDEX(AllVarName!$C:$C,MATCH(AllVar!ZF1,AllVarName!$B:$B,0)),"No match"))</f>
        <v>life skills percent</v>
      </c>
      <c r="ZG2" s="1" t="str">
        <f>IF(COUNTIFS(AllVarName!$B:$B,AllVar!ZG1)&gt;1,INDEX(MultipleLkup!$D:$D,MATCH(AllVar!ZG1,MultipleLkup!$B:$B,0)),IFERROR(INDEX(AllVarName!$C:$C,MATCH(AllVar!ZG1,AllVarName!$B:$B,0)),"No match"))</f>
        <v>subject information not available percent</v>
      </c>
      <c r="ZH2" s="1" t="str">
        <f>IF(COUNTIFS(AllVarName!$B:$B,AllVar!ZH1)&gt;1,INDEX(MultipleLkup!$D:$D,MATCH(AllVar!ZH1,MultipleLkup!$B:$B,0)),IFERROR(INDEX(AllVarName!$C:$C,MATCH(AllVar!ZH1,AllVarName!$B:$B,0)),"No match"))</f>
        <v>sustained learning destination</v>
      </c>
      <c r="ZI2" s="1" t="str">
        <f>IF(COUNTIFS(AllVarName!$B:$B,AllVar!ZI1)&gt;1,INDEX(MultipleLkup!$D:$D,MATCH(AllVar!ZI1,MultipleLkup!$B:$B,0)),IFERROR(INDEX(AllVarName!$C:$C,MATCH(AllVar!ZI1,AllVarName!$B:$B,0)),"No match"))</f>
        <v>Sector</v>
      </c>
      <c r="ZJ2" s="1" t="str">
        <f>IF(COUNTIFS(AllVarName!$B:$B,AllVar!ZJ1)&gt;1,INDEX(MultipleLkup!$D:$D,MATCH(AllVar!ZJ1,MultipleLkup!$B:$B,0)),IFERROR(INDEX(AllVarName!$C:$C,MATCH(AllVar!ZJ1,AllVarName!$B:$B,0)),"No match"))</f>
        <v>subsector</v>
      </c>
      <c r="ZK2" s="1" t="str">
        <f>IF(COUNTIFS(AllVarName!$B:$B,AllVar!ZK1)&gt;1,INDEX(MultipleLkup!$D:$D,MATCH(AllVar!ZK1,MultipleLkup!$B:$B,0)),IFERROR(INDEX(AllVarName!$C:$C,MATCH(AllVar!ZK1,AllVarName!$B:$B,0)),"No match"))</f>
        <v>level group</v>
      </c>
      <c r="ZL2" s="1" t="str">
        <f>IF(COUNTIFS(AllVarName!$B:$B,AllVar!ZL1)&gt;1,INDEX(MultipleLkup!$D:$D,MATCH(AllVar!ZL1,MultipleLkup!$B:$B,0)),IFERROR(INDEX(AllVarName!$C:$C,MATCH(AllVar!ZL1,AllVarName!$B:$B,0)),"No match"))</f>
        <v>qualification rank</v>
      </c>
      <c r="ZM2" s="1" t="str">
        <f>IF(COUNTIFS(AllVarName!$B:$B,AllVar!ZM1)&gt;1,INDEX(MultipleLkup!$D:$D,MATCH(AllVar!ZM1,MultipleLkup!$B:$B,0)),IFERROR(INDEX(AllVarName!$C:$C,MATCH(AllVar!ZM1,AllVarName!$B:$B,0)),"No match"))</f>
        <v>Number of employees</v>
      </c>
      <c r="ZN2" s="1" t="str">
        <f>IF(COUNTIFS(AllVarName!$B:$B,AllVar!ZN1)&gt;1,INDEX(MultipleLkup!$D:$D,MATCH(AllVar!ZN1,MultipleLkup!$B:$B,0)),IFERROR(INDEX(AllVarName!$C:$C,MATCH(AllVar!ZN1,AllVarName!$B:$B,0)),"No match"))</f>
        <v>pct qualification</v>
      </c>
      <c r="ZO2" s="1" t="str">
        <f>IF(COUNTIFS(AllVarName!$B:$B,AllVar!ZO1)&gt;1,INDEX(MultipleLkup!$D:$D,MATCH(AllVar!ZO1,MultipleLkup!$B:$B,0)),IFERROR(INDEX(AllVarName!$C:$C,MATCH(AllVar!ZO1,AllVarName!$B:$B,0)),"No match"))</f>
        <v>pct subject</v>
      </c>
      <c r="ZP2" s="1" t="str">
        <f>IF(COUNTIFS(AllVarName!$B:$B,AllVar!ZP1)&gt;1,INDEX(MultipleLkup!$D:$D,MATCH(AllVar!ZP1,MultipleLkup!$B:$B,0)),IFERROR(INDEX(AllVarName!$C:$C,MATCH(AllVar!ZP1,AllVarName!$B:$B,0)),"No match"))</f>
        <v>pct level</v>
      </c>
      <c r="ZQ2" s="1" t="str">
        <f>IF(COUNTIFS(AllVarName!$B:$B,AllVar!ZQ1)&gt;1,INDEX(MultipleLkup!$D:$D,MATCH(AllVar!ZQ1,MultipleLkup!$B:$B,0)),IFERROR(INDEX(AllVarName!$C:$C,MATCH(AllVar!ZQ1,AllVarName!$B:$B,0)),"No match"))</f>
        <v>pct subsector</v>
      </c>
      <c r="ZR2" s="1" t="str">
        <f>IF(COUNTIFS(AllVarName!$B:$B,AllVar!ZR1)&gt;1,INDEX(MultipleLkup!$D:$D,MATCH(AllVar!ZR1,MultipleLkup!$B:$B,0)),IFERROR(INDEX(AllVarName!$C:$C,MATCH(AllVar!ZR1,AllVarName!$B:$B,0)),"No match"))</f>
        <v>pct sector</v>
      </c>
      <c r="ZS2" s="1" t="str">
        <f>IF(COUNTIFS(AllVarName!$B:$B,AllVar!ZS1)&gt;1,INDEX(MultipleLkup!$D:$D,MATCH(AllVar!ZS1,MultipleLkup!$B:$B,0)),IFERROR(INDEX(AllVarName!$C:$C,MATCH(AllVar!ZS1,AllVarName!$B:$B,0)),"No match"))</f>
        <v>pct region</v>
      </c>
      <c r="ZT2" s="1" t="str">
        <f>IF(COUNTIFS(AllVarName!$B:$B,AllVar!ZT1)&gt;1,INDEX(MultipleLkup!$D:$D,MATCH(AllVar!ZT1,MultipleLkup!$B:$B,0)),IFERROR(INDEX(AllVarName!$C:$C,MATCH(AllVar!ZT1,AllVarName!$B:$B,0)),"No match"))</f>
        <v>next qualification title</v>
      </c>
      <c r="ZU2" s="1" t="str">
        <f>IF(COUNTIFS(AllVarName!$B:$B,AllVar!ZU1)&gt;1,INDEX(MultipleLkup!$D:$D,MATCH(AllVar!ZU1,MultipleLkup!$B:$B,0)),IFERROR(INDEX(AllVarName!$C:$C,MATCH(AllVar!ZU1,AllVarName!$B:$B,0)),"No match"))</f>
        <v>next level group</v>
      </c>
      <c r="ZV2" s="1" t="str">
        <f>IF(COUNTIFS(AllVarName!$B:$B,AllVar!ZV1)&gt;1,INDEX(MultipleLkup!$D:$D,MATCH(AllVar!ZV1,MultipleLkup!$B:$B,0)),IFERROR(INDEX(AllVarName!$C:$C,MATCH(AllVar!ZV1,AllVarName!$B:$B,0)),"No match"))</f>
        <v>next subject</v>
      </c>
      <c r="ZW2" s="1" t="str">
        <f>IF(COUNTIFS(AllVarName!$B:$B,AllVar!ZW1)&gt;1,INDEX(MultipleLkup!$D:$D,MATCH(AllVar!ZW1,MultipleLkup!$B:$B,0)),IFERROR(INDEX(AllVarName!$C:$C,MATCH(AllVar!ZW1,AllVarName!$B:$B,0)),"No match"))</f>
        <v>destination rank</v>
      </c>
      <c r="ZX2" s="1" t="str">
        <f>IF(COUNTIFS(AllVarName!$B:$B,AllVar!ZX1)&gt;1,INDEX(MultipleLkup!$D:$D,MATCH(AllVar!ZX1,MultipleLkup!$B:$B,0)),IFERROR(INDEX(AllVarName!$C:$C,MATCH(AllVar!ZX1,AllVarName!$B:$B,0)),"No match"))</f>
        <v>pct employees</v>
      </c>
      <c r="ZY2" s="1" t="str">
        <f>IF(COUNTIFS(AllVarName!$B:$B,AllVar!ZY1)&gt;1,INDEX(MultipleLkup!$D:$D,MATCH(AllVar!ZY1,MultipleLkup!$B:$B,0)),IFERROR(INDEX(AllVarName!$C:$C,MATCH(AllVar!ZY1,AllVarName!$B:$B,0)),"No match"))</f>
        <v>Employer Size</v>
      </c>
      <c r="ZZ2" s="1" t="str">
        <f>IF(COUNTIFS(AllVarName!$B:$B,AllVar!ZZ1)&gt;1,INDEX(MultipleLkup!$D:$D,MATCH(AllVar!ZZ1,MultipleLkup!$B:$B,0)),IFERROR(INDEX(AllVarName!$C:$C,MATCH(AllVar!ZZ1,AllVarName!$B:$B,0)),"No match"))</f>
        <v>Two Digit Sector</v>
      </c>
      <c r="AAA2" s="1" t="str">
        <f>IF(COUNTIFS(AllVarName!$B:$B,AllVar!AAA1)&gt;1,INDEX(MultipleLkup!$D:$D,MATCH(AllVar!AAA1,MultipleLkup!$B:$B,0)),IFERROR(INDEX(AllVarName!$C:$C,MATCH(AllVar!AAA1,AllVarName!$B:$B,0)),"No match"))</f>
        <v>Index of Multiple deprivation</v>
      </c>
      <c r="AAB2" s="1" t="str">
        <f>IF(COUNTIFS(AllVarName!$B:$B,AllVar!AAB1)&gt;1,INDEX(MultipleLkup!$D:$D,MATCH(AllVar!AAB1,MultipleLkup!$B:$B,0)),IFERROR(INDEX(AllVarName!$C:$C,MATCH(AllVar!AAB1,AllVarName!$B:$B,0)),"No match"))</f>
        <v>ents with apprenticeship starts per 1000</v>
      </c>
      <c r="AAC2" s="1" t="str">
        <f>IF(COUNTIFS(AllVarName!$B:$B,AllVar!AAC1)&gt;1,INDEX(MultipleLkup!$D:$D,MATCH(AllVar!AAC1,MultipleLkup!$B:$B,0)),IFERROR(INDEX(AllVarName!$C:$C,MATCH(AllVar!AAC1,AllVarName!$B:$B,0)),"No match"))</f>
        <v>pct starts small and medium sized enterprises</v>
      </c>
      <c r="AAD2" s="1" t="str">
        <f>IF(COUNTIFS(AllVarName!$B:$B,AllVar!AAD1)&gt;1,INDEX(MultipleLkup!$D:$D,MATCH(AllVar!AAD1,MultipleLkup!$B:$B,0)),IFERROR(INDEX(AllVarName!$C:$C,MATCH(AllVar!AAD1,AllVarName!$B:$B,0)),"No match"))</f>
        <v>Apprenticeship service account, levy upported</v>
      </c>
      <c r="AAE2" s="1" t="str">
        <f>IF(COUNTIFS(AllVarName!$B:$B,AllVar!AAE1)&gt;1,INDEX(MultipleLkup!$D:$D,MATCH(AllVar!AAE1,MultipleLkup!$B:$B,0)),IFERROR(INDEX(AllVarName!$C:$C,MATCH(AllVar!AAE1,AllVarName!$B:$B,0)),"No match"))</f>
        <v>Size</v>
      </c>
      <c r="AAF2" s="1" t="str">
        <f>IF(COUNTIFS(AllVarName!$B:$B,AllVar!AAF1)&gt;1,INDEX(MultipleLkup!$D:$D,MATCH(AllVar!AAF1,MultipleLkup!$B:$B,0)),IFERROR(INDEX(AllVarName!$C:$C,MATCH(AllVar!AAF1,AllVarName!$B:$B,0)),"No match"))</f>
        <v>Legal Status</v>
      </c>
      <c r="AAG2" s="1" t="str">
        <f>IF(COUNTIFS(AllVarName!$B:$B,AllVar!AAG1)&gt;1,INDEX(MultipleLkup!$D:$D,MATCH(AllVar!AAG1,MultipleLkup!$B:$B,0)),IFERROR(INDEX(AllVarName!$C:$C,MATCH(AllVar!AAG1,AllVarName!$B:$B,0)),"No match"))</f>
        <v>Apprenticeship Service Account Levy Supported Starts</v>
      </c>
      <c r="AAH2" s="1" t="str">
        <f>IF(COUNTIFS(AllVarName!$B:$B,AllVar!AAH1)&gt;1,INDEX(MultipleLkup!$D:$D,MATCH(AllVar!AAH1,MultipleLkup!$B:$B,0)),IFERROR(INDEX(AllVarName!$C:$C,MATCH(AllVar!AAH1,AllVarName!$B:$B,0)),"No match"))</f>
        <v>Number of Enterprises</v>
      </c>
      <c r="AAI2" s="1" t="str">
        <f>IF(COUNTIFS(AllVarName!$B:$B,AllVar!AAI1)&gt;1,INDEX(MultipleLkup!$D:$D,MATCH(AllVar!AAI1,MultipleLkup!$B:$B,0)),IFERROR(INDEX(AllVarName!$C:$C,MATCH(AllVar!AAI1,AllVarName!$B:$B,0)),"No match"))</f>
        <v>Apprentices Per 1k Employees</v>
      </c>
      <c r="AAJ2" s="1" t="str">
        <f>IF(COUNTIFS(AllVarName!$B:$B,AllVar!AAJ1)&gt;1,INDEX(MultipleLkup!$D:$D,MATCH(AllVar!AAJ1,MultipleLkup!$B:$B,0)),IFERROR(INDEX(AllVarName!$C:$C,MATCH(AllVar!AAJ1,AllVarName!$B:$B,0)),"No match"))</f>
        <v>Enterprises With Apps Per 1k Entrants</v>
      </c>
      <c r="AAK2" s="1" t="str">
        <f>IF(COUNTIFS(AllVarName!$B:$B,AllVar!AAK1)&gt;1,INDEX(MultipleLkup!$D:$D,MATCH(AllVar!AAK1,MultipleLkup!$B:$B,0)),IFERROR(INDEX(AllVarName!$C:$C,MATCH(AllVar!AAK1,AllVarName!$B:$B,0)),"No match"))</f>
        <v>number of participants reported</v>
      </c>
      <c r="AAL2" s="1" t="str">
        <f>IF(COUNTIFS(AllVarName!$B:$B,AllVar!AAL1)&gt;1,INDEX(MultipleLkup!$D:$D,MATCH(AllVar!AAL1,MultipleLkup!$B:$B,0)),IFERROR(INDEX(AllVarName!$C:$C,MATCH(AllVar!AAL1,AllVarName!$B:$B,0)),"No match"))</f>
        <v>number completing</v>
      </c>
      <c r="AAM2" s="1" t="str">
        <f>IF(COUNTIFS(AllVarName!$B:$B,AllVar!AAM1)&gt;1,INDEX(MultipleLkup!$D:$D,MATCH(AllVar!AAM1,MultipleLkup!$B:$B,0)),IFERROR(INDEX(AllVarName!$C:$C,MATCH(AllVar!AAM1,AllVarName!$B:$B,0)),"No match"))</f>
        <v>new opportunities</v>
      </c>
      <c r="AAN2" s="1" t="str">
        <f>IF(COUNTIFS(AllVarName!$B:$B,AllVar!AAN1)&gt;1,INDEX(MultipleLkup!$D:$D,MATCH(AllVar!AAN1,MultipleLkup!$B:$B,0)),IFERROR(INDEX(AllVarName!$C:$C,MATCH(AllVar!AAN1,AllVarName!$B:$B,0)),"No match"))</f>
        <v>new responsibilities</v>
      </c>
      <c r="AAO2" s="1" t="str">
        <f>IF(COUNTIFS(AllVarName!$B:$B,AllVar!AAO1)&gt;1,INDEX(MultipleLkup!$D:$D,MATCH(AllVar!AAO1,MultipleLkup!$B:$B,0)),IFERROR(INDEX(AllVarName!$C:$C,MATCH(AllVar!AAO1,AllVarName!$B:$B,0)),"No match"))</f>
        <v>new employment</v>
      </c>
      <c r="AAP2" s="1" t="str">
        <f>IF(COUNTIFS(AllVarName!$B:$B,AllVar!AAP1)&gt;1,INDEX(MultipleLkup!$D:$D,MATCH(AllVar!AAP1,MultipleLkup!$B:$B,0)),IFERROR(INDEX(AllVarName!$C:$C,MATCH(AllVar!AAP1,AllVarName!$B:$B,0)),"No match"))</f>
        <v>new role</v>
      </c>
      <c r="AAQ2" s="1" t="str">
        <f>IF(COUNTIFS(AllVarName!$B:$B,AllVar!AAQ1)&gt;1,INDEX(MultipleLkup!$D:$D,MATCH(AllVar!AAQ1,MultipleLkup!$B:$B,0)),IFERROR(INDEX(AllVarName!$C:$C,MATCH(AllVar!AAQ1,AllVarName!$B:$B,0)),"No match"))</f>
        <v>no change</v>
      </c>
      <c r="AAR2" s="1" t="str">
        <f>IF(COUNTIFS(AllVarName!$B:$B,AllVar!AAR1)&gt;1,INDEX(MultipleLkup!$D:$D,MATCH(AllVar!AAR1,MultipleLkup!$B:$B,0)),IFERROR(INDEX(AllVarName!$C:$C,MATCH(AllVar!AAR1,AllVarName!$B:$B,0)),"No match"))</f>
        <v>SPD</v>
      </c>
      <c r="AAS2" s="1" t="str">
        <f>IF(COUNTIFS(AllVarName!$B:$B,AllVar!AAS1)&gt;1,INDEX(MultipleLkup!$D:$D,MATCH(AllVar!AAS1,MultipleLkup!$B:$B,0)),IFERROR(INDEX(AllVarName!$C:$C,MATCH(AllVar!AAS1,AllVarName!$B:$B,0)),"No match"))</f>
        <v>Employment</v>
      </c>
      <c r="AAT2" s="1" t="str">
        <f>IF(COUNTIFS(AllVarName!$B:$B,AllVar!AAT1)&gt;1,INDEX(MultipleLkup!$D:$D,MATCH(AllVar!AAT1,MultipleLkup!$B:$B,0)),IFERROR(INDEX(AllVarName!$C:$C,MATCH(AllVar!AAT1,AllVarName!$B:$B,0)),"No match"))</f>
        <v>Self Employment</v>
      </c>
      <c r="AAU2" s="1" t="str">
        <f>IF(COUNTIFS(AllVarName!$B:$B,AllVar!AAU1)&gt;1,INDEX(MultipleLkup!$D:$D,MATCH(AllVar!AAU1,MultipleLkup!$B:$B,0)),IFERROR(INDEX(AllVarName!$C:$C,MATCH(AllVar!AAU1,AllVarName!$B:$B,0)),"No match"))</f>
        <v>Learn</v>
      </c>
      <c r="AAV2" s="1" t="str">
        <f>IF(COUNTIFS(AllVarName!$B:$B,AllVar!AAV1)&gt;1,INDEX(MultipleLkup!$D:$D,MATCH(AllVar!AAV1,MultipleLkup!$B:$B,0)),IFERROR(INDEX(AllVarName!$C:$C,MATCH(AllVar!AAV1,AllVarName!$B:$B,0)),"No match"))</f>
        <v>Learn Only</v>
      </c>
      <c r="AAW2" s="1" t="str">
        <f>IF(COUNTIFS(AllVarName!$B:$B,AllVar!AAW1)&gt;1,INDEX(MultipleLkup!$D:$D,MATCH(AllVar!AAW1,MultipleLkup!$B:$B,0)),IFERROR(INDEX(AllVarName!$C:$C,MATCH(AllVar!AAW1,AllVarName!$B:$B,0)),"No match"))</f>
        <v>Below Level 2</v>
      </c>
      <c r="AAX2" s="1" t="str">
        <f>IF(COUNTIFS(AllVarName!$B:$B,AllVar!AAX1)&gt;1,INDEX(MultipleLkup!$D:$D,MATCH(AllVar!AAX1,MultipleLkup!$B:$B,0)),IFERROR(INDEX(AllVarName!$C:$C,MATCH(AllVar!AAX1,AllVarName!$B:$B,0)),"No match"))</f>
        <v>English, maths</v>
      </c>
      <c r="AAY2" s="1" t="str">
        <f>IF(COUNTIFS(AllVarName!$B:$B,AllVar!AAY1)&gt;1,INDEX(MultipleLkup!$D:$D,MATCH(AllVar!AAY1,MultipleLkup!$B:$B,0)),IFERROR(INDEX(AllVarName!$C:$C,MATCH(AllVar!AAY1,AllVarName!$B:$B,0)),"No match"))</f>
        <v>Level 2</v>
      </c>
      <c r="AAZ2" s="1" t="str">
        <f>IF(COUNTIFS(AllVarName!$B:$B,AllVar!AAZ1)&gt;1,INDEX(MultipleLkup!$D:$D,MATCH(AllVar!AAZ1,MultipleLkup!$B:$B,0)),IFERROR(INDEX(AllVarName!$C:$C,MATCH(AllVar!AAZ1,AllVarName!$B:$B,0)),"No match"))</f>
        <v>Full Level2</v>
      </c>
      <c r="ABA2" s="1" t="str">
        <f>IF(COUNTIFS(AllVarName!$B:$B,AllVar!ABA1)&gt;1,INDEX(MultipleLkup!$D:$D,MATCH(AllVar!ABA1,MultipleLkup!$B:$B,0)),IFERROR(INDEX(AllVarName!$C:$C,MATCH(AllVar!ABA1,AllVarName!$B:$B,0)),"No match"))</f>
        <v>Full Level3</v>
      </c>
      <c r="ABB2" s="1" t="str">
        <f>IF(COUNTIFS(AllVarName!$B:$B,AllVar!ABB1)&gt;1,INDEX(MultipleLkup!$D:$D,MATCH(AllVar!ABB1,MultipleLkup!$B:$B,0)),IFERROR(INDEX(AllVarName!$C:$C,MATCH(AllVar!ABB1,AllVarName!$B:$B,0)),"No match"))</f>
        <v>Level 4 Plus</v>
      </c>
      <c r="ABC2" s="1" t="str">
        <f>IF(COUNTIFS(AllVarName!$B:$B,AllVar!ABC1)&gt;1,INDEX(MultipleLkup!$D:$D,MATCH(AllVar!ABC1,MultipleLkup!$B:$B,0)),IFERROR(INDEX(AllVarName!$C:$C,MATCH(AllVar!ABC1,AllVarName!$B:$B,0)),"No match"))</f>
        <v>Not Assigned</v>
      </c>
      <c r="ABD2" s="1" t="str">
        <f>IF(COUNTIFS(AllVarName!$B:$B,AllVar!ABD1)&gt;1,INDEX(MultipleLkup!$D:$D,MATCH(AllVar!ABD1,MultipleLkup!$B:$B,0)),IFERROR(INDEX(AllVarName!$C:$C,MATCH(AllVar!ABD1,AllVarName!$B:$B,0)),"No match"))</f>
        <v>App</v>
      </c>
      <c r="ABE2" s="1" t="str">
        <f>IF(COUNTIFS(AllVarName!$B:$B,AllVar!ABE1)&gt;1,INDEX(MultipleLkup!$D:$D,MATCH(AllVar!ABE1,MultipleLkup!$B:$B,0)),IFERROR(INDEX(AllVarName!$C:$C,MATCH(AllVar!ABE1,AllVarName!$B:$B,0)),"No match"))</f>
        <v>App Intermediate</v>
      </c>
      <c r="ABF2" s="1" t="str">
        <f>IF(COUNTIFS(AllVarName!$B:$B,AllVar!ABF1)&gt;1,INDEX(MultipleLkup!$D:$D,MATCH(AllVar!ABF1,MultipleLkup!$B:$B,0)),IFERROR(INDEX(AllVarName!$C:$C,MATCH(AllVar!ABF1,AllVarName!$B:$B,0)),"No match"))</f>
        <v>App Advanced Plus</v>
      </c>
      <c r="ABG2" s="1" t="str">
        <f>IF(COUNTIFS(AllVarName!$B:$B,AllVar!ABG1)&gt;1,INDEX(MultipleLkup!$D:$D,MATCH(AllVar!ABG1,MultipleLkup!$B:$B,0)),IFERROR(INDEX(AllVarName!$C:$C,MATCH(AllVar!ABG1,AllVarName!$B:$B,0)),"No match"))</f>
        <v>Any Learn</v>
      </c>
      <c r="ABH2" s="1" t="str">
        <f>IF(COUNTIFS(AllVarName!$B:$B,AllVar!ABH1)&gt;1,INDEX(MultipleLkup!$D:$D,MATCH(AllVar!ABH1,MultipleLkup!$B:$B,0)),IFERROR(INDEX(AllVarName!$C:$C,MATCH(AllVar!ABH1,AllVarName!$B:$B,0)),"No match"))</f>
        <v>Not Sustained</v>
      </c>
      <c r="ABI2" s="1" t="str">
        <f>IF(COUNTIFS(AllVarName!$B:$B,AllVar!ABI1)&gt;1,INDEX(MultipleLkup!$D:$D,MATCH(AllVar!ABI1,MultipleLkup!$B:$B,0)),IFERROR(INDEX(AllVarName!$C:$C,MATCH(AllVar!ABI1,AllVarName!$B:$B,0)),"No match"))</f>
        <v>Not Sustained NB</v>
      </c>
      <c r="ABJ2" s="1" t="str">
        <f>IF(COUNTIFS(AllVarName!$B:$B,AllVar!ABJ1)&gt;1,INDEX(MultipleLkup!$D:$D,MATCH(AllVar!ABJ1,MultipleLkup!$B:$B,0)),IFERROR(INDEX(AllVarName!$C:$C,MATCH(AllVar!ABJ1,AllVarName!$B:$B,0)),"No match"))</f>
        <v>Not Sustained Benefit</v>
      </c>
      <c r="ABK2" s="1" t="str">
        <f>IF(COUNTIFS(AllVarName!$B:$B,AllVar!ABK1)&gt;1,INDEX(MultipleLkup!$D:$D,MATCH(AllVar!ABK1,MultipleLkup!$B:$B,0)),IFERROR(INDEX(AllVarName!$C:$C,MATCH(AllVar!ABK1,AllVarName!$B:$B,0)),"No match"))</f>
        <v>Benefits</v>
      </c>
      <c r="ABL2" s="1" t="str">
        <f>IF(COUNTIFS(AllVarName!$B:$B,AllVar!ABL1)&gt;1,INDEX(MultipleLkup!$D:$D,MATCH(AllVar!ABL1,MultipleLkup!$B:$B,0)),IFERROR(INDEX(AllVarName!$C:$C,MATCH(AllVar!ABL1,AllVarName!$B:$B,0)),"No match"))</f>
        <v>No Destination</v>
      </c>
      <c r="ABM2" s="1" t="str">
        <f>IF(COUNTIFS(AllVarName!$B:$B,AllVar!ABM1)&gt;1,INDEX(MultipleLkup!$D:$D,MATCH(AllVar!ABM1,MultipleLkup!$B:$B,0)),IFERROR(INDEX(AllVarName!$C:$C,MATCH(AllVar!ABM1,AllVarName!$B:$B,0)),"No match"))</f>
        <v>Single site or one of multiple sites within organisation</v>
      </c>
      <c r="ABN2" s="1" t="str">
        <f>IF(COUNTIFS(AllVarName!$B:$B,AllVar!ABN1)&gt;1,INDEX(MultipleLkup!$D:$D,MATCH(AllVar!ABN1,MultipleLkup!$B:$B,0)),IFERROR(INDEX(AllVarName!$C:$C,MATCH(AllVar!ABN1,AllVarName!$B:$B,0)),"No match"))</f>
        <v>Establishment type</v>
      </c>
      <c r="ABO2" s="1" t="str">
        <f>IF(COUNTIFS(AllVarName!$B:$B,AllVar!ABO1)&gt;1,INDEX(MultipleLkup!$D:$D,MATCH(AllVar!ABO1,MultipleLkup!$B:$B,0)),IFERROR(INDEX(AllVarName!$C:$C,MATCH(AllVar!ABO1,AllVarName!$B:$B,0)),"No match"))</f>
        <v>Number of establishments in population</v>
      </c>
      <c r="ABP2" s="1" t="str">
        <f>IF(COUNTIFS(AllVarName!$B:$B,AllVar!ABP1)&gt;1,INDEX(MultipleLkup!$D:$D,MATCH(AllVar!ABP1,MultipleLkup!$B:$B,0)),IFERROR(INDEX(AllVarName!$C:$C,MATCH(AllVar!ABP1,AllVarName!$B:$B,0)),"No match"))</f>
        <v>Unweighted base of establishments with vacancies</v>
      </c>
      <c r="ABQ2" s="1" t="str">
        <f>IF(COUNTIFS(AllVarName!$B:$B,AllVar!ABQ1)&gt;1,INDEX(MultipleLkup!$D:$D,MATCH(AllVar!ABQ1,MultipleLkup!$B:$B,0)),IFERROR(INDEX(AllVarName!$C:$C,MATCH(AllVar!ABQ1,AllVarName!$B:$B,0)),"No match"))</f>
        <v>Number of establishments with at least one vacancy</v>
      </c>
      <c r="ABR2" s="1" t="str">
        <f>IF(COUNTIFS(AllVarName!$B:$B,AllVar!ABR1)&gt;1,INDEX(MultipleLkup!$D:$D,MATCH(AllVar!ABR1,MultipleLkup!$B:$B,0)),IFERROR(INDEX(AllVarName!$C:$C,MATCH(AllVar!ABR1,AllVarName!$B:$B,0)),"No match"))</f>
        <v>Number of establishments with at least one hard-to-fill vacancy</v>
      </c>
      <c r="ABS2" s="1" t="str">
        <f>IF(COUNTIFS(AllVarName!$B:$B,AllVar!ABS1)&gt;1,INDEX(MultipleLkup!$D:$D,MATCH(AllVar!ABS1,MultipleLkup!$B:$B,0)),IFERROR(INDEX(AllVarName!$C:$C,MATCH(AllVar!ABS1,AllVarName!$B:$B,0)),"No match"))</f>
        <v>Number of establishments with at least one skill-shortage vacancy</v>
      </c>
      <c r="ABT2" s="1" t="str">
        <f>IF(COUNTIFS(AllVarName!$B:$B,AllVar!ABT1)&gt;1,INDEX(MultipleLkup!$D:$D,MATCH(AllVar!ABT1,MultipleLkup!$B:$B,0)),IFERROR(INDEX(AllVarName!$C:$C,MATCH(AllVar!ABT1,AllVarName!$B:$B,0)),"No match"))</f>
        <v>Number of establishments with at least one skill gap (i.e. 1+ employee not fully proficient)</v>
      </c>
      <c r="ABU2" s="1" t="str">
        <f>IF(COUNTIFS(AllVarName!$B:$B,AllVar!ABU1)&gt;1,INDEX(MultipleLkup!$D:$D,MATCH(AllVar!ABU1,MultipleLkup!$B:$B,0)),IFERROR(INDEX(AllVarName!$C:$C,MATCH(AllVar!ABU1,AllVarName!$B:$B,0)),"No match"))</f>
        <v>Number of establishments that arranged or paid for any training in the past 12 months</v>
      </c>
      <c r="ABV2" s="1" t="str">
        <f>IF(COUNTIFS(AllVarName!$B:$B,AllVar!ABV1)&gt;1,INDEX(MultipleLkup!$D:$D,MATCH(AllVar!ABV1,MultipleLkup!$B:$B,0)),IFERROR(INDEX(AllVarName!$C:$C,MATCH(AllVar!ABV1,AllVarName!$B:$B,0)),"No match"))</f>
        <v>Number of vacancies</v>
      </c>
      <c r="ABW2" s="1" t="str">
        <f>IF(COUNTIFS(AllVarName!$B:$B,AllVar!ABW1)&gt;1,INDEX(MultipleLkup!$D:$D,MATCH(AllVar!ABW1,MultipleLkup!$B:$B,0)),IFERROR(INDEX(AllVarName!$C:$C,MATCH(AllVar!ABW1,AllVarName!$B:$B,0)),"No match"))</f>
        <v>Number of hard-to-fill vacancies</v>
      </c>
      <c r="ABX2" s="1" t="str">
        <f>IF(COUNTIFS(AllVarName!$B:$B,AllVar!ABX1)&gt;1,INDEX(MultipleLkup!$D:$D,MATCH(AllVar!ABX1,MultipleLkup!$B:$B,0)),IFERROR(INDEX(AllVarName!$C:$C,MATCH(AllVar!ABX1,AllVarName!$B:$B,0)),"No match"))</f>
        <v>Number of skill-shortage vacancies</v>
      </c>
      <c r="ABY2" s="1" t="str">
        <f>IF(COUNTIFS(AllVarName!$B:$B,AllVar!ABY1)&gt;1,INDEX(MultipleLkup!$D:$D,MATCH(AllVar!ABY1,MultipleLkup!$B:$B,0)),IFERROR(INDEX(AllVarName!$C:$C,MATCH(AllVar!ABY1,AllVarName!$B:$B,0)),"No match"))</f>
        <v>Number of skill gaps (employees not fully proficient)</v>
      </c>
      <c r="ABZ2" s="1" t="str">
        <f>IF(COUNTIFS(AllVarName!$B:$B,AllVar!ABZ1)&gt;1,INDEX(MultipleLkup!$D:$D,MATCH(AllVar!ABZ1,MultipleLkup!$B:$B,0)),IFERROR(INDEX(AllVarName!$C:$C,MATCH(AllVar!ABZ1,AllVarName!$B:$B,0)),"No match"))</f>
        <v>Number of employees trained in the past 12 months</v>
      </c>
      <c r="ACA2" s="1" t="str">
        <f>IF(COUNTIFS(AllVarName!$B:$B,AllVar!ACA1)&gt;1,INDEX(MultipleLkup!$D:$D,MATCH(AllVar!ACA1,MultipleLkup!$B:$B,0)),IFERROR(INDEX(AllVarName!$C:$C,MATCH(AllVar!ACA1,AllVarName!$B:$B,0)),"No match"))</f>
        <v>Total number of training days for employees</v>
      </c>
      <c r="ACB2" s="1" t="str">
        <f>IF(COUNTIFS(AllVarName!$B:$B,AllVar!ACB1)&gt;1,INDEX(MultipleLkup!$D:$D,MATCH(AllVar!ACB1,MultipleLkup!$B:$B,0)),IFERROR(INDEX(AllVarName!$C:$C,MATCH(AllVar!ACB1,AllVarName!$B:$B,0)),"No match"))</f>
        <v>Percentage of establishments with at least one vacancy</v>
      </c>
      <c r="ACC2" s="1" t="str">
        <f>IF(COUNTIFS(AllVarName!$B:$B,AllVar!ACC1)&gt;1,INDEX(MultipleLkup!$D:$D,MATCH(AllVar!ACC1,MultipleLkup!$B:$B,0)),IFERROR(INDEX(AllVarName!$C:$C,MATCH(AllVar!ACC1,AllVarName!$B:$B,0)),"No match"))</f>
        <v>Percentage of establishments with at least one hard-to-fill vacancy</v>
      </c>
      <c r="ACD2" s="1" t="str">
        <f>IF(COUNTIFS(AllVarName!$B:$B,AllVar!ACD1)&gt;1,INDEX(MultipleLkup!$D:$D,MATCH(AllVar!ACD1,MultipleLkup!$B:$B,0)),IFERROR(INDEX(AllVarName!$C:$C,MATCH(AllVar!ACD1,AllVarName!$B:$B,0)),"No match"))</f>
        <v>Percentage of establishments with at least one skill-shortage vacancy</v>
      </c>
      <c r="ACE2" s="1" t="str">
        <f>IF(COUNTIFS(AllVarName!$B:$B,AllVar!ACE1)&gt;1,INDEX(MultipleLkup!$D:$D,MATCH(AllVar!ACE1,MultipleLkup!$B:$B,0)),IFERROR(INDEX(AllVarName!$C:$C,MATCH(AllVar!ACE1,AllVarName!$B:$B,0)),"No match"))</f>
        <v>Percentage of establishments with at least one  skill gap (i.e. 1+ employee not fully proficient)</v>
      </c>
      <c r="ACF2" s="1" t="str">
        <f>IF(COUNTIFS(AllVarName!$B:$B,AllVar!ACF1)&gt;1,INDEX(MultipleLkup!$D:$D,MATCH(AllVar!ACF1,MultipleLkup!$B:$B,0)),IFERROR(INDEX(AllVarName!$C:$C,MATCH(AllVar!ACF1,AllVarName!$B:$B,0)),"No match"))</f>
        <v>Percentage of establishments that arranged or paid for any training in the past 12 months</v>
      </c>
      <c r="ACG2" s="1" t="str">
        <f>IF(COUNTIFS(AllVarName!$B:$B,AllVar!ACG1)&gt;1,INDEX(MultipleLkup!$D:$D,MATCH(AllVar!ACG1,MultipleLkup!$B:$B,0)),IFERROR(INDEX(AllVarName!$C:$C,MATCH(AllVar!ACG1,AllVarName!$B:$B,0)),"No match"))</f>
        <v>Vacancy density (vacancies per 100 employees)</v>
      </c>
      <c r="ACH2" s="1" t="str">
        <f>IF(COUNTIFS(AllVarName!$B:$B,AllVar!ACH1)&gt;1,INDEX(MultipleLkup!$D:$D,MATCH(AllVar!ACH1,MultipleLkup!$B:$B,0)),IFERROR(INDEX(AllVarName!$C:$C,MATCH(AllVar!ACH1,AllVarName!$B:$B,0)),"No match"))</f>
        <v>Hard-to-fill vacancy density (HtF vacancies as a share of vacancies)</v>
      </c>
      <c r="ACI2" s="1" t="str">
        <f>IF(COUNTIFS(AllVarName!$B:$B,AllVar!ACI1)&gt;1,INDEX(MultipleLkup!$D:$D,MATCH(AllVar!ACI1,MultipleLkup!$B:$B,0)),IFERROR(INDEX(AllVarName!$C:$C,MATCH(AllVar!ACI1,AllVarName!$B:$B,0)),"No match"))</f>
        <v>Skill-shortage vacancy density (SSVs as a share of vacancies)</v>
      </c>
      <c r="ACJ2" s="1" t="str">
        <f>IF(COUNTIFS(AllVarName!$B:$B,AllVar!ACJ1)&gt;1,INDEX(MultipleLkup!$D:$D,MATCH(AllVar!ACJ1,MultipleLkup!$B:$B,0)),IFERROR(INDEX(AllVarName!$C:$C,MATCH(AllVar!ACJ1,AllVarName!$B:$B,0)),"No match"))</f>
        <v>Skill gap density (the proportion of employees judged not fully proficient)</v>
      </c>
      <c r="ACK2" s="1" t="str">
        <f>IF(COUNTIFS(AllVarName!$B:$B,AllVar!ACK1)&gt;1,INDEX(MultipleLkup!$D:$D,MATCH(AllVar!ACK1,MultipleLkup!$B:$B,0)),IFERROR(INDEX(AllVarName!$C:$C,MATCH(AllVar!ACK1,AllVarName!$B:$B,0)),"No match"))</f>
        <v>Proportion of employees that received any training in the past 12 months</v>
      </c>
      <c r="ACL2" s="1" t="str">
        <f>IF(COUNTIFS(AllVarName!$B:$B,AllVar!ACL1)&gt;1,INDEX(MultipleLkup!$D:$D,MATCH(AllVar!ACL1,MultipleLkup!$B:$B,0)),IFERROR(INDEX(AllVarName!$C:$C,MATCH(AllVar!ACL1,AllVarName!$B:$B,0)),"No match"))</f>
        <v>Average number of days training per employee</v>
      </c>
      <c r="ACM2" s="1" t="str">
        <f>IF(COUNTIFS(AllVarName!$B:$B,AllVar!ACM1)&gt;1,INDEX(MultipleLkup!$D:$D,MATCH(AllVar!ACM1,MultipleLkup!$B:$B,0)),IFERROR(INDEX(AllVarName!$C:$C,MATCH(AllVar!ACM1,AllVarName!$B:$B,0)),"No match"))</f>
        <v>Average number of days training per trainee</v>
      </c>
      <c r="ACN2" s="1" t="str">
        <f>IF(COUNTIFS(AllVarName!$B:$B,AllVar!ACN1)&gt;1,INDEX(MultipleLkup!$D:$D,MATCH(AllVar!ACN1,MultipleLkup!$B:$B,0)),IFERROR(INDEX(AllVarName!$C:$C,MATCH(AllVar!ACN1,AllVarName!$B:$B,0)),"No match"))</f>
        <v>Sample size in the Investment in Training follow-up survey</v>
      </c>
      <c r="ACO2" s="1" t="str">
        <f>IF(COUNTIFS(AllVarName!$B:$B,AllVar!ACO1)&gt;1,INDEX(MultipleLkup!$D:$D,MATCH(AllVar!ACO1,MultipleLkup!$B:$B,0)),IFERROR(INDEX(AllVarName!$C:$C,MATCH(AllVar!ACO1,AllVarName!$B:$B,0)),"No match"))</f>
        <v>Investment in training per employee</v>
      </c>
      <c r="ACP2" s="1" t="str">
        <f>IF(COUNTIFS(AllVarName!$B:$B,AllVar!ACP1)&gt;1,INDEX(MultipleLkup!$D:$D,MATCH(AllVar!ACP1,MultipleLkup!$B:$B,0)),IFERROR(INDEX(AllVarName!$C:$C,MATCH(AllVar!ACP1,AllVarName!$B:$B,0)),"No match"))</f>
        <v>Investment in training per trainee</v>
      </c>
      <c r="ACQ2" s="1" t="str">
        <f>IF(COUNTIFS(AllVarName!$B:$B,AllVar!ACQ1)&gt;1,INDEX(MultipleLkup!$D:$D,MATCH(AllVar!ACQ1,MultipleLkup!$B:$B,0)),IFERROR(INDEX(AllVarName!$C:$C,MATCH(AllVar!ACQ1,AllVarName!$B:$B,0)),"No match"))</f>
        <v>Total investment through off-the-job training</v>
      </c>
      <c r="ACR2" s="1" t="str">
        <f>IF(COUNTIFS(AllVarName!$B:$B,AllVar!ACR1)&gt;1,INDEX(MultipleLkup!$D:$D,MATCH(AllVar!ACR1,MultipleLkup!$B:$B,0)),IFERROR(INDEX(AllVarName!$C:$C,MATCH(AllVar!ACR1,AllVarName!$B:$B,0)),"No match"))</f>
        <v>Total investment through on-the-job training</v>
      </c>
      <c r="ACS2" s="1" t="str">
        <f>IF(COUNTIFS(AllVarName!$B:$B,AllVar!ACS1)&gt;1,INDEX(MultipleLkup!$D:$D,MATCH(AllVar!ACS1,MultipleLkup!$B:$B,0)),IFERROR(INDEX(AllVarName!$C:$C,MATCH(AllVar!ACS1,AllVarName!$B:$B,0)),"No match"))</f>
        <v>Total investment through all training</v>
      </c>
      <c r="ACT2" s="1" t="str">
        <f>IF(COUNTIFS(AllVarName!$B:$B,AllVar!ACT1)&gt;1,INDEX(MultipleLkup!$D:$D,MATCH(AllVar!ACT1,MultipleLkup!$B:$B,0)),IFERROR(INDEX(AllVarName!$C:$C,MATCH(AllVar!ACT1,AllVarName!$B:$B,0)),"No match"))</f>
        <v>4 digit Standard Occupational Classification code and name  (SOC2010)</v>
      </c>
      <c r="ACU2" s="1" t="str">
        <f>IF(COUNTIFS(AllVarName!$B:$B,AllVar!ACU1)&gt;1,INDEX(MultipleLkup!$D:$D,MATCH(AllVar!ACU1,MultipleLkup!$B:$B,0)),IFERROR(INDEX(AllVarName!$C:$C,MATCH(AllVar!ACU1,AllVarName!$B:$B,0)),"No match"))</f>
        <v>3 digit Standard Occupational Classification code and name  (SOC2010)</v>
      </c>
      <c r="ACV2" s="1" t="str">
        <f>IF(COUNTIFS(AllVarName!$B:$B,AllVar!ACV1)&gt;1,INDEX(MultipleLkup!$D:$D,MATCH(AllVar!ACV1,MultipleLkup!$B:$B,0)),IFERROR(INDEX(AllVarName!$C:$C,MATCH(AllVar!ACV1,AllVarName!$B:$B,0)),"No match"))</f>
        <v>2 digit Standard Occupational Classification code and name (SOC2010)</v>
      </c>
      <c r="ACW2" s="1" t="str">
        <f>IF(COUNTIFS(AllVarName!$B:$B,AllVar!ACW1)&gt;1,INDEX(MultipleLkup!$D:$D,MATCH(AllVar!ACW1,MultipleLkup!$B:$B,0)),IFERROR(INDEX(AllVarName!$C:$C,MATCH(AllVar!ACW1,AllVarName!$B:$B,0)),"No match"))</f>
        <v>1 digit Standard Occupational Classification code and name (SOC2010)</v>
      </c>
      <c r="ACX2" s="1" t="str">
        <f>IF(COUNTIFS(AllVarName!$B:$B,AllVar!ACX1)&gt;1,INDEX(MultipleLkup!$D:$D,MATCH(AllVar!ACX1,MultipleLkup!$B:$B,0)),IFERROR(INDEX(AllVarName!$C:$C,MATCH(AllVar!ACX1,AllVarName!$B:$B,0)),"No match"))</f>
        <v>Number of establishments with at least one vacancy at the 4 digit Standard Occupational Classification level</v>
      </c>
      <c r="ACY2" s="1" t="str">
        <f>IF(COUNTIFS(AllVarName!$B:$B,AllVar!ACY1)&gt;1,INDEX(MultipleLkup!$D:$D,MATCH(AllVar!ACY1,MultipleLkup!$B:$B,0)),IFERROR(INDEX(AllVarName!$C:$C,MATCH(AllVar!ACY1,AllVarName!$B:$B,0)),"No match"))</f>
        <v>Phase of education (UKEdTraining)</v>
      </c>
      <c r="ACZ2" s="1" t="str">
        <f>IF(COUNTIFS(AllVarName!$B:$B,AllVar!ACZ1)&gt;1,INDEX(MultipleLkup!$D:$D,MATCH(AllVar!ACZ1,MultipleLkup!$B:$B,0)),IFERROR(INDEX(AllVarName!$C:$C,MATCH(AllVar!ACZ1,AllVarName!$B:$B,0)),"No match"))</f>
        <v>Number of schools</v>
      </c>
      <c r="ADA2" s="1" t="str">
        <f>IF(COUNTIFS(AllVarName!$B:$B,AllVar!ADA1)&gt;1,INDEX(MultipleLkup!$D:$D,MATCH(AllVar!ADA1,MultipleLkup!$B:$B,0)),IFERROR(INDEX(AllVarName!$C:$C,MATCH(AllVar!ADA1,AllVarName!$B:$B,0)),"No match"))</f>
        <v>Full-time equivalent number of teachers</v>
      </c>
      <c r="ADB2" s="1" t="str">
        <f>IF(COUNTIFS(AllVarName!$B:$B,AllVar!ADB1)&gt;1,INDEX(MultipleLkup!$D:$D,MATCH(AllVar!ADB1,MultipleLkup!$B:$B,0)),IFERROR(INDEX(AllVarName!$C:$C,MATCH(AllVar!ADB1,AllVarName!$B:$B,0)),"No match"))</f>
        <v>Pupil-teacher ratio</v>
      </c>
      <c r="ADC2" s="1" t="str">
        <f>IF(COUNTIFS(AllVarName!$B:$B,AllVar!ADC1)&gt;1,INDEX(MultipleLkup!$D:$D,MATCH(AllVar!ADC1,MultipleLkup!$B:$B,0)),IFERROR(INDEX(AllVarName!$C:$C,MATCH(AllVar!ADC1,AllVarName!$B:$B,0)),"No match"))</f>
        <v>Number of FE students</v>
      </c>
      <c r="ADD2" s="1" t="str">
        <f>IF(COUNTIFS(AllVarName!$B:$B,AllVar!ADD1)&gt;1,INDEX(MultipleLkup!$D:$D,MATCH(AllVar!ADD1,MultipleLkup!$B:$B,0)),IFERROR(INDEX(AllVarName!$C:$C,MATCH(AllVar!ADD1,AllVarName!$B:$B,0)),"No match"))</f>
        <v>Number of institutions (UKEdTraining)</v>
      </c>
      <c r="ADE2" s="1" t="str">
        <f>IF(COUNTIFS(AllVarName!$B:$B,AllVar!ADE1)&gt;1,INDEX(MultipleLkup!$D:$D,MATCH(AllVar!ADE1,MultipleLkup!$B:$B,0)),IFERROR(INDEX(AllVarName!$C:$C,MATCH(AllVar!ADE1,AllVarName!$B:$B,0)),"No match"))</f>
        <v>Total unemployed</v>
      </c>
      <c r="ADF2" s="1" t="str">
        <f>IF(COUNTIFS(AllVarName!$B:$B,AllVar!ADF1)&gt;1,INDEX(MultipleLkup!$D:$D,MATCH(AllVar!ADF1,MultipleLkup!$B:$B,0)),IFERROR(INDEX(AllVarName!$C:$C,MATCH(AllVar!ADF1,AllVarName!$B:$B,0)),"No match"))</f>
        <v>Total economically inactive</v>
      </c>
      <c r="ADG2" s="1" t="str">
        <f>IF(COUNTIFS(AllVarName!$B:$B,AllVar!ADG1)&gt;1,INDEX(MultipleLkup!$D:$D,MATCH(AllVar!ADG1,MultipleLkup!$B:$B,0)),IFERROR(INDEX(AllVarName!$C:$C,MATCH(AllVar!ADG1,AllVarName!$B:$B,0)),"No match"))</f>
        <v>Total people in relevant population group</v>
      </c>
      <c r="ADH2" s="1" t="str">
        <f>IF(COUNTIFS(AllVarName!$B:$B,AllVar!ADH1)&gt;1,INDEX(MultipleLkup!$D:$D,MATCH(AllVar!ADH1,MultipleLkup!$B:$B,0)),IFERROR(INDEX(AllVarName!$C:$C,MATCH(AllVar!ADH1,AllVarName!$B:$B,0)),"No match"))</f>
        <v>People who were not in employment, education or training as a percentage of people in relevant population group</v>
      </c>
      <c r="ADI2" s="1" t="str">
        <f>IF(COUNTIFS(AllVarName!$B:$B,AllVar!ADI1)&gt;1,INDEX(MultipleLkup!$D:$D,MATCH(AllVar!ADI1,MultipleLkup!$B:$B,0)),IFERROR(INDEX(AllVarName!$C:$C,MATCH(AllVar!ADI1,AllVarName!$B:$B,0)),"No match"))</f>
        <v>Total 19-64 year olds in the population (thousands)</v>
      </c>
      <c r="ADJ2" s="1" t="str">
        <f>IF(COUNTIFS(AllVarName!$B:$B,AllVar!ADJ1)&gt;1,INDEX(MultipleLkup!$D:$D,MATCH(AllVar!ADJ1,MultipleLkup!$B:$B,0)),IFERROR(INDEX(AllVarName!$C:$C,MATCH(AllVar!ADJ1,AllVarName!$B:$B,0)),"No match"))</f>
        <v>Percentage of population with their highest qualification as national qualification framework level 4 or above</v>
      </c>
      <c r="ADK2" s="1" t="str">
        <f>IF(COUNTIFS(AllVarName!$B:$B,AllVar!ADK1)&gt;1,INDEX(MultipleLkup!$D:$D,MATCH(AllVar!ADK1,MultipleLkup!$B:$B,0)),IFERROR(INDEX(AllVarName!$C:$C,MATCH(AllVar!ADK1,AllVarName!$B:$B,0)),"No match"))</f>
        <v>Percentage of population with their highest qualification as national qualification framework level 3 or above</v>
      </c>
      <c r="ADL2" s="1" t="str">
        <f>IF(COUNTIFS(AllVarName!$B:$B,AllVar!ADL1)&gt;1,INDEX(MultipleLkup!$D:$D,MATCH(AllVar!ADL1,MultipleLkup!$B:$B,0)),IFERROR(INDEX(AllVarName!$C:$C,MATCH(AllVar!ADL1,AllVarName!$B:$B,0)),"No match"))</f>
        <v>Percentage of population with their highest qualification as national qualification framework level 2 or above</v>
      </c>
      <c r="ADM2" s="1" t="str">
        <f>IF(COUNTIFS(AllVarName!$B:$B,AllVar!ADM1)&gt;1,INDEX(MultipleLkup!$D:$D,MATCH(AllVar!ADM1,MultipleLkup!$B:$B,0)),IFERROR(INDEX(AllVarName!$C:$C,MATCH(AllVar!ADM1,AllVarName!$B:$B,0)),"No match"))</f>
        <v>Percentage of population with their highest qualification as Scottish Credit and Qualifications Framework level 7 or above</v>
      </c>
      <c r="ADN2" s="1" t="str">
        <f>IF(COUNTIFS(AllVarName!$B:$B,AllVar!ADN1)&gt;1,INDEX(MultipleLkup!$D:$D,MATCH(AllVar!ADN1,MultipleLkup!$B:$B,0)),IFERROR(INDEX(AllVarName!$C:$C,MATCH(AllVar!ADN1,AllVarName!$B:$B,0)),"No match"))</f>
        <v>Percentage of population with their highest qualification as Scottish Credit and Qualifications Framework level 6 or above</v>
      </c>
      <c r="ADO2" s="1" t="str">
        <f>IF(COUNTIFS(AllVarName!$B:$B,AllVar!ADO1)&gt;1,INDEX(MultipleLkup!$D:$D,MATCH(AllVar!ADO1,MultipleLkup!$B:$B,0)),IFERROR(INDEX(AllVarName!$C:$C,MATCH(AllVar!ADO1,AllVarName!$B:$B,0)),"No match"))</f>
        <v>Percentage of population with their highest qualification as Scottish Credit and Qualifications Framework level 5 or above</v>
      </c>
      <c r="ADP2" s="1" t="str">
        <f>IF(COUNTIFS(AllVarName!$B:$B,AllVar!ADP1)&gt;1,INDEX(MultipleLkup!$D:$D,MATCH(AllVar!ADP1,MultipleLkup!$B:$B,0)),IFERROR(INDEX(AllVarName!$C:$C,MATCH(AllVar!ADP1,AllVarName!$B:$B,0)),"No match"))</f>
        <v>Education function</v>
      </c>
      <c r="ADQ2" s="1" t="str">
        <f>IF(COUNTIFS(AllVarName!$B:$B,AllVar!ADQ1)&gt;1,INDEX(MultipleLkup!$D:$D,MATCH(AllVar!ADQ1,MultipleLkup!$B:$B,0)),IFERROR(INDEX(AllVarName!$C:$C,MATCH(AllVar!ADQ1,AllVarName!$B:$B,0)),"No match"))</f>
        <v>Expenditure type</v>
      </c>
      <c r="ADR2" s="1" t="str">
        <f>IF(COUNTIFS(AllVarName!$B:$B,AllVar!ADR1)&gt;1,INDEX(MultipleLkup!$D:$D,MATCH(AllVar!ADR1,MultipleLkup!$B:$B,0)),IFERROR(INDEX(AllVarName!$C:$C,MATCH(AllVar!ADR1,AllVarName!$B:$B,0)),"No match"))</f>
        <v>Expenditure level</v>
      </c>
      <c r="ADS2" s="1" t="str">
        <f>IF(COUNTIFS(AllVarName!$B:$B,AllVar!ADS1)&gt;1,INDEX(MultipleLkup!$D:$D,MATCH(AllVar!ADS1,MultipleLkup!$B:$B,0)),IFERROR(INDEX(AllVarName!$C:$C,MATCH(AllVar!ADS1,AllVarName!$B:$B,0)),"No match"))</f>
        <v>Total expenditure (millions)</v>
      </c>
      <c r="ADT2" s="1" t="str">
        <f>IF(COUNTIFS(AllVarName!$B:$B,AllVar!ADT1)&gt;1,INDEX(MultipleLkup!$D:$D,MATCH(AllVar!ADT1,MultipleLkup!$B:$B,0)),IFERROR(INDEX(AllVarName!$C:$C,MATCH(AllVar!ADT1,AllVarName!$B:$B,0)),"No match"))</f>
        <v>Total expenditure in real terms (millions)</v>
      </c>
      <c r="ADU2" s="1" t="str">
        <f>IF(COUNTIFS(AllVarName!$B:$B,AllVar!ADU1)&gt;1,INDEX(MultipleLkup!$D:$D,MATCH(AllVar!ADU1,MultipleLkup!$B:$B,0)),IFERROR(INDEX(AllVarName!$C:$C,MATCH(AllVar!ADU1,AllVarName!$B:$B,0)),"No match"))</f>
        <v>Total expenditure as a percentage of GDP</v>
      </c>
    </row>
    <row r="3" spans="1:801" ht="112" customHeight="1" x14ac:dyDescent="0.35">
      <c r="A3" s="1" t="s">
        <v>2712</v>
      </c>
      <c r="B3" s="1" t="s">
        <v>136</v>
      </c>
      <c r="C3" s="1" t="s">
        <v>1800</v>
      </c>
      <c r="D3" s="1" t="s">
        <v>137</v>
      </c>
      <c r="E3" s="1" t="str">
        <f>IF(OR(E2="No match",E2="multiple"),E1,E2)</f>
        <v>time period</v>
      </c>
      <c r="F3" s="1" t="str">
        <f t="shared" ref="F3:BQ3" si="0">IF(OR(F2="No match",F2="multiple"),F1,F2)</f>
        <v>time identifier</v>
      </c>
      <c r="G3" s="1" t="str">
        <f t="shared" si="0"/>
        <v>geographic level</v>
      </c>
      <c r="H3" s="1" t="str">
        <f t="shared" si="0"/>
        <v>Country code</v>
      </c>
      <c r="I3" s="1" t="str">
        <f t="shared" si="0"/>
        <v>Country Name</v>
      </c>
      <c r="J3" s="1" t="str">
        <f t="shared" si="0"/>
        <v>region code</v>
      </c>
      <c r="K3" s="1" t="str">
        <f t="shared" si="0"/>
        <v>region name</v>
      </c>
      <c r="L3" s="1" t="str">
        <f t="shared" si="0"/>
        <v>new la code</v>
      </c>
      <c r="M3" s="1" t="str">
        <f t="shared" si="0"/>
        <v>old la code</v>
      </c>
      <c r="N3" s="1" t="str">
        <f t="shared" si="0"/>
        <v>la name</v>
      </c>
      <c r="O3" s="1" t="str">
        <f t="shared" si="0"/>
        <v>lad code</v>
      </c>
      <c r="P3" s="1" t="str">
        <f t="shared" si="0"/>
        <v>lad name</v>
      </c>
      <c r="Q3" s="1" t="str">
        <f t="shared" si="0"/>
        <v>parliamentary constituency code</v>
      </c>
      <c r="R3" s="1" t="str">
        <f t="shared" si="0"/>
        <v>parliamentary constituency name</v>
      </c>
      <c r="S3" s="1" t="str">
        <f t="shared" si="0"/>
        <v>Graduates' higher education institution region</v>
      </c>
      <c r="T3" s="1" t="str">
        <f t="shared" si="0"/>
        <v>Region</v>
      </c>
      <c r="U3" s="1" t="str">
        <f t="shared" si="0"/>
        <v>Region prior to Higher Education study</v>
      </c>
      <c r="V3" s="1" t="str">
        <f t="shared" si="0"/>
        <v>Term time residence</v>
      </c>
      <c r="W3" s="1" t="str">
        <f t="shared" si="0"/>
        <v>opportunity area code</v>
      </c>
      <c r="X3" s="1" t="str">
        <f t="shared" si="0"/>
        <v>opportunity area name</v>
      </c>
      <c r="Y3" s="1" t="str">
        <f t="shared" si="0"/>
        <v>Local Enterprise Partnership code</v>
      </c>
      <c r="Z3" s="1" t="str">
        <f t="shared" si="0"/>
        <v>Local Enterprise Partnership name</v>
      </c>
      <c r="AA3" s="1" t="str">
        <f t="shared" si="0"/>
        <v>English devolved area code</v>
      </c>
      <c r="AB3" s="1" t="str">
        <f t="shared" si="0"/>
        <v>English devolved area name</v>
      </c>
      <c r="AC3" s="1" t="str">
        <f t="shared" si="0"/>
        <v>Framework standard</v>
      </c>
      <c r="AD3" s="1" t="str">
        <f t="shared" si="0"/>
        <v>Standard Framework name code</v>
      </c>
      <c r="AE3" s="1" t="str">
        <f t="shared" si="0"/>
        <v>Characteristic</v>
      </c>
      <c r="AF3" s="1" t="str">
        <f t="shared" si="0"/>
        <v>Characteristics Type</v>
      </c>
      <c r="AG3" s="1" t="str">
        <f t="shared" si="0"/>
        <v>Characteristic group</v>
      </c>
      <c r="AH3" s="1" t="str">
        <f t="shared" si="0"/>
        <v>Characteristic detail</v>
      </c>
      <c r="AI3" s="1" t="str">
        <f t="shared" si="0"/>
        <v>Learner characteristic</v>
      </c>
      <c r="AJ3" s="1" t="str">
        <f t="shared" si="0"/>
        <v>Academic year</v>
      </c>
      <c r="AK3" s="1" t="str">
        <f t="shared" si="0"/>
        <v>Level</v>
      </c>
      <c r="AL3" s="1" t="str">
        <f t="shared" si="0"/>
        <v>Level 3</v>
      </c>
      <c r="AM3" s="1" t="str">
        <f t="shared" si="0"/>
        <v>Level 4+</v>
      </c>
      <c r="AN3" s="1" t="str">
        <f t="shared" si="0"/>
        <v>Group</v>
      </c>
      <c r="AO3" s="1" t="str">
        <f t="shared" si="0"/>
        <v>Demographic</v>
      </c>
      <c r="AP3" s="1" t="str">
        <f t="shared" si="0"/>
        <v>Detailed level</v>
      </c>
      <c r="AQ3" s="1" t="str">
        <f t="shared" si="0"/>
        <v>Quarter (Q4 used in analysis)</v>
      </c>
      <c r="AR3" s="1" t="str">
        <f t="shared" si="0"/>
        <v>Age (under 19/19+)</v>
      </c>
      <c r="AS3" s="1" t="str">
        <f t="shared" si="0"/>
        <v>age</v>
      </c>
      <c r="AT3" s="1" t="str">
        <f t="shared" si="0"/>
        <v>Age group</v>
      </c>
      <c r="AU3" s="1" t="str">
        <f t="shared" si="0"/>
        <v>Age Summary</v>
      </c>
      <c r="AV3" s="1" t="str">
        <f t="shared" si="0"/>
        <v>Age summary with unknown</v>
      </c>
      <c r="AW3" s="1" t="str">
        <f t="shared" si="0"/>
        <v>Age group (with unknowns)</v>
      </c>
      <c r="AX3" s="1" t="str">
        <f t="shared" si="0"/>
        <v>Age band at start of stud</v>
      </c>
      <c r="AY3" s="1" t="str">
        <f t="shared" si="0"/>
        <v>Sex</v>
      </c>
      <c r="AZ3" s="1" t="str">
        <f t="shared" si="0"/>
        <v>Science, Technology, Engineering and Mathematics</v>
      </c>
      <c r="BA3" s="1" t="str">
        <f t="shared" si="0"/>
        <v>Industry section</v>
      </c>
      <c r="BB3" s="1" t="str">
        <f t="shared" si="0"/>
        <v>Industry</v>
      </c>
      <c r="BC3" s="1" t="str">
        <f t="shared" si="0"/>
        <v>Sector Subject Area</v>
      </c>
      <c r="BD3" s="1" t="str">
        <f t="shared" si="0"/>
        <v>Sector subject area (tier 1)</v>
      </c>
      <c r="BE3" s="1" t="str">
        <f t="shared" si="0"/>
        <v>Sector subject area (tier 2)</v>
      </c>
      <c r="BF3" s="1" t="str">
        <f t="shared" si="0"/>
        <v>Sector subject area (tier 1) description</v>
      </c>
      <c r="BG3" s="1" t="str">
        <f t="shared" si="0"/>
        <v>Sector subject area (tier 2) description</v>
      </c>
      <c r="BH3" s="1" t="str">
        <f t="shared" si="0"/>
        <v>Subject</v>
      </c>
      <c r="BI3" s="1" t="str">
        <f t="shared" si="0"/>
        <v>Subject and level</v>
      </c>
      <c r="BJ3" s="1" t="str">
        <f t="shared" si="0"/>
        <v>Subject name</v>
      </c>
      <c r="BK3" s="1" t="str">
        <f t="shared" si="0"/>
        <v>Learner with Learning Difficulties or Disabilities</v>
      </c>
      <c r="BL3" s="1" t="str">
        <f t="shared" si="0"/>
        <v>Primary learning difficulty/disability</v>
      </c>
      <c r="BM3" s="1" t="str">
        <f t="shared" si="0"/>
        <v>Learning Difficulty Disability</v>
      </c>
      <c r="BN3" s="1" t="str">
        <f t="shared" si="0"/>
        <v>Disability status</v>
      </c>
      <c r="BO3" s="1" t="str">
        <f t="shared" si="0"/>
        <v>learner home deprivation</v>
      </c>
      <c r="BP3" s="1" t="str">
        <f t="shared" si="0"/>
        <v>Benefit learner</v>
      </c>
      <c r="BQ3" s="1" t="str">
        <f t="shared" si="0"/>
        <v>Ethnicity</v>
      </c>
      <c r="BR3" s="1" t="str">
        <f t="shared" ref="BR3:EA3" si="1">IF(OR(BR2="No match",BR2="multiple"),BR1,BR2)</f>
        <v>Ethnicity detailed</v>
      </c>
      <c r="BS3" s="1" t="str">
        <f t="shared" si="1"/>
        <v>Minority Ethnic</v>
      </c>
      <c r="BT3" s="1" t="str">
        <f t="shared" si="1"/>
        <v>Ethnicity Major</v>
      </c>
      <c r="BU3" s="1" t="str">
        <f t="shared" si="1"/>
        <v>Ethnicity Minor</v>
      </c>
      <c r="BV3" s="1" t="str">
        <f t="shared" si="1"/>
        <v>Ethnicity broad (with Chinese)</v>
      </c>
      <c r="BW3" s="1" t="str">
        <f t="shared" si="1"/>
        <v>Ethnic Minority</v>
      </c>
      <c r="BX3" s="1" t="str">
        <f t="shared" si="1"/>
        <v>Free school meals status</v>
      </c>
      <c r="BY3" s="1" t="str">
        <f t="shared" si="1"/>
        <v>Higher education Progression Rate (free school meals)</v>
      </c>
      <c r="BZ3" s="1" t="str">
        <f t="shared" si="1"/>
        <v>Higher education Progression Rate (Non-Free School Meals)</v>
      </c>
      <c r="CA3" s="1" t="str">
        <f t="shared" si="1"/>
        <v>Leavers</v>
      </c>
      <c r="CB3" s="1" t="str">
        <f t="shared" si="1"/>
        <v>Completers</v>
      </c>
      <c r="CC3" s="1" t="str">
        <f t="shared" si="1"/>
        <v>Achievers</v>
      </c>
      <c r="CD3" s="1" t="str">
        <f t="shared" si="1"/>
        <v>Retention Rate</v>
      </c>
      <c r="CE3" s="1" t="str">
        <f t="shared" si="1"/>
        <v>Pass Rate</v>
      </c>
      <c r="CF3" s="1" t="str">
        <f t="shared" si="1"/>
        <v>Achievement Rate</v>
      </c>
      <c r="CG3" s="1" t="str">
        <f t="shared" si="1"/>
        <v>Month</v>
      </c>
      <c r="CH3" s="1" t="str">
        <f t="shared" si="1"/>
        <v>Adverts</v>
      </c>
      <c r="CI3" s="1" t="str">
        <f t="shared" si="1"/>
        <v>Vacancies</v>
      </c>
      <c r="CJ3" s="1" t="str">
        <f t="shared" si="1"/>
        <v>Start Academic Year</v>
      </c>
      <c r="CK3" s="1" t="str">
        <f t="shared" si="1"/>
        <v>Start month</v>
      </c>
      <c r="CL3" s="1" t="str">
        <f t="shared" si="1"/>
        <v>Start Age</v>
      </c>
      <c r="CM3" s="1" t="str">
        <f t="shared" si="1"/>
        <v>Tship starts</v>
      </c>
      <c r="CN3" s="1" t="str">
        <f t="shared" si="1"/>
        <v>Traineeship completions</v>
      </c>
      <c r="CO3" s="1" t="str">
        <f t="shared" si="1"/>
        <v>Traineeship completion rate</v>
      </c>
      <c r="CP3" s="1" t="str">
        <f t="shared" si="1"/>
        <v>Apprenticeship starts following t'ship</v>
      </c>
      <c r="CQ3" s="1" t="str">
        <f t="shared" si="1"/>
        <v>Conversion rate into apprenticeship</v>
      </c>
      <c r="CR3" s="1" t="str">
        <f t="shared" si="1"/>
        <v>Payment status</v>
      </c>
      <c r="CS3" s="1" t="str">
        <f t="shared" si="1"/>
        <v>Latest levy status</v>
      </c>
      <c r="CT3" s="1" t="str">
        <f t="shared" si="1"/>
        <v>Transfer flag</v>
      </c>
      <c r="CU3" s="1" t="str">
        <f t="shared" si="1"/>
        <v>Commitments</v>
      </c>
      <c r="CV3" s="1" t="str">
        <f t="shared" si="1"/>
        <v>Starts (used in duration calculations)</v>
      </c>
      <c r="CW3" s="1" t="str">
        <f t="shared" si="1"/>
        <v>Average expected duration (days)</v>
      </c>
      <c r="CX3" s="1" t="str">
        <f t="shared" si="1"/>
        <v>Length of Employment</v>
      </c>
      <c r="CY3" s="1" t="str">
        <f t="shared" si="1"/>
        <v>Planned Length of Stay</v>
      </c>
      <c r="CZ3" s="1" t="str">
        <f t="shared" si="1"/>
        <v>Starts</v>
      </c>
      <c r="DA3" s="1" t="str">
        <f t="shared" si="1"/>
        <v>Percentage starts</v>
      </c>
      <c r="DB3" s="1" t="str">
        <f t="shared" si="1"/>
        <v>Start rate per 10000 population</v>
      </c>
      <c r="DC3" s="1" t="str">
        <f t="shared" si="1"/>
        <v>Starts  Percentage by Age Level and Funding Type</v>
      </c>
      <c r="DD3" s="1" t="str">
        <f t="shared" si="1"/>
        <v>Start Percentage with provider type</v>
      </c>
      <c r="DE3" s="1" t="str">
        <f t="shared" si="1"/>
        <v>Traineeship starts</v>
      </c>
      <c r="DF3" s="1" t="str">
        <f t="shared" si="1"/>
        <v>Achievement</v>
      </c>
      <c r="DG3" s="1" t="str">
        <f t="shared" si="1"/>
        <v>Aim Achievements (Aug to Jul) Percentage</v>
      </c>
      <c r="DH3" s="1" t="str">
        <f t="shared" si="1"/>
        <v>Indicative achievements rate per 100,000 population</v>
      </c>
      <c r="DI3" s="1" t="str">
        <f t="shared" si="1"/>
        <v>Percentage achievements</v>
      </c>
      <c r="DJ3" s="1" t="str">
        <f t="shared" si="1"/>
        <v>Achievement Percentage</v>
      </c>
      <c r="DK3" s="1" t="str">
        <f t="shared" si="1"/>
        <v>Achievements Percentage by Provider type and Level</v>
      </c>
      <c r="DL3" s="1" t="str">
        <f t="shared" si="1"/>
        <v>Achievements Percentage Change</v>
      </c>
      <c r="DM3" s="1" t="str">
        <f t="shared" si="1"/>
        <v>Total aim achievements</v>
      </c>
      <c r="DN3" s="1" t="str">
        <f t="shared" si="1"/>
        <v>Apprenticeships Achievements</v>
      </c>
      <c r="DO3" s="1" t="str">
        <f t="shared" si="1"/>
        <v>Education and Training Achievements</v>
      </c>
      <c r="DP3" s="1" t="str">
        <f t="shared" si="1"/>
        <v>Participation</v>
      </c>
      <c r="DQ3" s="1" t="str">
        <f t="shared" si="1"/>
        <v>Participation type</v>
      </c>
      <c r="DR3" s="1" t="str">
        <f t="shared" si="1"/>
        <v>Number in education and training</v>
      </c>
      <c r="DS3" s="1" t="str">
        <f t="shared" si="1"/>
        <v>Percentage in education and training</v>
      </c>
      <c r="DT3" s="1" t="str">
        <f t="shared" si="1"/>
        <v>Number in education, training and employment</v>
      </c>
      <c r="DU3" s="1" t="str">
        <f t="shared" si="1"/>
        <v>Percentage in education, training and employment</v>
      </c>
      <c r="DV3" s="1" t="str">
        <f t="shared" si="1"/>
        <v>Participation rate per 10000 population</v>
      </c>
      <c r="DW3" s="1" t="str">
        <f t="shared" si="1"/>
        <v>All Participation</v>
      </c>
      <c r="DX3" s="1" t="str">
        <f t="shared" si="1"/>
        <v>Apprenticeships Participation</v>
      </c>
      <c r="DY3" s="1" t="str">
        <f t="shared" si="1"/>
        <v>Education and Training Participation</v>
      </c>
      <c r="DZ3" s="1" t="str">
        <f t="shared" si="1"/>
        <v>All Participation Percentage Change</v>
      </c>
      <c r="EA3" s="1" t="str">
        <f t="shared" si="1"/>
        <v>annual participation percentage change</v>
      </c>
      <c r="EB3" s="1" t="str">
        <f t="shared" ref="EB3:GM3" si="2">IF(OR(EB2="No match",EB2="multiple"),EB1,EB2)</f>
        <v>participation percentage change</v>
      </c>
      <c r="EC3" s="1" t="str">
        <f t="shared" si="2"/>
        <v>Annual change in percent participating</v>
      </c>
      <c r="ED3" s="1" t="str">
        <f t="shared" si="2"/>
        <v>Total aim Enrolments</v>
      </c>
      <c r="EE3" s="1" t="str">
        <f t="shared" si="2"/>
        <v>Aim Enrolments (Aug to Jul) Percentage</v>
      </c>
      <c r="EF3" s="1" t="str">
        <f t="shared" si="2"/>
        <v>Aim enrolment</v>
      </c>
      <c r="EG3" s="1" t="str">
        <f t="shared" si="2"/>
        <v>Apprenticeship level</v>
      </c>
      <c r="EH3" s="1" t="str">
        <f t="shared" si="2"/>
        <v>Detailed apprenticeship level</v>
      </c>
      <c r="EI3" s="1" t="str">
        <f t="shared" si="2"/>
        <v>All age Apprenticeships</v>
      </c>
      <c r="EJ3" s="1" t="str">
        <f t="shared" si="2"/>
        <v>Apprenticeships - Intermediate</v>
      </c>
      <c r="EK3" s="1" t="str">
        <f t="shared" si="2"/>
        <v>Apprenticeships - Advanced</v>
      </c>
      <c r="EL3" s="1" t="str">
        <f t="shared" si="2"/>
        <v>Apprenticeships - Higher</v>
      </c>
      <c r="EM3" s="1" t="str">
        <f t="shared" si="2"/>
        <v>Level 6 plus</v>
      </c>
      <c r="EN3" s="1" t="str">
        <f t="shared" si="2"/>
        <v>Mandatory degree</v>
      </c>
      <c r="EO3" s="1" t="str">
        <f t="shared" si="2"/>
        <v>Intermediate Learners</v>
      </c>
      <c r="EP3" s="1" t="str">
        <f t="shared" si="2"/>
        <v>Advanced Learners</v>
      </c>
      <c r="EQ3" s="1" t="str">
        <f t="shared" si="2"/>
        <v>Total learners</v>
      </c>
      <c r="ER3" s="1" t="str">
        <f t="shared" si="2"/>
        <v>Total participation in further education and skills</v>
      </c>
      <c r="ES3" s="1" t="str">
        <f t="shared" si="2"/>
        <v xml:space="preserve">Total participation in education and training </v>
      </c>
      <c r="ET3" s="1" t="str">
        <f t="shared" si="2"/>
        <v>Learn Percent</v>
      </c>
      <c r="EU3" s="1" t="str">
        <f t="shared" si="2"/>
        <v>Sustained learning only rate</v>
      </c>
      <c r="EV3" s="1" t="str">
        <f t="shared" si="2"/>
        <v>Number of years after achievement of learning aim</v>
      </c>
      <c r="EW3" s="1" t="str">
        <f t="shared" si="2"/>
        <v>Number of learners matched to longitudinal education outcomes data</v>
      </c>
      <c r="EX3" s="1" t="str">
        <f t="shared" si="2"/>
        <v>First Time At Level</v>
      </c>
      <c r="EY3" s="1" t="str">
        <f t="shared" si="2"/>
        <v>Percent of matched learners achieving at this level for the first time</v>
      </c>
      <c r="EZ3" s="1" t="str">
        <f t="shared" si="2"/>
        <v>Further education &amp; skills Percentage</v>
      </c>
      <c r="FA3" s="1" t="str">
        <f t="shared" si="2"/>
        <v>Adult (19+) further education and skills participation</v>
      </c>
      <c r="FB3" s="1" t="str">
        <f t="shared" si="2"/>
        <v>Adult (19+) education and training participation</v>
      </c>
      <c r="FC3" s="1" t="str">
        <f t="shared" si="2"/>
        <v>Community learning participation</v>
      </c>
      <c r="FD3" s="1" t="str">
        <f t="shared" si="2"/>
        <v>Education &amp; training Percentage</v>
      </c>
      <c r="FE3" s="1" t="str">
        <f t="shared" si="2"/>
        <v>High learners</v>
      </c>
      <c r="FF3" s="1" t="str">
        <f t="shared" si="2"/>
        <v>Provider type</v>
      </c>
      <c r="FG3" s="1" t="str">
        <f t="shared" si="2"/>
        <v>Provider name</v>
      </c>
      <c r="FH3" s="1" t="str">
        <f t="shared" si="2"/>
        <v>Provider UK Provider Reference Number</v>
      </c>
      <c r="FI3" s="1" t="str">
        <f t="shared" si="2"/>
        <v>Provision type</v>
      </c>
      <c r="FJ3" s="1" t="str">
        <f t="shared" si="2"/>
        <v>Funding Type</v>
      </c>
      <c r="FK3" s="1" t="str">
        <f t="shared" si="2"/>
        <v>Sub-sector</v>
      </c>
      <c r="FL3" s="1" t="str">
        <f t="shared" si="2"/>
        <v>Number of employers included in period</v>
      </c>
      <c r="FM3" s="1" t="str">
        <f t="shared" si="2"/>
        <v>Percentage of employees starting apprenticeships in period</v>
      </c>
      <c r="FN3" s="1" t="str">
        <f t="shared" si="2"/>
        <v>Employment Percentage</v>
      </c>
      <c r="FO3" s="1" t="str">
        <f t="shared" si="2"/>
        <v>Self-employed rate</v>
      </c>
      <c r="FP3" s="1" t="str">
        <f t="shared" si="2"/>
        <v>Sustained employment only rate</v>
      </c>
      <c r="FQ3" s="1" t="str">
        <f t="shared" si="2"/>
        <v>Sustained employment and learning</v>
      </c>
      <c r="FR3" s="1" t="str">
        <f t="shared" si="2"/>
        <v>Headcount prior to period (thousands)</v>
      </c>
      <c r="FS3" s="1" t="str">
        <f t="shared" si="2"/>
        <v>Apprentices prior to period (thousands)</v>
      </c>
      <c r="FT3" s="1" t="str">
        <f t="shared" si="2"/>
        <v>Apprentices % prior to period</v>
      </c>
      <c r="FU3" s="1" t="str">
        <f t="shared" si="2"/>
        <v>New employees in period (thousands)</v>
      </c>
      <c r="FV3" s="1" t="str">
        <f t="shared" si="2"/>
        <v>New apprentices in period (thousands)</v>
      </c>
      <c r="FW3" s="1" t="str">
        <f t="shared" si="2"/>
        <v>Apprenticeship training starts as % of new employees in period</v>
      </c>
      <c r="FX3" s="1" t="str">
        <f t="shared" si="2"/>
        <v>Headcount at end of period (thousands)</v>
      </c>
      <c r="FY3" s="1" t="str">
        <f t="shared" si="2"/>
        <v>Apprentices at end of period (thousands)</v>
      </c>
      <c r="FZ3" s="1" t="str">
        <f t="shared" si="2"/>
        <v>Apprentices % at end of period</v>
      </c>
      <c r="GA3" s="1" t="str">
        <f t="shared" si="2"/>
        <v>Cumulative headcount over 4-year period 2017/18 to 2020/21 (thousands)</v>
      </c>
      <c r="GB3" s="1" t="str">
        <f t="shared" si="2"/>
        <v>Cumulative new apprentices over 4-year period 2017/18 to 2020/21 (thousands)</v>
      </c>
      <c r="GC3" s="1" t="str">
        <f t="shared" si="2"/>
        <v>Average % of employees starting apprenticeship (over 4-year period 2017/18 to 2020/21)</v>
      </c>
      <c r="GD3" s="1" t="str">
        <f t="shared" si="2"/>
        <v>Redundancies</v>
      </c>
      <c r="GE3" s="1" t="str">
        <f t="shared" si="2"/>
        <v>Positive Destinations</v>
      </c>
      <c r="GF3" s="1" t="str">
        <f t="shared" si="2"/>
        <v>Positive Destination Rate</v>
      </c>
      <c r="GG3" s="1" t="str">
        <f t="shared" si="2"/>
        <v>Destination year</v>
      </c>
      <c r="GH3" s="1" t="str">
        <f t="shared" si="2"/>
        <v>Number of matched learners with any learning destination</v>
      </c>
      <c r="GI3" s="1" t="str">
        <f t="shared" si="2"/>
        <v>Adult FE &amp; skills</v>
      </c>
      <c r="GJ3" s="1" t="str">
        <f t="shared" si="2"/>
        <v>Adult Education &amp; training</v>
      </c>
      <c r="GK3" s="1" t="str">
        <f t="shared" si="2"/>
        <v>Adult Apprenticeships</v>
      </c>
      <c r="GL3" s="1" t="str">
        <f t="shared" si="2"/>
        <v>Adult further education and skills - Full Level 2</v>
      </c>
      <c r="GM3" s="1" t="str">
        <f t="shared" si="2"/>
        <v>Adult further education and skills - Full Level3</v>
      </c>
      <c r="GN3" s="1" t="str">
        <f t="shared" ref="GN3:IY3" si="3">IF(OR(GN2="No match",GN2="multiple"),GN1,GN2)</f>
        <v>Adult further education and skills - Level 4+</v>
      </c>
      <c r="GO3" s="1" t="str">
        <f t="shared" si="3"/>
        <v>Community learning</v>
      </c>
      <c r="GP3" s="1" t="str">
        <f t="shared" si="3"/>
        <v>Qualification</v>
      </c>
      <c r="GQ3" s="1" t="str">
        <f t="shared" si="3"/>
        <v>Qualification sublevel</v>
      </c>
      <c r="GR3" s="1" t="str">
        <f t="shared" si="3"/>
        <v>Qualification level</v>
      </c>
      <c r="GS3" s="1" t="str">
        <f t="shared" si="3"/>
        <v>Qualification Type</v>
      </c>
      <c r="GT3" s="1" t="str">
        <f t="shared" si="3"/>
        <v>Qualification title</v>
      </c>
      <c r="GU3" s="1" t="str">
        <f t="shared" si="3"/>
        <v>Equivalent or lower qualification</v>
      </c>
      <c r="GV3" s="1" t="str">
        <f t="shared" si="3"/>
        <v>Learning Aim Title</v>
      </c>
      <c r="GW3" s="1" t="str">
        <f t="shared" si="3"/>
        <v>Qualification aim</v>
      </c>
      <c r="GX3" s="1" t="str">
        <f t="shared" si="3"/>
        <v xml:space="preserve">Grouped level of learning </v>
      </c>
      <c r="GY3" s="1" t="str">
        <f t="shared" si="3"/>
        <v>Level of learning</v>
      </c>
      <c r="GZ3" s="1" t="str">
        <f t="shared" si="3"/>
        <v>Received applications</v>
      </c>
      <c r="HA3" s="1" t="str">
        <f t="shared" si="3"/>
        <v>Approved applications</v>
      </c>
      <c r="HB3" s="1" t="str">
        <f t="shared" si="3"/>
        <v>Total loan amount awarded (£000s)</v>
      </c>
      <c r="HC3" s="1" t="str">
        <f t="shared" si="3"/>
        <v>Total Participation</v>
      </c>
      <c r="HD3" s="1" t="str">
        <f t="shared" si="3"/>
        <v>Participation Below level 2 (excluding basic skills)</v>
      </c>
      <c r="HE3" s="1" t="str">
        <f t="shared" si="3"/>
        <v>Participation Basic skills (Aug to Jul)</v>
      </c>
      <c r="HF3" s="1" t="str">
        <f t="shared" si="3"/>
        <v>Participation Full level 2</v>
      </c>
      <c r="HG3" s="1" t="str">
        <f t="shared" si="3"/>
        <v>Participation Full level 3</v>
      </c>
      <c r="HH3" s="1" t="str">
        <f t="shared" si="3"/>
        <v>Participation Level 2</v>
      </c>
      <c r="HI3" s="1" t="str">
        <f t="shared" si="3"/>
        <v>Participation Level 3</v>
      </c>
      <c r="HJ3" s="1" t="str">
        <f t="shared" si="3"/>
        <v>Participation Level 4+</v>
      </c>
      <c r="HK3" s="1" t="str">
        <f t="shared" si="3"/>
        <v>Participation No Level Assigned (Aug to Jul)</v>
      </c>
      <c r="HL3" s="1" t="str">
        <f t="shared" si="3"/>
        <v>Total Achievements</v>
      </c>
      <c r="HM3" s="1" t="str">
        <f t="shared" si="3"/>
        <v>Achievements Below level 2 (excluding basic skills)</v>
      </c>
      <c r="HN3" s="1" t="str">
        <f t="shared" si="3"/>
        <v>Achievements, basic skills</v>
      </c>
      <c r="HO3" s="1" t="str">
        <f t="shared" si="3"/>
        <v>Achievements Full level 2</v>
      </c>
      <c r="HP3" s="1" t="str">
        <f t="shared" si="3"/>
        <v>Achievements Full level 3</v>
      </c>
      <c r="HQ3" s="1" t="str">
        <f t="shared" si="3"/>
        <v>Achievements Level 2</v>
      </c>
      <c r="HR3" s="1" t="str">
        <f t="shared" si="3"/>
        <v>Achievements Level 3</v>
      </c>
      <c r="HS3" s="1" t="str">
        <f t="shared" si="3"/>
        <v>Achievements Level 4+</v>
      </c>
      <c r="HT3" s="1" t="str">
        <f t="shared" si="3"/>
        <v>Achievements No level assigned</v>
      </c>
      <c r="HU3" s="1" t="str">
        <f t="shared" si="3"/>
        <v>Reporting date</v>
      </c>
      <c r="HV3" s="1" t="str">
        <f t="shared" si="3"/>
        <v>Participation Personal and community development learning</v>
      </c>
      <c r="HW3" s="1" t="str">
        <f t="shared" si="3"/>
        <v>Participation Neighbourhood learning in deprived communities</v>
      </c>
      <c r="HX3" s="1" t="str">
        <f t="shared" si="3"/>
        <v>Participation Family English maths and language</v>
      </c>
      <c r="HY3" s="1" t="str">
        <f t="shared" si="3"/>
        <v>Participation Wider family learning</v>
      </c>
      <c r="HZ3" s="1" t="str">
        <f t="shared" si="3"/>
        <v>Total</v>
      </c>
      <c r="IA3" s="1" t="str">
        <f t="shared" si="3"/>
        <v>Achievements Personal and community development learning</v>
      </c>
      <c r="IB3" s="1" t="str">
        <f t="shared" si="3"/>
        <v>Achievements Neighbourhood learning in deprived communities</v>
      </c>
      <c r="IC3" s="1" t="str">
        <f t="shared" si="3"/>
        <v>Achievements Family English maths and language</v>
      </c>
      <c r="ID3" s="1" t="str">
        <f t="shared" si="3"/>
        <v>Achievements Wider family learning</v>
      </c>
      <c r="IE3" s="1" t="str">
        <f t="shared" si="3"/>
        <v>Individualised learner record snapshot and L3 offer course list used</v>
      </c>
      <c r="IF3" s="1" t="str">
        <f t="shared" si="3"/>
        <v>Total enrolments by any adult on offer courses</v>
      </c>
      <c r="IG3" s="1" t="str">
        <f t="shared" si="3"/>
        <v>Enrolments by eligible adults on offer courses (under original offer)</v>
      </c>
      <c r="IH3" s="1" t="str">
        <f t="shared" si="3"/>
        <v>Enrolments by adults taking up Free Courses for Jobs (under original offer)</v>
      </c>
      <c r="II3" s="1" t="str">
        <f t="shared" si="3"/>
        <v>Enrolments by adults taking up Free Courses for Jobs (including under extended offer from Apr22)</v>
      </c>
      <c r="IJ3" s="1" t="str">
        <f t="shared" si="3"/>
        <v>Number of courses available during period under Free Courses for Jobs offer</v>
      </c>
      <c r="IK3" s="1" t="str">
        <f t="shared" si="3"/>
        <v>Prior attainment group</v>
      </c>
      <c r="IL3" s="1" t="str">
        <f t="shared" si="3"/>
        <v>Prior attainment level</v>
      </c>
      <c r="IM3" s="1" t="str">
        <f t="shared" si="3"/>
        <v>Employment status</v>
      </c>
      <c r="IN3" s="1" t="str">
        <f t="shared" si="3"/>
        <v>Total free courses for jobs total starts under original offer (April 21 to January 23)</v>
      </c>
      <c r="IO3" s="1" t="str">
        <f t="shared" si="3"/>
        <v>Total free courses for jobs total starts including extended offer (April 21 to January 23)</v>
      </c>
      <c r="IP3" s="1" t="str">
        <f t="shared" si="3"/>
        <v>Total free courses for jobs total achievements under original offer (April 21 to January 23)</v>
      </c>
      <c r="IQ3" s="1" t="str">
        <f t="shared" si="3"/>
        <v>Total free courses for jobs total achievements including extended offer (April 21 to January 23)</v>
      </c>
      <c r="IR3" s="1" t="str">
        <f t="shared" si="3"/>
        <v>notional nvq level</v>
      </c>
      <c r="IS3" s="1" t="str">
        <f t="shared" si="3"/>
        <v>E and T Aims enrolment</v>
      </c>
      <c r="IT3" s="1" t="str">
        <f t="shared" si="3"/>
        <v>E and T aims achievement</v>
      </c>
      <c r="IU3" s="1" t="str">
        <f t="shared" si="3"/>
        <v>Apprenticeships or further education</v>
      </c>
      <c r="IV3" s="1" t="str">
        <f t="shared" si="3"/>
        <v>Level or type</v>
      </c>
      <c r="IW3" s="1" t="str">
        <f t="shared" si="3"/>
        <v>Percentage change</v>
      </c>
      <c r="IX3" s="1" t="str">
        <f t="shared" si="3"/>
        <v>Cohort number</v>
      </c>
      <c r="IY3" s="1" t="str">
        <f t="shared" si="3"/>
        <v>Cohort Level Group</v>
      </c>
      <c r="IZ3" s="1" t="str">
        <f t="shared" ref="IZ3:LK3" si="4">IF(OR(IZ2="No match",IZ2="multiple"),IZ1,IZ2)</f>
        <v>Qualification levels</v>
      </c>
      <c r="JA3" s="1" t="str">
        <f t="shared" si="4"/>
        <v>Average Cohort</v>
      </c>
      <c r="JB3" s="1" t="str">
        <f t="shared" si="4"/>
        <v>Number not in education, employment or training/activity not known</v>
      </c>
      <c r="JC3" s="1" t="str">
        <f t="shared" si="4"/>
        <v>Average not in education, employment or training</v>
      </c>
      <c r="JD3" s="1" t="str">
        <f t="shared" si="4"/>
        <v>Number activity not known</v>
      </c>
      <c r="JE3" s="1" t="str">
        <f t="shared" si="4"/>
        <v>Not in education, employment or training/not known proportion</v>
      </c>
      <c r="JF3" s="1" t="str">
        <f t="shared" si="4"/>
        <v>Not in education, employment or training proportion</v>
      </c>
      <c r="JG3" s="1" t="str">
        <f t="shared" si="4"/>
        <v>Activity not know proportion</v>
      </c>
      <c r="JH3" s="1" t="str">
        <f t="shared" si="4"/>
        <v>Percentage of the cohort with activity not known</v>
      </c>
      <c r="JI3" s="1" t="str">
        <f t="shared" si="4"/>
        <v>Annual change in: not in education, employment or training/not known rate</v>
      </c>
      <c r="JJ3" s="1" t="str">
        <f t="shared" si="4"/>
        <v>Institution group</v>
      </c>
      <c r="JK3" s="1" t="str">
        <f t="shared" si="4"/>
        <v>Institution type</v>
      </c>
      <c r="JL3" s="1" t="str">
        <f t="shared" si="4"/>
        <v>Institution or apprenticeship grouping</v>
      </c>
      <c r="JM3" s="1" t="str">
        <f t="shared" si="4"/>
        <v>Institution or apprenticeship</v>
      </c>
      <c r="JN3" s="1" t="str">
        <f t="shared" si="4"/>
        <v>Labour market status</v>
      </c>
      <c r="JO3" s="1" t="str">
        <f t="shared" si="4"/>
        <v>category grouping</v>
      </c>
      <c r="JP3" s="1" t="str">
        <f t="shared" si="4"/>
        <v>Activity</v>
      </c>
      <c r="JQ3" s="1" t="str">
        <f t="shared" si="4"/>
        <v>Mode of study</v>
      </c>
      <c r="JR3" s="1" t="str">
        <f t="shared" si="4"/>
        <v>Population (ONS estimate)</v>
      </c>
      <c r="JS3" s="1" t="str">
        <f t="shared" si="4"/>
        <v>Number not in education, employment or training</v>
      </c>
      <c r="JT3" s="1" t="str">
        <f t="shared" si="4"/>
        <v>Confidence interval (95%) for the number of not in education, employment or training</v>
      </c>
      <c r="JU3" s="1" t="str">
        <f t="shared" si="4"/>
        <v>Lower bound number not in education, employment or training</v>
      </c>
      <c r="JV3" s="1" t="str">
        <f t="shared" si="4"/>
        <v>Upper bound number not in education, employment or training</v>
      </c>
      <c r="JW3" s="1" t="str">
        <f t="shared" si="4"/>
        <v>Confidence interval (95%) for the percentage not in education, employment or training</v>
      </c>
      <c r="JX3" s="1" t="str">
        <f t="shared" si="4"/>
        <v>Lower bound percent not in education, employment or training</v>
      </c>
      <c r="JY3" s="1" t="str">
        <f t="shared" si="4"/>
        <v>Upper bound percent not in education, employment or training</v>
      </c>
      <c r="JZ3" s="1" t="str">
        <f t="shared" si="4"/>
        <v>Annual change in not in education, employment or training rate</v>
      </c>
      <c r="KA3" s="1" t="str">
        <f t="shared" si="4"/>
        <v>Confidence interval (95%) for the annual change in not in education, employment or training rate</v>
      </c>
      <c r="KB3" s="1" t="str">
        <f t="shared" si="4"/>
        <v>Lower bound annual change in not in education, employment or training rate</v>
      </c>
      <c r="KC3" s="1" t="str">
        <f t="shared" si="4"/>
        <v>Upper bound annual change in not in education, employment or training rate</v>
      </c>
      <c r="KD3" s="1" t="str">
        <f t="shared" si="4"/>
        <v>Number not in education or training</v>
      </c>
      <c r="KE3" s="1" t="str">
        <f t="shared" si="4"/>
        <v>Confidence interval (95%) for the number not in education or training</v>
      </c>
      <c r="KF3" s="1" t="str">
        <f t="shared" si="4"/>
        <v>Lower bound number not in education or training</v>
      </c>
      <c r="KG3" s="1" t="str">
        <f t="shared" si="4"/>
        <v>Upper bound number not in education or training</v>
      </c>
      <c r="KH3" s="1" t="str">
        <f t="shared" si="4"/>
        <v>Percentage of population not in education or training</v>
      </c>
      <c r="KI3" s="1" t="str">
        <f t="shared" si="4"/>
        <v>Confidence interval (95%) for the percentage not in education or training</v>
      </c>
      <c r="KJ3" s="1" t="str">
        <f t="shared" si="4"/>
        <v>Lower bound percent not in education or training</v>
      </c>
      <c r="KK3" s="1" t="str">
        <f t="shared" si="4"/>
        <v>Upper bound percent not in education or training</v>
      </c>
      <c r="KL3" s="1" t="str">
        <f t="shared" si="4"/>
        <v>Annual change in not in education or training rate</v>
      </c>
      <c r="KM3" s="1" t="str">
        <f t="shared" si="4"/>
        <v>Confidence interval (95%) for the annual change in not in education or training rate</v>
      </c>
      <c r="KN3" s="1" t="str">
        <f t="shared" si="4"/>
        <v>Lower bound annual change in not in education or training rate</v>
      </c>
      <c r="KO3" s="1" t="str">
        <f t="shared" si="4"/>
        <v>Upper bound annual change in not in education or training rate</v>
      </c>
      <c r="KP3" s="1" t="str">
        <f t="shared" si="4"/>
        <v>Employment rate of the not in education or training group</v>
      </c>
      <c r="KQ3" s="1" t="str">
        <f t="shared" si="4"/>
        <v>Number not in education, employment or training who are International Labour Organisation unemployed for less than 6 months</v>
      </c>
      <c r="KR3" s="1" t="str">
        <f t="shared" si="4"/>
        <v>confidence interval plus minus International Labour Organisation unemployed less 6 months</v>
      </c>
      <c r="KS3" s="1" t="str">
        <f t="shared" si="4"/>
        <v>lower bound number International Labour Organisation unemployed less 6months</v>
      </c>
      <c r="KT3" s="1" t="str">
        <f t="shared" si="4"/>
        <v>Upper bound number International Labour Organisation unemployed less 6 months</v>
      </c>
      <c r="KU3" s="1" t="str">
        <f t="shared" si="4"/>
        <v>Number not in education, employment or training who are International Labour Organisation unemployed for more than 6 months</v>
      </c>
      <c r="KV3" s="1" t="str">
        <f t="shared" si="4"/>
        <v>Confidence interval (95%) for the number not in education, employment or training unemployed for more than 6 months</v>
      </c>
      <c r="KW3" s="1" t="str">
        <f t="shared" si="4"/>
        <v>Lower bound number International Labour Organisation unemployed more 6 months</v>
      </c>
      <c r="KX3" s="1" t="str">
        <f t="shared" si="4"/>
        <v>Upper bound number International Labour Organisation unemployed more 6 months</v>
      </c>
      <c r="KY3" s="1" t="str">
        <f t="shared" si="4"/>
        <v>Number not in education, employment or training who were inactive and want a job</v>
      </c>
      <c r="KZ3" s="1" t="str">
        <f t="shared" si="4"/>
        <v>Confidence interval (95%) for the number not in education, employment or training inactive and want a job</v>
      </c>
      <c r="LA3" s="1" t="str">
        <f t="shared" si="4"/>
        <v>Lower bound number inactive wants a job</v>
      </c>
      <c r="LB3" s="1" t="str">
        <f t="shared" si="4"/>
        <v>Upper bound number inactive wants a job</v>
      </c>
      <c r="LC3" s="1" t="str">
        <f t="shared" si="4"/>
        <v>Number not in education, employment or training who were inactive and does not want a job</v>
      </c>
      <c r="LD3" s="1" t="str">
        <f t="shared" si="4"/>
        <v>Confidence interval (95%) for the number not in education, employment or training inactive and does not want a job</v>
      </c>
      <c r="LE3" s="1" t="str">
        <f t="shared" si="4"/>
        <v>Lower bound number inactive does not want a job</v>
      </c>
      <c r="LF3" s="1" t="str">
        <f t="shared" si="4"/>
        <v>Upper bound number inactive does not want a job</v>
      </c>
      <c r="LG3" s="1" t="str">
        <f t="shared" si="4"/>
        <v>Number not in education, employment or training where reason for inactivity was looking after family/home</v>
      </c>
      <c r="LH3" s="1" t="str">
        <f t="shared" si="4"/>
        <v>Confidence interval (95%) for the number not in education, employment or training with reason inactive as looking after family/home</v>
      </c>
      <c r="LI3" s="1" t="str">
        <f t="shared" si="4"/>
        <v>Lower bound number reason inactive looking after family or home</v>
      </c>
      <c r="LJ3" s="1" t="str">
        <f t="shared" si="4"/>
        <v>Upper bound number reason inactive looking after family or home</v>
      </c>
      <c r="LK3" s="1" t="str">
        <f t="shared" si="4"/>
        <v>Number not in education, employment or training where reason for inactivity was long-term or temporarily sick</v>
      </c>
      <c r="LL3" s="1" t="str">
        <f t="shared" ref="LL3:NW3" si="5">IF(OR(LL2="No match",LL2="multiple"),LL1,LL2)</f>
        <v>Confidence interval (95%) for the number not in education, employment or training with reason inactive as long-term or temporary sick</v>
      </c>
      <c r="LM3" s="1" t="str">
        <f t="shared" si="5"/>
        <v>Lower bound number reason inactive long-term or temporary sick</v>
      </c>
      <c r="LN3" s="1" t="str">
        <f t="shared" si="5"/>
        <v>Upper bound number reason inactive long-term or temporary sick</v>
      </c>
      <c r="LO3" s="1" t="str">
        <f t="shared" si="5"/>
        <v>Number not in education, employment or training where reason for inactivity was other</v>
      </c>
      <c r="LP3" s="1" t="str">
        <f t="shared" si="5"/>
        <v>Confidence interval (95%) for the number not in education, employment or training with reason inactive as other</v>
      </c>
      <c r="LQ3" s="1" t="str">
        <f t="shared" si="5"/>
        <v>Lower bound number reason inactive other</v>
      </c>
      <c r="LR3" s="1" t="str">
        <f t="shared" si="5"/>
        <v>Upper bound number reason inactive other</v>
      </c>
      <c r="LS3" s="1" t="str">
        <f t="shared" si="5"/>
        <v>Percentage of not in education, employment or training International Labour Organisation unemployed for less than 6 months</v>
      </c>
      <c r="LT3" s="1" t="str">
        <f t="shared" si="5"/>
        <v>Confidence interval (95%) for the percentage not in education, employment or training unemployed for less than 6 months</v>
      </c>
      <c r="LU3" s="1" t="str">
        <f t="shared" si="5"/>
        <v>Lower bound percent International Labour Organisation unemployed less 6 months</v>
      </c>
      <c r="LV3" s="1" t="str">
        <f t="shared" si="5"/>
        <v>Upper bound percent International Labour Organisation unemployed less 6 months</v>
      </c>
      <c r="LW3" s="1" t="str">
        <f t="shared" si="5"/>
        <v>Percentage of not in education, employment or training International Labour Organisation unemployed for more than 6 months</v>
      </c>
      <c r="LX3" s="1" t="str">
        <f t="shared" si="5"/>
        <v>Confidence interval (95%) for the percentage not in education, employment or training unemployed for more than 6 months</v>
      </c>
      <c r="LY3" s="1" t="str">
        <f t="shared" si="5"/>
        <v>Lower bound percent International Labour Organisation unemployed more 6 months</v>
      </c>
      <c r="LZ3" s="1" t="str">
        <f t="shared" si="5"/>
        <v>Upper bound percent International Labour Organisation unemployed more 6 months</v>
      </c>
      <c r="MA3" s="1" t="str">
        <f t="shared" si="5"/>
        <v>Percentage of not in education, employment or training who were inactive and want a job</v>
      </c>
      <c r="MB3" s="1" t="str">
        <f t="shared" si="5"/>
        <v>Confidence interval (95%) for the percentage not in education, employment or training inactive and want a job</v>
      </c>
      <c r="MC3" s="1" t="str">
        <f t="shared" si="5"/>
        <v>Lower bound percent inactive wants a job</v>
      </c>
      <c r="MD3" s="1" t="str">
        <f t="shared" si="5"/>
        <v>Upper bound percent inactive wants a job</v>
      </c>
      <c r="ME3" s="1" t="str">
        <f t="shared" si="5"/>
        <v>Percentage of not in education, employment or training who were inactive and does not want a job</v>
      </c>
      <c r="MF3" s="1" t="str">
        <f t="shared" si="5"/>
        <v>Confidence interval (95%) for the percentage not in education, employment or training inactive and does not want a job</v>
      </c>
      <c r="MG3" s="1" t="str">
        <f t="shared" si="5"/>
        <v>Lower bound percent inactive does not want a job</v>
      </c>
      <c r="MH3" s="1" t="str">
        <f t="shared" si="5"/>
        <v>Upper bound percent inactive does not want a job</v>
      </c>
      <c r="MI3" s="1" t="str">
        <f t="shared" si="5"/>
        <v>Percentage of not in education, employment or training where reason for inactivity was looking after family/home</v>
      </c>
      <c r="MJ3" s="1" t="str">
        <f t="shared" si="5"/>
        <v>Confidence interval (95%) for the percentage not in education, employment or training with reason inactive as looking after family/home</v>
      </c>
      <c r="MK3" s="1" t="str">
        <f t="shared" si="5"/>
        <v>Lower bound percent reason inactive looking after family or home</v>
      </c>
      <c r="ML3" s="1" t="str">
        <f t="shared" si="5"/>
        <v>Upper bound percent reason inactive looking after family or home</v>
      </c>
      <c r="MM3" s="1" t="str">
        <f t="shared" si="5"/>
        <v>Percentage of not in education, employment or training where reason for inactivity was long-term or temporarily sick</v>
      </c>
      <c r="MN3" s="1" t="str">
        <f t="shared" si="5"/>
        <v>Confidence interval (95%) for the percentage not in education, employment or training with reason inactive as long-term or temporary sick</v>
      </c>
      <c r="MO3" s="1" t="str">
        <f t="shared" si="5"/>
        <v>Lower bound percent reason inactive long-term or temporary sick</v>
      </c>
      <c r="MP3" s="1" t="str">
        <f t="shared" si="5"/>
        <v>Upper bound percent reason inactive long-term or temporary sick</v>
      </c>
      <c r="MQ3" s="1" t="str">
        <f t="shared" si="5"/>
        <v>Percentage of not in education, employment or training where reason for inactivity was other</v>
      </c>
      <c r="MR3" s="1" t="str">
        <f t="shared" si="5"/>
        <v>Confidence interval (95%) for the percentage of not in education, employment or training with reason inactive as other</v>
      </c>
      <c r="MS3" s="1" t="str">
        <f t="shared" si="5"/>
        <v>Lower bound percent reason inactive other</v>
      </c>
      <c r="MT3" s="1" t="str">
        <f t="shared" si="5"/>
        <v>Upper bound percent reason inactive other</v>
      </c>
      <c r="MU3" s="1" t="str">
        <f t="shared" si="5"/>
        <v>National Client Caseload Information System, not in education, employment or training/not known</v>
      </c>
      <c r="MV3" s="1" t="str">
        <f t="shared" si="5"/>
        <v>ONS, Labour Force Survey, not in education, employment or training seasonally adjusted</v>
      </c>
      <c r="MW3" s="1" t="str">
        <f t="shared" si="5"/>
        <v>Total not in employment, education or training, 'not in education or training' or Total population estimates</v>
      </c>
      <c r="MX3" s="1" t="str">
        <f t="shared" si="5"/>
        <v>health condition grouping</v>
      </c>
      <c r="MY3" s="1" t="str">
        <f t="shared" si="5"/>
        <v>Main health condition reported by respondent</v>
      </c>
      <c r="MZ3" s="1" t="str">
        <f t="shared" si="5"/>
        <v>Sample Size</v>
      </c>
      <c r="NA3" s="1" t="str">
        <f t="shared" si="5"/>
        <v>Confidence interval (95%) for the number of 16-24 year olds</v>
      </c>
      <c r="NB3" s="1" t="str">
        <f t="shared" si="5"/>
        <v>Lower bound of confidence interval (95%) for the number of 16-24 year olds</v>
      </c>
      <c r="NC3" s="1" t="str">
        <f t="shared" si="5"/>
        <v>Upper bound of confidence interval (95%) for the number of 16-24 year olds</v>
      </c>
      <c r="ND3" s="1" t="str">
        <f t="shared" si="5"/>
        <v>Percentage of 16-24 year olds</v>
      </c>
      <c r="NE3" s="1" t="str">
        <f t="shared" si="5"/>
        <v>Confidence interval (95%) for the percentage of 16-24 year olds</v>
      </c>
      <c r="NF3" s="1" t="str">
        <f t="shared" si="5"/>
        <v>Lower bound of confidence interval (95%) for the percentage of 16-24 year olds</v>
      </c>
      <c r="NG3" s="1" t="str">
        <f t="shared" si="5"/>
        <v>Upper bound of confidence interval (95%) for the percentage of 16-24 year olds</v>
      </c>
      <c r="NH3" s="1" t="str">
        <f t="shared" si="5"/>
        <v>Percentage of not in education, employment or training 16-24 year olds</v>
      </c>
      <c r="NI3" s="1" t="str">
        <f t="shared" si="5"/>
        <v>Data type</v>
      </c>
      <c r="NJ3" s="1" t="str">
        <f t="shared" si="5"/>
        <v>version</v>
      </c>
      <c r="NK3" s="1" t="str">
        <f t="shared" si="5"/>
        <v>Number of institutions (Destinations)</v>
      </c>
      <c r="NL3" s="1" t="str">
        <f t="shared" si="5"/>
        <v>Number of learners in sustained employment</v>
      </c>
      <c r="NM3" s="1" t="str">
        <f t="shared" si="5"/>
        <v>Sustained employment rate</v>
      </c>
      <c r="NN3" s="1" t="str">
        <f t="shared" si="5"/>
        <v>Sustained positive destination rate</v>
      </c>
      <c r="NO3" s="1" t="str">
        <f t="shared" si="5"/>
        <v>Overall Sustained education, employment and apprenticeships</v>
      </c>
      <c r="NP3" s="1" t="str">
        <f t="shared" si="5"/>
        <v>Overall sustained destinations after one year</v>
      </c>
      <c r="NQ3" s="1" t="str">
        <f t="shared" si="5"/>
        <v>Overall sustained destinations after three years</v>
      </c>
      <c r="NR3" s="1" t="str">
        <f t="shared" si="5"/>
        <v>Overall sustained destinations after five years</v>
      </c>
      <c r="NS3" s="1" t="str">
        <f t="shared" si="5"/>
        <v>Sustained education destination</v>
      </c>
      <c r="NT3" s="1" t="str">
        <f t="shared" si="5"/>
        <v>Further education</v>
      </c>
      <c r="NU3" s="1" t="str">
        <f t="shared" si="5"/>
        <v>Level 3 (e.g. A level, Level 3 National Certificate, Level 3 National Diploma)</v>
      </c>
      <c r="NV3" s="1" t="str">
        <f t="shared" si="5"/>
        <v>Level 2 (e.g. GCSE 9 - 4/ A* - C, Level 2 National Certificate, Level 2 National Diploma)</v>
      </c>
      <c r="NW3" s="1" t="str">
        <f t="shared" si="5"/>
        <v>Further education entry level and no identified level</v>
      </c>
      <c r="NX3" s="1" t="str">
        <f t="shared" ref="NX3:QI3" si="6">IF(OR(NX2="No match",NX2="multiple"),NX1,NX2)</f>
        <v>Entry level or level 1 (e.g. Entry Level Certificate, Entry Level Diploma, Level 1 Certificate, Level 1 Diploma)</v>
      </c>
      <c r="NY3" s="1" t="str">
        <f t="shared" si="6"/>
        <v>Sustained  further education rate</v>
      </c>
      <c r="NZ3" s="1" t="str">
        <f t="shared" si="6"/>
        <v>Below Level 2 Percent</v>
      </c>
      <c r="OA3" s="1" t="str">
        <f t="shared" si="6"/>
        <v>English and maths</v>
      </c>
      <c r="OB3" s="1" t="str">
        <f t="shared" si="6"/>
        <v>Level 2 Percent</v>
      </c>
      <c r="OC3" s="1" t="str">
        <f t="shared" si="6"/>
        <v>Full Level 2</v>
      </c>
      <c r="OD3" s="1" t="str">
        <f t="shared" si="6"/>
        <v>Level 3 Percent</v>
      </c>
      <c r="OE3" s="1" t="str">
        <f t="shared" si="6"/>
        <v>Full Level 3</v>
      </c>
      <c r="OF3" s="1" t="str">
        <f t="shared" si="6"/>
        <v>Level 4/5</v>
      </c>
      <c r="OG3" s="1" t="str">
        <f t="shared" si="6"/>
        <v>Not Assigned Percent</v>
      </c>
      <c r="OH3" s="1" t="str">
        <f t="shared" si="6"/>
        <v>School sixth form</v>
      </c>
      <c r="OI3" s="1" t="str">
        <f t="shared" si="6"/>
        <v>Sixth form college</v>
      </c>
      <c r="OJ3" s="1" t="str">
        <f t="shared" si="6"/>
        <v>School sixth form &amp; Sixth form college</v>
      </c>
      <c r="OK3" s="1" t="str">
        <f t="shared" si="6"/>
        <v>Other education destination</v>
      </c>
      <c r="OL3" s="1" t="str">
        <f t="shared" si="6"/>
        <v>Independent schools</v>
      </c>
      <c r="OM3" s="1" t="str">
        <f t="shared" si="6"/>
        <v>Alternative provision</v>
      </c>
      <c r="ON3" s="1" t="str">
        <f t="shared" si="6"/>
        <v>Special school</v>
      </c>
      <c r="OO3" s="1" t="str">
        <f t="shared" si="6"/>
        <v>Specialist provision</v>
      </c>
      <c r="OP3" s="1" t="str">
        <f t="shared" si="6"/>
        <v>Specialist post-16 institution</v>
      </c>
      <c r="OQ3" s="1" t="str">
        <f t="shared" si="6"/>
        <v>Sustained education combination destination</v>
      </c>
      <c r="OR3" s="1" t="str">
        <f t="shared" si="6"/>
        <v>UK higher education institution</v>
      </c>
      <c r="OS3" s="1" t="str">
        <f t="shared" si="6"/>
        <v>Type of higher level learning</v>
      </c>
      <c r="OT3" s="1" t="str">
        <f t="shared" si="6"/>
        <v>Level 4 (e.g. Higher National Certificates)</v>
      </c>
      <c r="OU3" s="1" t="str">
        <f t="shared" si="6"/>
        <v>Level 5 (e.g. Foundation degree and Higher National Diploma)</v>
      </c>
      <c r="OV3" s="1" t="str">
        <f t="shared" si="6"/>
        <v>Level 6 (e.g. Degree with/without honours)</v>
      </c>
      <c r="OW3" s="1" t="str">
        <f t="shared" si="6"/>
        <v>Sustained higher education rate (Level 6+)</v>
      </c>
      <c r="OX3" s="1" t="str">
        <f t="shared" si="6"/>
        <v>Access to Higher Education</v>
      </c>
      <c r="OY3" s="1" t="str">
        <f t="shared" si="6"/>
        <v>Sustained apprenticeship rate</v>
      </c>
      <c r="OZ3" s="1" t="str">
        <f t="shared" si="6"/>
        <v>Apprenticeship type</v>
      </c>
      <c r="PA3" s="1" t="str">
        <f t="shared" si="6"/>
        <v>Sustained apprenticeships</v>
      </c>
      <c r="PB3" s="1" t="str">
        <f t="shared" si="6"/>
        <v>Higher and degree apprenticeships (level 4 and above)</v>
      </c>
      <c r="PC3" s="1" t="str">
        <f t="shared" si="6"/>
        <v>Apprenticeship level 3</v>
      </c>
      <c r="PD3" s="1" t="str">
        <f t="shared" si="6"/>
        <v>Intermediate apprenticeships (level 2)</v>
      </c>
      <c r="PE3" s="1" t="str">
        <f t="shared" si="6"/>
        <v>Apprenticeship Intermediate Percent</v>
      </c>
      <c r="PF3" s="1" t="str">
        <f t="shared" si="6"/>
        <v>Apprenticeship Advanced Percent</v>
      </c>
      <c r="PG3" s="1" t="str">
        <f t="shared" si="6"/>
        <v>Apprenticeship Higher Percent</v>
      </c>
      <c r="PH3" s="1" t="str">
        <f t="shared" si="6"/>
        <v>Advanced apprenticeship (Level 3 or above)</v>
      </c>
      <c r="PI3" s="1" t="str">
        <f t="shared" si="6"/>
        <v>Any learning rate</v>
      </c>
      <c r="PJ3" s="1" t="str">
        <f t="shared" si="6"/>
        <v>Sustained progression from achieved aim</v>
      </c>
      <c r="PK3" s="1" t="str">
        <f t="shared" si="6"/>
        <v>Progression for learner overall</v>
      </c>
      <c r="PL3" s="1" t="str">
        <f t="shared" si="6"/>
        <v>Destination not sustained</v>
      </c>
      <c r="PM3" s="1" t="str">
        <f t="shared" si="6"/>
        <v>Destination not sustained and not on benefits</v>
      </c>
      <c r="PN3" s="1" t="str">
        <f t="shared" si="6"/>
        <v>Destination not sustained and in receipt of benefits</v>
      </c>
      <c r="PO3" s="1" t="str">
        <f t="shared" si="6"/>
        <v>In receipt of benefits only</v>
      </c>
      <c r="PP3" s="1" t="str">
        <f t="shared" si="6"/>
        <v>No activity captured in data</v>
      </c>
      <c r="PQ3" s="1" t="str">
        <f t="shared" si="6"/>
        <v>Learners with earnings one year after study</v>
      </c>
      <c r="PR3" s="1" t="str">
        <f t="shared" si="6"/>
        <v>Lower quartile annualised earnings</v>
      </c>
      <c r="PS3" s="1" t="str">
        <f t="shared" si="6"/>
        <v>Median annualised earnings</v>
      </c>
      <c r="PT3" s="1" t="str">
        <f t="shared" si="6"/>
        <v>Upper quartile annualised earnings</v>
      </c>
      <c r="PU3" s="1" t="str">
        <f t="shared" si="6"/>
        <v>Sustained employment destination</v>
      </c>
      <c r="PV3" s="1" t="str">
        <f t="shared" si="6"/>
        <v>Not recorded as a sustained destination</v>
      </c>
      <c r="PW3" s="1" t="str">
        <f t="shared" si="6"/>
        <v>Education or employment not sustained</v>
      </c>
      <c r="PX3" s="1" t="str">
        <f t="shared" si="6"/>
        <v>Education or employment not sustained and known to be not in education, employment or training</v>
      </c>
      <c r="PY3" s="1" t="str">
        <f t="shared" si="6"/>
        <v>No participation and known to be not in education, employment or training</v>
      </c>
      <c r="PZ3" s="1" t="str">
        <f t="shared" si="6"/>
        <v>Activity not captured (Destinations)</v>
      </c>
      <c r="QA3" s="1" t="str">
        <f t="shared" si="6"/>
        <v>Identified as DWP/HMRC customer</v>
      </c>
      <c r="QB3" s="1" t="str">
        <f t="shared" si="6"/>
        <v>Not identified in any data</v>
      </c>
      <c r="QC3" s="1" t="str">
        <f t="shared" si="6"/>
        <v>Level based on Local Education Authority area or provider location</v>
      </c>
      <c r="QD3" s="1" t="str">
        <f t="shared" si="6"/>
        <v>Non-designated provision</v>
      </c>
      <c r="QE3" s="1" t="str">
        <f t="shared" si="6"/>
        <v>Sustained a level 4 or higher destination</v>
      </c>
      <c r="QF3" s="1" t="str">
        <f t="shared" si="6"/>
        <v>National comparator</v>
      </c>
      <c r="QG3" s="1" t="str">
        <f t="shared" si="6"/>
        <v>Progression score</v>
      </c>
      <c r="QH3" s="1" t="str">
        <f t="shared" si="6"/>
        <v>Sustained degree destination</v>
      </c>
      <c r="QI3" s="1" t="str">
        <f t="shared" si="6"/>
        <v>Degree class - Select the Degree Class you are interested in</v>
      </c>
      <c r="QJ3" s="1" t="str">
        <f t="shared" ref="QJ3:SU3" si="7">IF(OR(QJ2="No match",QJ2="multiple"),QJ1,QJ2)</f>
        <v>Top third higher education destination</v>
      </c>
      <c r="QK3" s="1" t="str">
        <f t="shared" si="7"/>
        <v>Oxford or Cambridge</v>
      </c>
      <c r="QL3" s="1" t="str">
        <f t="shared" si="7"/>
        <v>Russell group institution</v>
      </c>
      <c r="QM3" s="1" t="str">
        <f t="shared" si="7"/>
        <v>Sustained apprenticeship destination</v>
      </c>
      <c r="QN3" s="1" t="str">
        <f t="shared" si="7"/>
        <v>Sustained level 4 or 5 destination</v>
      </c>
      <c r="QO3" s="1" t="str">
        <f t="shared" si="7"/>
        <v>Number of pupils studying academic or applied general qualifications</v>
      </c>
      <c r="QP3" s="1" t="str">
        <f t="shared" si="7"/>
        <v>Academic/Applied general qualifications students who sustained L4+ destination</v>
      </c>
      <c r="QQ3" s="1" t="str">
        <f t="shared" si="7"/>
        <v>Academic/AGQ national comparator</v>
      </c>
      <c r="QR3" s="1" t="str">
        <f t="shared" si="7"/>
        <v>Academic/Applied general qualifications progression score</v>
      </c>
      <c r="QS3" s="1" t="str">
        <f t="shared" si="7"/>
        <v>Number of pupils studying tech levels</v>
      </c>
      <c r="QT3" s="1" t="str">
        <f t="shared" si="7"/>
        <v>Tech level students who sustained L4+ destination</v>
      </c>
      <c r="QU3" s="1" t="str">
        <f t="shared" si="7"/>
        <v>Tech level national comparator</v>
      </c>
      <c r="QV3" s="1" t="str">
        <f t="shared" si="7"/>
        <v>Tech level progression score</v>
      </c>
      <c r="QW3" s="1" t="str">
        <f t="shared" si="7"/>
        <v>Number of pupils studying other level 3 qualifications</v>
      </c>
      <c r="QX3" s="1" t="str">
        <f t="shared" si="7"/>
        <v>Other level 3 students who sustained L4+ destination</v>
      </c>
      <c r="QY3" s="1" t="str">
        <f t="shared" si="7"/>
        <v>Other level 3 national comparator</v>
      </c>
      <c r="QZ3" s="1" t="str">
        <f t="shared" si="7"/>
        <v>Other level 3 progression score</v>
      </c>
      <c r="RA3" s="1" t="str">
        <f t="shared" si="7"/>
        <v>School URN</v>
      </c>
      <c r="RB3" s="1" t="str">
        <f t="shared" si="7"/>
        <v>School LAESTAB</v>
      </c>
      <c r="RC3" s="1" t="str">
        <f t="shared" si="7"/>
        <v>School Name</v>
      </c>
      <c r="RD3" s="1" t="str">
        <f t="shared" si="7"/>
        <v>School Type (higher education)</v>
      </c>
      <c r="RE3" s="1" t="str">
        <f t="shared" si="7"/>
        <v>Skills Index</v>
      </c>
      <c r="RF3" s="1" t="str">
        <f t="shared" si="7"/>
        <v>A level status</v>
      </c>
      <c r="RG3" s="1" t="str">
        <f t="shared" si="7"/>
        <v>Estimated value added</v>
      </c>
      <c r="RH3" s="1" t="str">
        <f t="shared" si="7"/>
        <v>Percentage contribution to total value added</v>
      </c>
      <c r="RI3" s="1" t="str">
        <f t="shared" si="7"/>
        <v>Value-added per learner index</v>
      </c>
      <c r="RJ3" s="1" t="str">
        <f t="shared" si="7"/>
        <v>Annual change in Skills Index</v>
      </c>
      <c r="RK3" s="1" t="str">
        <f t="shared" si="7"/>
        <v>Annual change in Value added per learner index</v>
      </c>
      <c r="RL3" s="1" t="str">
        <f t="shared" si="7"/>
        <v>Index of achiever numbers</v>
      </c>
      <c r="RM3" s="1" t="str">
        <f t="shared" si="7"/>
        <v>Higher education Entry Percentage by Age 25 (Overall)</v>
      </c>
      <c r="RN3" s="1" t="str">
        <f t="shared" si="7"/>
        <v>Higher education Entry Percentage by Age 25 (Females)</v>
      </c>
      <c r="RO3" s="1" t="str">
        <f t="shared" si="7"/>
        <v>Regional higher education Entry Percentage by Age 25 (Highest)</v>
      </c>
      <c r="RP3" s="1" t="str">
        <f t="shared" si="7"/>
        <v>Regional higher education Entry Percentage by Age 25 (Lowest)</v>
      </c>
      <c r="RQ3" s="1" t="str">
        <f t="shared" si="7"/>
        <v>Higher education Entry Percentage by Age 25 (First Degrees)</v>
      </c>
      <c r="RR3" s="1" t="str">
        <f t="shared" si="7"/>
        <v>Higher education Entry Percentage by Age 25 (Full Time)</v>
      </c>
      <c r="RS3" s="1" t="str">
        <f t="shared" si="7"/>
        <v>Age entered HE</v>
      </c>
      <c r="RT3" s="1" t="str">
        <f t="shared" si="7"/>
        <v>Entrants</v>
      </c>
      <c r="RU3" s="1" t="str">
        <f t="shared" si="7"/>
        <v>Entry percentage</v>
      </c>
      <c r="RV3" s="1" t="str">
        <f t="shared" si="7"/>
        <v>Age in Higher Education</v>
      </c>
      <c r="RW3" s="1" t="str">
        <f t="shared" si="7"/>
        <v>Cumulative entry percentage</v>
      </c>
      <c r="RX3" s="1" t="str">
        <f t="shared" si="7"/>
        <v>Mode</v>
      </c>
      <c r="RY3" s="1" t="str">
        <f t="shared" si="7"/>
        <v>Methodology</v>
      </c>
      <c r="RZ3" s="1" t="str">
        <f t="shared" si="7"/>
        <v>Level of degree</v>
      </c>
      <c r="SA3" s="1" t="str">
        <f t="shared" si="7"/>
        <v>Percentage with degree</v>
      </c>
      <c r="SB3" s="1" t="str">
        <f t="shared" si="7"/>
        <v>Years after graduation</v>
      </c>
      <c r="SC3" s="1" t="str">
        <f t="shared" si="7"/>
        <v>Mature</v>
      </c>
      <c r="SD3" s="1" t="str">
        <f t="shared" si="7"/>
        <v>Selective status</v>
      </c>
      <c r="SE3" s="1" t="str">
        <f t="shared" si="7"/>
        <v>Local area Higher education participation grouping</v>
      </c>
      <c r="SF3" s="1" t="str">
        <f t="shared" si="7"/>
        <v>Migration to university</v>
      </c>
      <c r="SG3" s="1" t="str">
        <f t="shared" si="7"/>
        <v>Migration from university</v>
      </c>
      <c r="SH3" s="1" t="str">
        <f t="shared" si="7"/>
        <v>Number of graduates</v>
      </c>
      <c r="SI3" s="1" t="str">
        <f t="shared" si="7"/>
        <v>Graduates included in outcomes calculation</v>
      </c>
      <c r="SJ3" s="1" t="str">
        <f t="shared" si="7"/>
        <v>Unmatched graduates</v>
      </c>
      <c r="SK3" s="1" t="str">
        <f t="shared" si="7"/>
        <v>Overseas graduates</v>
      </c>
      <c r="SL3" s="1" t="str">
        <f t="shared" si="7"/>
        <v>Number of matched graduates</v>
      </c>
      <c r="SM3" s="1" t="str">
        <f t="shared" si="7"/>
        <v>Proportion of graduates</v>
      </c>
      <c r="SN3" s="1" t="str">
        <f t="shared" si="7"/>
        <v>Activity not captured (Higher Education)</v>
      </c>
      <c r="SO3" s="1" t="str">
        <f t="shared" si="7"/>
        <v>No sustained destination</v>
      </c>
      <c r="SP3" s="1" t="str">
        <f t="shared" si="7"/>
        <v>Sustained employment only</v>
      </c>
      <c r="SQ3" s="1" t="str">
        <f t="shared" si="7"/>
        <v>Sustained employment with or without further study</v>
      </c>
      <c r="SR3" s="1" t="str">
        <f t="shared" si="7"/>
        <v>Sustained employment further study or both</v>
      </c>
      <c r="SS3" s="1" t="str">
        <f t="shared" si="7"/>
        <v>Further study with or without sustained employment</v>
      </c>
      <c r="ST3" s="1" t="str">
        <f t="shared" si="7"/>
        <v>Graduates included in earnings figures</v>
      </c>
      <c r="SU3" s="1" t="str">
        <f t="shared" si="7"/>
        <v>Lower quartile provider earnings</v>
      </c>
      <c r="SV3" s="1" t="str">
        <f t="shared" ref="SV3:VG3" si="8">IF(OR(SV2="No match",SV2="multiple"),SV1,SV2)</f>
        <v>Median earnings of graduates</v>
      </c>
      <c r="SW3" s="1" t="str">
        <f t="shared" si="8"/>
        <v>Upper quartile provider earnings</v>
      </c>
      <c r="SX3" s="1" t="str">
        <f t="shared" si="8"/>
        <v>Lower quartile of real term earnings of graduates</v>
      </c>
      <c r="SY3" s="1" t="str">
        <f t="shared" si="8"/>
        <v>Median real term earnings</v>
      </c>
      <c r="SZ3" s="1" t="str">
        <f t="shared" si="8"/>
        <v>Upper real term quartile of earnings of graduates</v>
      </c>
      <c r="TA3" s="1" t="str">
        <f t="shared" si="8"/>
        <v>Name of Country</v>
      </c>
      <c r="TB3" s="1" t="str">
        <f t="shared" si="8"/>
        <v>Domicile</v>
      </c>
      <c r="TC3" s="1" t="str">
        <f t="shared" si="8"/>
        <v>Median first degree graduate earnings five years after graduation</v>
      </c>
      <c r="TD3" s="1" t="str">
        <f t="shared" si="8"/>
        <v>Median level 7 (taught) postgraduate earnings five years after graduation</v>
      </c>
      <c r="TE3" s="1" t="str">
        <f t="shared" si="8"/>
        <v>Median level 8 postgraduate earnings five years after graduation</v>
      </c>
      <c r="TF3" s="1" t="str">
        <f t="shared" si="8"/>
        <v>First degree graduates in sustained employment, further study or both five years after graduation</v>
      </c>
      <c r="TG3" s="1" t="str">
        <f t="shared" si="8"/>
        <v>Level 7 (taught) postgraduates in sustained employment, further study or both five years after graduation</v>
      </c>
      <c r="TH3" s="1" t="str">
        <f t="shared" si="8"/>
        <v>Level 8 postgraduates in sustained employment, further study or both five years after graduation</v>
      </c>
      <c r="TI3" s="1" t="str">
        <f t="shared" si="8"/>
        <v>Graduate industry of employment one year after graduation</v>
      </c>
      <c r="TJ3" s="1" t="str">
        <f t="shared" si="8"/>
        <v>Graduate industry of employment three year after graduation</v>
      </c>
      <c r="TK3" s="1" t="str">
        <f t="shared" si="8"/>
        <v>Graduate industry of employment five year after graduation</v>
      </c>
      <c r="TL3" s="1" t="str">
        <f t="shared" si="8"/>
        <v>Qualification TR</v>
      </c>
      <c r="TM3" s="1" t="str">
        <f t="shared" si="8"/>
        <v>Count</v>
      </c>
      <c r="TN3" s="1" t="str">
        <f t="shared" si="8"/>
        <v>Higher Education, Industry section</v>
      </c>
      <c r="TO3" s="1" t="str">
        <f t="shared" si="8"/>
        <v>Number of graduates that studied in region</v>
      </c>
      <c r="TP3" s="1" t="str">
        <f t="shared" si="8"/>
        <v>Number of graduates currently living in region</v>
      </c>
      <c r="TQ3" s="1" t="str">
        <f t="shared" si="8"/>
        <v>Difference in number of graduates who studied in and are currently living in the region</v>
      </c>
      <c r="TR3" s="1" t="str">
        <f t="shared" si="8"/>
        <v>The difference as a proportion</v>
      </c>
      <c r="TS3" s="1" t="str">
        <f t="shared" si="8"/>
        <v>Number of providers for the combination of subject studied and industry</v>
      </c>
      <c r="TT3" s="1" t="str">
        <f t="shared" si="8"/>
        <v xml:space="preserve">Industry section group </v>
      </c>
      <c r="TU3" s="1" t="str">
        <f t="shared" si="8"/>
        <v>Number of providers with earnings data for male and female graduates</v>
      </c>
      <c r="TV3" s="1" t="str">
        <f t="shared" si="8"/>
        <v>Median provider median earnings</v>
      </c>
      <c r="TW3" s="1" t="str">
        <f t="shared" si="8"/>
        <v>Number of providers where female median earnings are lower than male median earnings</v>
      </c>
      <c r="TX3" s="1" t="str">
        <f t="shared" si="8"/>
        <v>Number of providers where female median earnings are equal to male median earnings</v>
      </c>
      <c r="TY3" s="1" t="str">
        <f t="shared" si="8"/>
        <v>Number of providers where female median earnings are higher than male median earnings</v>
      </c>
      <c r="TZ3" s="1" t="str">
        <f t="shared" si="8"/>
        <v>Proportion of included providers where female median earnings are lower than male median earnings</v>
      </c>
      <c r="UA3" s="1" t="str">
        <f t="shared" si="8"/>
        <v>Proportion of included providers where female median earnings are equal to male median earnings</v>
      </c>
      <c r="UB3" s="1" t="str">
        <f t="shared" si="8"/>
        <v>Proportion of included providers where female median earnings are higher than male median earnings</v>
      </c>
      <c r="UC3" s="1" t="str">
        <f t="shared" si="8"/>
        <v>Proportion of included providers where female median earnings were 15%+ greater than male median earnings</v>
      </c>
      <c r="UD3" s="1" t="str">
        <f t="shared" si="8"/>
        <v>Proportion of included providers where female median earnings were 5%-15% greater than male median earnings</v>
      </c>
      <c r="UE3" s="1" t="str">
        <f t="shared" si="8"/>
        <v>Proportion of included providers where the difference was less than 5%</v>
      </c>
      <c r="UF3" s="1" t="str">
        <f t="shared" si="8"/>
        <v>Proportion of included providers where female median earnings were 5%-15% lower than male median earnings</v>
      </c>
      <c r="UG3" s="1" t="str">
        <f t="shared" si="8"/>
        <v>Proportion of included providers where female median earnings were 15%+ lower than male median earnings</v>
      </c>
      <c r="UH3" s="1" t="str">
        <f t="shared" si="8"/>
        <v>Prior Attainment Band</v>
      </c>
      <c r="UI3" s="1" t="str">
        <f t="shared" si="8"/>
        <v>Maximum provider earnings</v>
      </c>
      <c r="UJ3" s="1" t="str">
        <f t="shared" si="8"/>
        <v>Proportion of providers in the prior attainment band</v>
      </c>
      <c r="UK3" s="1" t="str">
        <f t="shared" si="8"/>
        <v>Number of providers in the prior attainment band</v>
      </c>
      <c r="UL3" s="1" t="str">
        <f t="shared" si="8"/>
        <v>Minimum provider earnings</v>
      </c>
      <c r="UM3" s="1" t="str">
        <f t="shared" si="8"/>
        <v>Number of providers included for earnings</v>
      </c>
      <c r="UN3" s="1" t="str">
        <f t="shared" si="8"/>
        <v>Difference between maximum and minimum provider earnings</v>
      </c>
      <c r="UO3" s="1" t="str">
        <f t="shared" si="8"/>
        <v>Proportion of included institutions where adjusted earnings are more than 10% lower than raw median earnings</v>
      </c>
      <c r="UP3" s="1" t="str">
        <f t="shared" si="8"/>
        <v>Proportion of included institutions where adjusted earnings are more than 5% to 10% lower than raw median earnings</v>
      </c>
      <c r="UQ3" s="1" t="str">
        <f t="shared" si="8"/>
        <v>Proportion of included institutions where  adjusted earnings are within 5% of raw median earnings</v>
      </c>
      <c r="UR3" s="1" t="str">
        <f t="shared" si="8"/>
        <v>Proportion of included institutions where  adjusted earnings are more than 5% to 10% higher than raw median earnings</v>
      </c>
      <c r="US3" s="1" t="str">
        <f t="shared" si="8"/>
        <v>Proportion of included institutions where  adjusted earnings are more than 10% higher than raw median earnings</v>
      </c>
      <c r="UT3" s="1" t="str">
        <f t="shared" si="8"/>
        <v>Number of providers included for outcomes</v>
      </c>
      <c r="UU3" s="1" t="str">
        <f t="shared" si="8"/>
        <v>Minimum provider graduates in sustained employment further study or both</v>
      </c>
      <c r="UV3" s="1" t="str">
        <f t="shared" si="8"/>
        <v>Lower quartile provider graduates in sustained employment further study or both</v>
      </c>
      <c r="UW3" s="1" t="str">
        <f t="shared" si="8"/>
        <v>Median provider graduates in sustained employment further study or both</v>
      </c>
      <c r="UX3" s="1" t="str">
        <f t="shared" si="8"/>
        <v>Upper quartile provider graduates in sustained employment further study or both</v>
      </c>
      <c r="UY3" s="1" t="str">
        <f t="shared" si="8"/>
        <v>Maximum provider graduates in sustained employment further study or both</v>
      </c>
      <c r="UZ3" s="1" t="str">
        <f t="shared" si="8"/>
        <v>Difference between maximum and minimum provider graduates in sustained employment further study or both</v>
      </c>
      <c r="VA3" s="1" t="str">
        <f t="shared" si="8"/>
        <v>Number of providers with earnings data for 14/15 and 19/20 tax years</v>
      </c>
      <c r="VB3" s="1" t="str">
        <f t="shared" si="8"/>
        <v>Proportion of providers with 19/20 median earnings more than 5% lower than 14/15 median earnings</v>
      </c>
      <c r="VC3" s="1" t="str">
        <f t="shared" si="8"/>
        <v>Proportion of providers with 19/20 median earnings within 5% of the 14/15 median earnings</v>
      </c>
      <c r="VD3" s="1" t="str">
        <f t="shared" si="8"/>
        <v>Proportion of providers with 19/20 median earnings 5% to 10% greater than 14/15 median earnings</v>
      </c>
      <c r="VE3" s="1" t="str">
        <f t="shared" si="8"/>
        <v>Proportion of providers with 19/20 median earnings 10% to 20% greater than 14/15 median earnings</v>
      </c>
      <c r="VF3" s="1" t="str">
        <f t="shared" si="8"/>
        <v>Proportion of providers with 19/20 median earnings over 20% greater than 14/15 median earnings</v>
      </c>
      <c r="VG3" s="1" t="str">
        <f t="shared" si="8"/>
        <v>Higher education Progression Rate</v>
      </c>
      <c r="VH3" s="1" t="str">
        <f t="shared" ref="VH3:XS3" si="9">IF(OR(VH2="No match",VH2="multiple"),VH1,VH2)</f>
        <v>High Tariff HE Progression Rate (Free School Meals)</v>
      </c>
      <c r="VI3" s="1" t="str">
        <f t="shared" si="9"/>
        <v>High Tariff HE Progression Rate (Non-Free School Meals)</v>
      </c>
      <c r="VJ3" s="1" t="str">
        <f t="shared" si="9"/>
        <v>High Tariff HE Progression Rate</v>
      </c>
      <c r="VK3" s="1" t="str">
        <f t="shared" si="9"/>
        <v>Progression Rate Gap</v>
      </c>
      <c r="VL3" s="1" t="str">
        <f t="shared" si="9"/>
        <v>High Tariff Progression Rate Gap</v>
      </c>
      <c r="VM3" s="1" t="str">
        <f t="shared" si="9"/>
        <v>Number of higher education students</v>
      </c>
      <c r="VN3" s="1" t="str">
        <f t="shared" si="9"/>
        <v>Number of HE Students (High Tariff)</v>
      </c>
      <c r="VO3" s="1" t="str">
        <f t="shared" si="9"/>
        <v>Number of Pupils</v>
      </c>
      <c r="VP3" s="1" t="str">
        <f t="shared" si="9"/>
        <v>Higher education Progression Rate (Free School Meals gap)</v>
      </c>
      <c r="VQ3" s="1" t="str">
        <f t="shared" si="9"/>
        <v>High Tariff Higher Education Progression Rate (lowest ethnic group - White)</v>
      </c>
      <c r="VR3" s="1" t="str">
        <f t="shared" si="9"/>
        <v>Higher education Progression Rate (greatest increase - Black)</v>
      </c>
      <c r="VS3" s="1" t="str">
        <f t="shared" si="9"/>
        <v>Higher education progression rate (Female)</v>
      </c>
      <c r="VT3" s="1" t="str">
        <f t="shared" si="9"/>
        <v>Higher education Progression Rate (free school meals highest region – Inner London)</v>
      </c>
      <c r="VU3" s="1" t="str">
        <f t="shared" si="9"/>
        <v>Higher education Progression Rate (State)</v>
      </c>
      <c r="VV3" s="1" t="str">
        <f t="shared" si="9"/>
        <v>Higher education Progression Rate (Independent)</v>
      </c>
      <c r="VW3" s="1" t="str">
        <f t="shared" si="9"/>
        <v>High Tariff Higher Education Progression Rate (State)</v>
      </c>
      <c r="VX3" s="1" t="str">
        <f t="shared" si="9"/>
        <v>High Tariff Higher Education Progression Rate (Independent)</v>
      </c>
      <c r="VY3" s="1" t="str">
        <f t="shared" si="9"/>
        <v>Special educational needs status</v>
      </c>
      <c r="VZ3" s="1" t="str">
        <f t="shared" si="9"/>
        <v>Tariff Group</v>
      </c>
      <c r="WA3" s="1" t="str">
        <f t="shared" si="9"/>
        <v>Mean Tariff</v>
      </c>
      <c r="WB3" s="1" t="str">
        <f t="shared" si="9"/>
        <v>Teaching excellence framework Rating</v>
      </c>
      <c r="WC3" s="1" t="str">
        <f t="shared" si="9"/>
        <v>Percentage of higher education Students</v>
      </c>
      <c r="WD3" s="1" t="str">
        <f t="shared" si="9"/>
        <v>All achievements</v>
      </c>
      <c r="WE3" s="1" t="str">
        <f t="shared" si="9"/>
        <v>Type of higher Education level learning (broad)</v>
      </c>
      <c r="WF3" s="1" t="str">
        <f t="shared" si="9"/>
        <v>Percentage of all achievements</v>
      </c>
      <c r="WG3" s="1" t="str">
        <f t="shared" si="9"/>
        <v>Percentage of entrants</v>
      </c>
      <c r="WH3" s="1" t="str">
        <f t="shared" si="9"/>
        <v>Percentage of all enrolments</v>
      </c>
      <c r="WI3" s="1" t="str">
        <f t="shared" si="9"/>
        <v>Entrants to Level 4 in 2020/21</v>
      </c>
      <c r="WJ3" s="1" t="str">
        <f t="shared" si="9"/>
        <v>Entrants to Level 5 in 2020/21</v>
      </c>
      <c r="WK3" s="1" t="str">
        <f t="shared" si="9"/>
        <v>Entrants to Level 6 in 2020/21</v>
      </c>
      <c r="WL3" s="1" t="str">
        <f t="shared" si="9"/>
        <v>Entrants to Level 7 in 2020/21</v>
      </c>
      <c r="WM3" s="1" t="str">
        <f t="shared" si="9"/>
        <v>Entrants to Level 8 in 2020/21</v>
      </c>
      <c r="WN3" s="1" t="str">
        <f t="shared" si="9"/>
        <v>Percentage of higher-level entrants registered in Higher Education Providers (HEPs) in 2020/21</v>
      </c>
      <c r="WO3" s="1" t="str">
        <f t="shared" si="9"/>
        <v>Index of multiple deprivation quintile</v>
      </c>
      <c r="WP3" s="1" t="str">
        <f t="shared" si="9"/>
        <v>Funding</v>
      </c>
      <c r="WQ3" s="1" t="str">
        <f t="shared" si="9"/>
        <v>Provider category</v>
      </c>
      <c r="WR3" s="1" t="str">
        <f t="shared" si="9"/>
        <v>Common aggregation hierarchy subject first level grouping</v>
      </c>
      <c r="WS3" s="1" t="str">
        <f t="shared" si="9"/>
        <v>Common aggregation hierarchy subject second level grouping</v>
      </c>
      <c r="WT3" s="1" t="str">
        <f t="shared" si="9"/>
        <v>Technical route</v>
      </c>
      <c r="WU3" s="1" t="str">
        <f t="shared" si="9"/>
        <v>Graduate Characteristic</v>
      </c>
      <c r="WV3" s="1" t="str">
        <f t="shared" si="9"/>
        <v>Graduate Breakdown</v>
      </c>
      <c r="WW3" s="1" t="str">
        <f t="shared" si="9"/>
        <v>Graduate Type</v>
      </c>
      <c r="WX3" s="1" t="str">
        <f t="shared" si="9"/>
        <v xml:space="preserve">Graduate Age Group </v>
      </c>
      <c r="WY3" s="1" t="str">
        <f t="shared" si="9"/>
        <v>Graduate Employment Rate</v>
      </c>
      <c r="WZ3" s="1" t="str">
        <f t="shared" si="9"/>
        <v>Graduate High-Skilled Employment Rate</v>
      </c>
      <c r="XA3" s="1" t="str">
        <f t="shared" si="9"/>
        <v>Median Salary for Graduates (to the nearest £500)</v>
      </c>
      <c r="XB3" s="1" t="str">
        <f t="shared" si="9"/>
        <v>Median Salary Premium for Graduates over Non-graduates</v>
      </c>
      <c r="XC3" s="1" t="str">
        <f t="shared" si="9"/>
        <v>Employment Rate</v>
      </c>
      <c r="XD3" s="1" t="str">
        <f t="shared" si="9"/>
        <v>High-skilled Employment Rate</v>
      </c>
      <c r="XE3" s="1" t="str">
        <f t="shared" si="9"/>
        <v>Graduate Unemployment Rate</v>
      </c>
      <c r="XF3" s="1" t="str">
        <f t="shared" si="9"/>
        <v>Inactivity Rate</v>
      </c>
      <c r="XG3" s="1" t="str">
        <f t="shared" si="9"/>
        <v>Proportion Of Part Time Workers</v>
      </c>
      <c r="XH3" s="1" t="str">
        <f t="shared" si="9"/>
        <v>Employment  proportion</v>
      </c>
      <c r="XI3" s="1" t="str">
        <f t="shared" si="9"/>
        <v>Employment Rate Upper Bound</v>
      </c>
      <c r="XJ3" s="1" t="str">
        <f t="shared" si="9"/>
        <v>Employment Rate Lower Bound</v>
      </c>
      <c r="XK3" s="1" t="str">
        <f t="shared" si="9"/>
        <v>High-skilled Employment Proportion</v>
      </c>
      <c r="XL3" s="1" t="str">
        <f t="shared" si="9"/>
        <v>High-skilled Employment Rate Upper Bound</v>
      </c>
      <c r="XM3" s="1" t="str">
        <f t="shared" si="9"/>
        <v>High-skilled Employment Rate Lower Bound</v>
      </c>
      <c r="XN3" s="1" t="str">
        <f t="shared" si="9"/>
        <v>Unemployment proportion</v>
      </c>
      <c r="XO3" s="1" t="str">
        <f t="shared" si="9"/>
        <v>Unemployment Rate Upper Bound</v>
      </c>
      <c r="XP3" s="1" t="str">
        <f t="shared" si="9"/>
        <v>Unemployment Rate Lower Bound</v>
      </c>
      <c r="XQ3" s="1" t="str">
        <f t="shared" si="9"/>
        <v>total number of starts FY 2122</v>
      </c>
      <c r="XR3" s="1" t="str">
        <f t="shared" si="9"/>
        <v>number of heavy goods vehicle starts FY 2122</v>
      </c>
      <c r="XS3" s="1" t="str">
        <f t="shared" si="9"/>
        <v>number of non heavy goods vehicle starts FY 2122</v>
      </c>
      <c r="XT3" s="1" t="str">
        <f t="shared" ref="XT3:AAD3" si="10">IF(OR(XT2="No match",XT2="multiple"),XT1,XT2)</f>
        <v>qualification number</v>
      </c>
      <c r="XU3" s="1" t="str">
        <f t="shared" si="10"/>
        <v>GCSE</v>
      </c>
      <c r="XV3" s="1" t="str">
        <f t="shared" si="10"/>
        <v>SPD Percent</v>
      </c>
      <c r="XW3" s="1" t="str">
        <f t="shared" si="10"/>
        <v>Employment Percent</v>
      </c>
      <c r="XX3" s="1" t="str">
        <f t="shared" si="10"/>
        <v>Employment Only Percent</v>
      </c>
      <c r="XY3" s="1" t="str">
        <f t="shared" si="10"/>
        <v>Employment and learning percent</v>
      </c>
      <c r="XZ3" s="1" t="str">
        <f t="shared" si="10"/>
        <v>Learn only percent</v>
      </c>
      <c r="YA3" s="1" t="str">
        <f t="shared" si="10"/>
        <v>Higher Education Percent</v>
      </c>
      <c r="YB3" s="1" t="str">
        <f t="shared" si="10"/>
        <v>Further Education Percent</v>
      </c>
      <c r="YC3" s="1" t="str">
        <f t="shared" si="10"/>
        <v>Education Percent</v>
      </c>
      <c r="YD3" s="1" t="str">
        <f t="shared" si="10"/>
        <v>Wholesale retail percent</v>
      </c>
      <c r="YE3" s="1" t="str">
        <f t="shared" si="10"/>
        <v>public administration percent</v>
      </c>
      <c r="YF3" s="1" t="str">
        <f t="shared" si="10"/>
        <v>professional scientific technical percent</v>
      </c>
      <c r="YG3" s="1" t="str">
        <f t="shared" si="10"/>
        <v>transport percent</v>
      </c>
      <c r="YH3" s="1" t="str">
        <f t="shared" si="10"/>
        <v>agriculture percent</v>
      </c>
      <c r="YI3" s="1" t="str">
        <f t="shared" si="10"/>
        <v>health and social care percent</v>
      </c>
      <c r="YJ3" s="1" t="str">
        <f t="shared" si="10"/>
        <v>construction percent</v>
      </c>
      <c r="YK3" s="1" t="str">
        <f t="shared" si="10"/>
        <v>information and communication percent</v>
      </c>
      <c r="YL3" s="1" t="str">
        <f t="shared" si="10"/>
        <v>administration percent</v>
      </c>
      <c r="YM3" s="1" t="str">
        <f t="shared" si="10"/>
        <v>manufacturing percent</v>
      </c>
      <c r="YN3" s="1" t="str">
        <f t="shared" si="10"/>
        <v>real estate percent</v>
      </c>
      <c r="YO3" s="1" t="str">
        <f t="shared" si="10"/>
        <v>arts percent</v>
      </c>
      <c r="YP3" s="1" t="str">
        <f t="shared" si="10"/>
        <v>finance percent</v>
      </c>
      <c r="YQ3" s="1" t="str">
        <f t="shared" si="10"/>
        <v>hospitality percent</v>
      </c>
      <c r="YR3" s="1" t="str">
        <f t="shared" si="10"/>
        <v>other activities percent</v>
      </c>
      <c r="YS3" s="1" t="str">
        <f t="shared" si="10"/>
        <v>sector information not available percent</v>
      </c>
      <c r="YT3" s="1" t="str">
        <f t="shared" si="10"/>
        <v>science mathematics percent</v>
      </c>
      <c r="YU3" s="1" t="str">
        <f t="shared" si="10"/>
        <v>retail commercial percent</v>
      </c>
      <c r="YV3" s="1" t="str">
        <f t="shared" si="10"/>
        <v>history philosophy theology percent</v>
      </c>
      <c r="YW3" s="1" t="str">
        <f t="shared" si="10"/>
        <v>Information and communications technology percent</v>
      </c>
      <c r="YX3" s="1" t="str">
        <f t="shared" si="10"/>
        <v>social sciences percent</v>
      </c>
      <c r="YY3" s="1" t="str">
        <f t="shared" si="10"/>
        <v>leisure travel tourism percent</v>
      </c>
      <c r="YZ3" s="1" t="str">
        <f t="shared" si="10"/>
        <v>agriculture, horticulture animal care percent</v>
      </c>
      <c r="ZA3" s="1" t="str">
        <f t="shared" si="10"/>
        <v>language literature culture percent</v>
      </c>
      <c r="ZB3" s="1" t="str">
        <f t="shared" si="10"/>
        <v>business admin law percent</v>
      </c>
      <c r="ZC3" s="1" t="str">
        <f t="shared" si="10"/>
        <v>Engineering, manufacturing percent</v>
      </c>
      <c r="ZD3" s="1" t="str">
        <f t="shared" si="10"/>
        <v>arts, media, and publishing percent</v>
      </c>
      <c r="ZE3" s="1" t="str">
        <f t="shared" si="10"/>
        <v>health services care percent</v>
      </c>
      <c r="ZF3" s="1" t="str">
        <f t="shared" si="10"/>
        <v>life skills percent</v>
      </c>
      <c r="ZG3" s="1" t="str">
        <f t="shared" si="10"/>
        <v>subject information not available percent</v>
      </c>
      <c r="ZH3" s="1" t="str">
        <f t="shared" si="10"/>
        <v>sustained learning destination</v>
      </c>
      <c r="ZI3" s="1" t="str">
        <f t="shared" si="10"/>
        <v>Sector</v>
      </c>
      <c r="ZJ3" s="1" t="str">
        <f t="shared" si="10"/>
        <v>subsector</v>
      </c>
      <c r="ZK3" s="1" t="str">
        <f t="shared" si="10"/>
        <v>level group</v>
      </c>
      <c r="ZL3" s="1" t="str">
        <f t="shared" si="10"/>
        <v>qualification rank</v>
      </c>
      <c r="ZM3" s="1" t="str">
        <f t="shared" si="10"/>
        <v>Number of employees</v>
      </c>
      <c r="ZN3" s="1" t="str">
        <f t="shared" si="10"/>
        <v>pct qualification</v>
      </c>
      <c r="ZO3" s="1" t="str">
        <f t="shared" si="10"/>
        <v>pct subject</v>
      </c>
      <c r="ZP3" s="1" t="str">
        <f t="shared" si="10"/>
        <v>pct level</v>
      </c>
      <c r="ZQ3" s="1" t="str">
        <f t="shared" si="10"/>
        <v>pct subsector</v>
      </c>
      <c r="ZR3" s="1" t="str">
        <f t="shared" si="10"/>
        <v>pct sector</v>
      </c>
      <c r="ZS3" s="1" t="str">
        <f t="shared" si="10"/>
        <v>pct region</v>
      </c>
      <c r="ZT3" s="1" t="str">
        <f t="shared" si="10"/>
        <v>next qualification title</v>
      </c>
      <c r="ZU3" s="1" t="str">
        <f t="shared" si="10"/>
        <v>next level group</v>
      </c>
      <c r="ZV3" s="1" t="str">
        <f t="shared" si="10"/>
        <v>next subject</v>
      </c>
      <c r="ZW3" s="1" t="str">
        <f t="shared" si="10"/>
        <v>destination rank</v>
      </c>
      <c r="ZX3" s="1" t="str">
        <f t="shared" si="10"/>
        <v>pct employees</v>
      </c>
      <c r="ZY3" s="1" t="str">
        <f t="shared" si="10"/>
        <v>Employer Size</v>
      </c>
      <c r="ZZ3" s="1" t="str">
        <f t="shared" si="10"/>
        <v>Two Digit Sector</v>
      </c>
      <c r="AAA3" s="1" t="str">
        <f t="shared" si="10"/>
        <v>Index of Multiple deprivation</v>
      </c>
      <c r="AAB3" s="1" t="str">
        <f t="shared" si="10"/>
        <v>ents with apprenticeship starts per 1000</v>
      </c>
      <c r="AAC3" s="1" t="str">
        <f t="shared" si="10"/>
        <v>pct starts small and medium sized enterprises</v>
      </c>
      <c r="AAD3" s="1" t="str">
        <f t="shared" si="10"/>
        <v>Apprenticeship service account, levy upported</v>
      </c>
      <c r="AAE3" s="1" t="str">
        <f t="shared" ref="AAE3:ACN3" si="11">IF(OR(AAE2="No match",AAE2="multiple"),AAE1,AAE2)</f>
        <v>Size</v>
      </c>
      <c r="AAF3" s="1" t="str">
        <f t="shared" si="11"/>
        <v>Legal Status</v>
      </c>
      <c r="AAG3" s="1" t="str">
        <f t="shared" si="11"/>
        <v>Apprenticeship Service Account Levy Supported Starts</v>
      </c>
      <c r="AAH3" s="1" t="str">
        <f t="shared" si="11"/>
        <v>Number of Enterprises</v>
      </c>
      <c r="AAI3" s="1" t="str">
        <f t="shared" si="11"/>
        <v>Apprentices Per 1k Employees</v>
      </c>
      <c r="AAJ3" s="1" t="str">
        <f t="shared" si="11"/>
        <v>Enterprises With Apps Per 1k Entrants</v>
      </c>
      <c r="AAK3" s="1" t="str">
        <f t="shared" si="11"/>
        <v>number of participants reported</v>
      </c>
      <c r="AAL3" s="1" t="str">
        <f t="shared" si="11"/>
        <v>number completing</v>
      </c>
      <c r="AAM3" s="1" t="str">
        <f t="shared" si="11"/>
        <v>new opportunities</v>
      </c>
      <c r="AAN3" s="1" t="str">
        <f t="shared" si="11"/>
        <v>new responsibilities</v>
      </c>
      <c r="AAO3" s="1" t="str">
        <f t="shared" si="11"/>
        <v>new employment</v>
      </c>
      <c r="AAP3" s="1" t="str">
        <f t="shared" si="11"/>
        <v>new role</v>
      </c>
      <c r="AAQ3" s="1" t="str">
        <f t="shared" si="11"/>
        <v>no change</v>
      </c>
      <c r="AAR3" s="1" t="str">
        <f t="shared" si="11"/>
        <v>SPD</v>
      </c>
      <c r="AAS3" s="1" t="str">
        <f t="shared" si="11"/>
        <v>Employment</v>
      </c>
      <c r="AAT3" s="1" t="str">
        <f t="shared" si="11"/>
        <v>Self Employment</v>
      </c>
      <c r="AAU3" s="1" t="str">
        <f t="shared" si="11"/>
        <v>Learn</v>
      </c>
      <c r="AAV3" s="1" t="str">
        <f t="shared" si="11"/>
        <v>Learn Only</v>
      </c>
      <c r="AAW3" s="1" t="str">
        <f t="shared" si="11"/>
        <v>Below Level 2</v>
      </c>
      <c r="AAX3" s="1" t="str">
        <f t="shared" si="11"/>
        <v>English, maths</v>
      </c>
      <c r="AAY3" s="1" t="str">
        <f t="shared" si="11"/>
        <v>Level 2</v>
      </c>
      <c r="AAZ3" s="1" t="str">
        <f t="shared" si="11"/>
        <v>Full Level2</v>
      </c>
      <c r="ABA3" s="1" t="str">
        <f t="shared" si="11"/>
        <v>Full Level3</v>
      </c>
      <c r="ABB3" s="1" t="str">
        <f t="shared" si="11"/>
        <v>Level 4 Plus</v>
      </c>
      <c r="ABC3" s="1" t="str">
        <f t="shared" si="11"/>
        <v>Not Assigned</v>
      </c>
      <c r="ABD3" s="1" t="str">
        <f t="shared" si="11"/>
        <v>App</v>
      </c>
      <c r="ABE3" s="1" t="str">
        <f t="shared" si="11"/>
        <v>App Intermediate</v>
      </c>
      <c r="ABF3" s="1" t="str">
        <f t="shared" si="11"/>
        <v>App Advanced Plus</v>
      </c>
      <c r="ABG3" s="1" t="str">
        <f t="shared" si="11"/>
        <v>Any Learn</v>
      </c>
      <c r="ABH3" s="1" t="str">
        <f t="shared" si="11"/>
        <v>Not Sustained</v>
      </c>
      <c r="ABI3" s="1" t="str">
        <f t="shared" si="11"/>
        <v>Not Sustained NB</v>
      </c>
      <c r="ABJ3" s="1" t="str">
        <f t="shared" si="11"/>
        <v>Not Sustained Benefit</v>
      </c>
      <c r="ABK3" s="1" t="str">
        <f t="shared" si="11"/>
        <v>Benefits</v>
      </c>
      <c r="ABL3" s="1" t="str">
        <f t="shared" si="11"/>
        <v>No Destination</v>
      </c>
      <c r="ABM3" s="1" t="str">
        <f t="shared" si="11"/>
        <v>Single site or one of multiple sites within organisation</v>
      </c>
      <c r="ABN3" s="1" t="str">
        <f t="shared" si="11"/>
        <v>Establishment type</v>
      </c>
      <c r="ABO3" s="1" t="str">
        <f t="shared" si="11"/>
        <v>Number of establishments in population</v>
      </c>
      <c r="ABP3" s="1" t="str">
        <f t="shared" si="11"/>
        <v>Unweighted base of establishments with vacancies</v>
      </c>
      <c r="ABQ3" s="1" t="str">
        <f t="shared" si="11"/>
        <v>Number of establishments with at least one vacancy</v>
      </c>
      <c r="ABR3" s="1" t="str">
        <f t="shared" si="11"/>
        <v>Number of establishments with at least one hard-to-fill vacancy</v>
      </c>
      <c r="ABS3" s="1" t="str">
        <f t="shared" si="11"/>
        <v>Number of establishments with at least one skill-shortage vacancy</v>
      </c>
      <c r="ABT3" s="1" t="str">
        <f t="shared" si="11"/>
        <v>Number of establishments with at least one skill gap (i.e. 1+ employee not fully proficient)</v>
      </c>
      <c r="ABU3" s="1" t="str">
        <f t="shared" si="11"/>
        <v>Number of establishments that arranged or paid for any training in the past 12 months</v>
      </c>
      <c r="ABV3" s="1" t="str">
        <f t="shared" si="11"/>
        <v>Number of vacancies</v>
      </c>
      <c r="ABW3" s="1" t="str">
        <f t="shared" si="11"/>
        <v>Number of hard-to-fill vacancies</v>
      </c>
      <c r="ABX3" s="1" t="str">
        <f t="shared" si="11"/>
        <v>Number of skill-shortage vacancies</v>
      </c>
      <c r="ABY3" s="1" t="str">
        <f t="shared" si="11"/>
        <v>Number of skill gaps (employees not fully proficient)</v>
      </c>
      <c r="ABZ3" s="1" t="str">
        <f t="shared" si="11"/>
        <v>Number of employees trained in the past 12 months</v>
      </c>
      <c r="ACA3" s="1" t="str">
        <f t="shared" si="11"/>
        <v>Total number of training days for employees</v>
      </c>
      <c r="ACB3" s="1" t="str">
        <f t="shared" si="11"/>
        <v>Percentage of establishments with at least one vacancy</v>
      </c>
      <c r="ACC3" s="1" t="str">
        <f t="shared" si="11"/>
        <v>Percentage of establishments with at least one hard-to-fill vacancy</v>
      </c>
      <c r="ACD3" s="1" t="str">
        <f t="shared" si="11"/>
        <v>Percentage of establishments with at least one skill-shortage vacancy</v>
      </c>
      <c r="ACE3" s="1" t="str">
        <f t="shared" si="11"/>
        <v>Percentage of establishments with at least one  skill gap (i.e. 1+ employee not fully proficient)</v>
      </c>
      <c r="ACF3" s="1" t="str">
        <f t="shared" si="11"/>
        <v>Percentage of establishments that arranged or paid for any training in the past 12 months</v>
      </c>
      <c r="ACG3" s="1" t="str">
        <f t="shared" si="11"/>
        <v>Vacancy density (vacancies per 100 employees)</v>
      </c>
      <c r="ACH3" s="1" t="str">
        <f t="shared" si="11"/>
        <v>Hard-to-fill vacancy density (HtF vacancies as a share of vacancies)</v>
      </c>
      <c r="ACI3" s="1" t="str">
        <f t="shared" si="11"/>
        <v>Skill-shortage vacancy density (SSVs as a share of vacancies)</v>
      </c>
      <c r="ACJ3" s="1" t="str">
        <f t="shared" si="11"/>
        <v>Skill gap density (the proportion of employees judged not fully proficient)</v>
      </c>
      <c r="ACK3" s="1" t="str">
        <f t="shared" si="11"/>
        <v>Proportion of employees that received any training in the past 12 months</v>
      </c>
      <c r="ACL3" s="1" t="str">
        <f t="shared" si="11"/>
        <v>Average number of days training per employee</v>
      </c>
      <c r="ACM3" s="1" t="str">
        <f t="shared" si="11"/>
        <v>Average number of days training per trainee</v>
      </c>
      <c r="ACN3" s="1" t="str">
        <f t="shared" si="11"/>
        <v>Sample size in the Investment in Training follow-up survey</v>
      </c>
      <c r="ACO3" s="1" t="str">
        <f t="shared" ref="ACO3:ADU3" si="12">IF(OR(ACO2="No match",ACO2="multiple"),ACO1,ACO2)</f>
        <v>Investment in training per employee</v>
      </c>
      <c r="ACP3" s="1" t="str">
        <f t="shared" si="12"/>
        <v>Investment in training per trainee</v>
      </c>
      <c r="ACQ3" s="1" t="str">
        <f t="shared" si="12"/>
        <v>Total investment through off-the-job training</v>
      </c>
      <c r="ACR3" s="1" t="str">
        <f t="shared" si="12"/>
        <v>Total investment through on-the-job training</v>
      </c>
      <c r="ACS3" s="1" t="str">
        <f t="shared" si="12"/>
        <v>Total investment through all training</v>
      </c>
      <c r="ACT3" s="1" t="str">
        <f t="shared" si="12"/>
        <v>4 digit Standard Occupational Classification code and name  (SOC2010)</v>
      </c>
      <c r="ACU3" s="1" t="str">
        <f t="shared" si="12"/>
        <v>3 digit Standard Occupational Classification code and name  (SOC2010)</v>
      </c>
      <c r="ACV3" s="1" t="str">
        <f t="shared" si="12"/>
        <v>2 digit Standard Occupational Classification code and name (SOC2010)</v>
      </c>
      <c r="ACW3" s="1" t="str">
        <f t="shared" si="12"/>
        <v>1 digit Standard Occupational Classification code and name (SOC2010)</v>
      </c>
      <c r="ACX3" s="1" t="str">
        <f t="shared" si="12"/>
        <v>Number of establishments with at least one vacancy at the 4 digit Standard Occupational Classification level</v>
      </c>
      <c r="ACY3" s="1" t="str">
        <f t="shared" si="12"/>
        <v>Phase of education (UKEdTraining)</v>
      </c>
      <c r="ACZ3" s="1" t="str">
        <f t="shared" si="12"/>
        <v>Number of schools</v>
      </c>
      <c r="ADA3" s="1" t="str">
        <f t="shared" si="12"/>
        <v>Full-time equivalent number of teachers</v>
      </c>
      <c r="ADB3" s="1" t="str">
        <f t="shared" si="12"/>
        <v>Pupil-teacher ratio</v>
      </c>
      <c r="ADC3" s="1" t="str">
        <f t="shared" si="12"/>
        <v>Number of FE students</v>
      </c>
      <c r="ADD3" s="1" t="str">
        <f t="shared" si="12"/>
        <v>Number of institutions (UKEdTraining)</v>
      </c>
      <c r="ADE3" s="1" t="str">
        <f t="shared" si="12"/>
        <v>Total unemployed</v>
      </c>
      <c r="ADF3" s="1" t="str">
        <f t="shared" si="12"/>
        <v>Total economically inactive</v>
      </c>
      <c r="ADG3" s="1" t="str">
        <f t="shared" si="12"/>
        <v>Total people in relevant population group</v>
      </c>
      <c r="ADH3" s="1" t="str">
        <f t="shared" si="12"/>
        <v>People who were not in employment, education or training as a percentage of people in relevant population group</v>
      </c>
      <c r="ADI3" s="1" t="str">
        <f t="shared" si="12"/>
        <v>Total 19-64 year olds in the population (thousands)</v>
      </c>
      <c r="ADJ3" s="1" t="str">
        <f t="shared" si="12"/>
        <v>Percentage of population with their highest qualification as national qualification framework level 4 or above</v>
      </c>
      <c r="ADK3" s="1" t="str">
        <f t="shared" si="12"/>
        <v>Percentage of population with their highest qualification as national qualification framework level 3 or above</v>
      </c>
      <c r="ADL3" s="1" t="str">
        <f t="shared" si="12"/>
        <v>Percentage of population with their highest qualification as national qualification framework level 2 or above</v>
      </c>
      <c r="ADM3" s="1" t="str">
        <f t="shared" si="12"/>
        <v>Percentage of population with their highest qualification as Scottish Credit and Qualifications Framework level 7 or above</v>
      </c>
      <c r="ADN3" s="1" t="str">
        <f t="shared" si="12"/>
        <v>Percentage of population with their highest qualification as Scottish Credit and Qualifications Framework level 6 or above</v>
      </c>
      <c r="ADO3" s="1" t="str">
        <f t="shared" si="12"/>
        <v>Percentage of population with their highest qualification as Scottish Credit and Qualifications Framework level 5 or above</v>
      </c>
      <c r="ADP3" s="1" t="str">
        <f t="shared" si="12"/>
        <v>Education function</v>
      </c>
      <c r="ADQ3" s="1" t="str">
        <f t="shared" si="12"/>
        <v>Expenditure type</v>
      </c>
      <c r="ADR3" s="1" t="str">
        <f t="shared" si="12"/>
        <v>Expenditure level</v>
      </c>
      <c r="ADS3" s="1" t="str">
        <f t="shared" si="12"/>
        <v>Total expenditure (millions)</v>
      </c>
      <c r="ADT3" s="1" t="str">
        <f t="shared" si="12"/>
        <v>Total expenditure in real terms (millions)</v>
      </c>
      <c r="ADU3" s="1" t="str">
        <f t="shared" si="12"/>
        <v>Total expenditure as a percentage of GDP</v>
      </c>
    </row>
    <row r="4" spans="1:801" ht="145" hidden="1" x14ac:dyDescent="0.35">
      <c r="A4" s="1" t="s">
        <v>776</v>
      </c>
      <c r="B4" s="14" t="s">
        <v>24</v>
      </c>
      <c r="C4" s="1" t="str" cm="1">
        <f t="array" ref="C4">GetURL(B4)</f>
        <v>https://explore-education-statistics.service.gov.uk/find-statistics/apprenticeships-and-traineeships</v>
      </c>
      <c r="D4" s="1" t="s">
        <v>777</v>
      </c>
      <c r="E4" s="1" t="s">
        <v>778</v>
      </c>
      <c r="F4" s="1" t="s">
        <v>778</v>
      </c>
      <c r="G4" s="1" t="s">
        <v>778</v>
      </c>
      <c r="H4" s="1" t="s">
        <v>778</v>
      </c>
      <c r="I4" s="1" t="s">
        <v>778</v>
      </c>
      <c r="AK4" s="1" t="s">
        <v>778</v>
      </c>
      <c r="AR4" s="1" t="s">
        <v>778</v>
      </c>
      <c r="AT4" s="1" t="s">
        <v>778</v>
      </c>
      <c r="AY4" s="1" t="s">
        <v>778</v>
      </c>
      <c r="AZ4"/>
      <c r="BA4"/>
      <c r="BB4"/>
      <c r="BC4"/>
      <c r="BD4"/>
      <c r="BK4" s="1" t="s">
        <v>778</v>
      </c>
      <c r="BS4" s="1" t="s">
        <v>778</v>
      </c>
      <c r="BT4" s="1" t="s">
        <v>778</v>
      </c>
      <c r="CA4" s="1" t="s">
        <v>778</v>
      </c>
      <c r="CB4" s="1" t="s">
        <v>778</v>
      </c>
      <c r="CC4" s="1" t="s">
        <v>778</v>
      </c>
      <c r="CD4" s="1" t="s">
        <v>778</v>
      </c>
      <c r="CE4" s="1" t="s">
        <v>778</v>
      </c>
      <c r="CF4" s="1" t="s">
        <v>778</v>
      </c>
      <c r="FF4"/>
      <c r="FK4"/>
    </row>
    <row r="5" spans="1:801" ht="145" hidden="1" x14ac:dyDescent="0.35">
      <c r="A5" s="1" t="s">
        <v>776</v>
      </c>
      <c r="B5" s="14" t="s">
        <v>24</v>
      </c>
      <c r="C5" s="1" t="str" cm="1">
        <f t="array" ref="C5">GetURL(B5)</f>
        <v>https://explore-education-statistics.service.gov.uk/find-statistics/apprenticeships-and-traineeships</v>
      </c>
      <c r="D5" s="1" t="s">
        <v>779</v>
      </c>
      <c r="E5" s="1" t="s">
        <v>778</v>
      </c>
      <c r="F5" s="1" t="s">
        <v>778</v>
      </c>
      <c r="G5" s="1" t="s">
        <v>778</v>
      </c>
      <c r="H5" s="1" t="s">
        <v>778</v>
      </c>
      <c r="I5" s="1" t="s">
        <v>778</v>
      </c>
      <c r="AC5" s="1" t="s">
        <v>778</v>
      </c>
      <c r="AK5" s="1" t="s">
        <v>778</v>
      </c>
      <c r="AP5" s="1" t="s">
        <v>778</v>
      </c>
      <c r="AR5" s="1" t="s">
        <v>778</v>
      </c>
      <c r="AT5" s="1" t="s">
        <v>778</v>
      </c>
      <c r="AZ5" t="s">
        <v>778</v>
      </c>
      <c r="BA5"/>
      <c r="BB5"/>
      <c r="BC5"/>
      <c r="BD5" t="s">
        <v>778</v>
      </c>
      <c r="BO5" s="1" t="s">
        <v>778</v>
      </c>
      <c r="CA5" s="1" t="s">
        <v>778</v>
      </c>
      <c r="CB5" s="1" t="s">
        <v>778</v>
      </c>
      <c r="CC5" s="1" t="s">
        <v>778</v>
      </c>
      <c r="CD5" s="1" t="s">
        <v>778</v>
      </c>
      <c r="CE5" s="1" t="s">
        <v>778</v>
      </c>
      <c r="CF5" s="1" t="s">
        <v>778</v>
      </c>
      <c r="FF5"/>
      <c r="FK5"/>
    </row>
    <row r="6" spans="1:801" ht="145" hidden="1" x14ac:dyDescent="0.35">
      <c r="A6" s="1" t="s">
        <v>776</v>
      </c>
      <c r="B6" s="14" t="s">
        <v>24</v>
      </c>
      <c r="C6" s="1" t="str" cm="1">
        <f t="array" ref="C6">GetURL(B6)</f>
        <v>https://explore-education-statistics.service.gov.uk/find-statistics/apprenticeships-and-traineeships</v>
      </c>
      <c r="D6" s="1" t="s">
        <v>780</v>
      </c>
      <c r="E6" s="1" t="s">
        <v>778</v>
      </c>
      <c r="F6" s="1" t="s">
        <v>778</v>
      </c>
      <c r="G6" s="1" t="s">
        <v>778</v>
      </c>
      <c r="H6" s="1" t="s">
        <v>778</v>
      </c>
      <c r="I6" s="1" t="s">
        <v>778</v>
      </c>
      <c r="AK6" s="1" t="s">
        <v>778</v>
      </c>
      <c r="AR6" s="1" t="s">
        <v>778</v>
      </c>
      <c r="AT6" s="1" t="s">
        <v>778</v>
      </c>
      <c r="AZ6"/>
      <c r="BA6"/>
      <c r="BB6"/>
      <c r="BC6"/>
      <c r="BD6" t="s">
        <v>778</v>
      </c>
      <c r="CA6" s="1" t="s">
        <v>778</v>
      </c>
      <c r="CB6" s="1" t="s">
        <v>778</v>
      </c>
      <c r="CC6" s="1" t="s">
        <v>778</v>
      </c>
      <c r="CD6" s="1" t="s">
        <v>778</v>
      </c>
      <c r="CE6" s="1" t="s">
        <v>778</v>
      </c>
      <c r="CF6" s="1" t="s">
        <v>778</v>
      </c>
      <c r="FF6" t="s">
        <v>778</v>
      </c>
      <c r="FK6"/>
    </row>
    <row r="7" spans="1:801" ht="145" hidden="1" x14ac:dyDescent="0.35">
      <c r="A7" s="1" t="s">
        <v>776</v>
      </c>
      <c r="B7" s="14" t="s">
        <v>24</v>
      </c>
      <c r="C7" s="1" t="str" cm="1">
        <f t="array" ref="C7">GetURL(B7)</f>
        <v>https://explore-education-statistics.service.gov.uk/find-statistics/apprenticeships-and-traineeships</v>
      </c>
      <c r="D7" s="1" t="s">
        <v>781</v>
      </c>
      <c r="E7" s="1" t="s">
        <v>778</v>
      </c>
      <c r="F7" s="1" t="s">
        <v>778</v>
      </c>
      <c r="G7" s="1" t="s">
        <v>778</v>
      </c>
      <c r="H7" s="1" t="s">
        <v>778</v>
      </c>
      <c r="I7" s="1" t="s">
        <v>778</v>
      </c>
      <c r="AK7" s="1" t="s">
        <v>778</v>
      </c>
      <c r="AR7" s="1" t="s">
        <v>778</v>
      </c>
      <c r="AT7" s="1" t="s">
        <v>778</v>
      </c>
      <c r="AY7" s="1" t="s">
        <v>778</v>
      </c>
      <c r="BK7" s="1" t="s">
        <v>778</v>
      </c>
      <c r="BS7" s="1" t="s">
        <v>778</v>
      </c>
      <c r="BT7" s="1" t="s">
        <v>778</v>
      </c>
      <c r="CA7" s="1" t="s">
        <v>778</v>
      </c>
      <c r="CB7" s="1" t="s">
        <v>778</v>
      </c>
    </row>
    <row r="8" spans="1:801" ht="145" hidden="1" x14ac:dyDescent="0.35">
      <c r="A8" s="1" t="s">
        <v>776</v>
      </c>
      <c r="B8" s="14" t="s">
        <v>24</v>
      </c>
      <c r="C8" s="1" t="str" cm="1">
        <f t="array" ref="C8">GetURL(B8)</f>
        <v>https://explore-education-statistics.service.gov.uk/find-statistics/apprenticeships-and-traineeships</v>
      </c>
      <c r="D8" s="1" t="s">
        <v>782</v>
      </c>
      <c r="E8" s="1" t="s">
        <v>778</v>
      </c>
      <c r="F8" s="1" t="s">
        <v>778</v>
      </c>
      <c r="G8" s="1" t="s">
        <v>778</v>
      </c>
      <c r="H8" s="1" t="s">
        <v>778</v>
      </c>
      <c r="AC8" s="1" t="s">
        <v>778</v>
      </c>
      <c r="AK8" s="1" t="s">
        <v>778</v>
      </c>
      <c r="AP8" s="1" t="s">
        <v>778</v>
      </c>
      <c r="AR8" s="1" t="s">
        <v>778</v>
      </c>
      <c r="AT8" s="1" t="s">
        <v>778</v>
      </c>
      <c r="AZ8" s="1" t="s">
        <v>778</v>
      </c>
      <c r="BD8" s="1" t="s">
        <v>778</v>
      </c>
      <c r="BO8" s="1" t="s">
        <v>778</v>
      </c>
      <c r="CA8" s="1" t="s">
        <v>778</v>
      </c>
      <c r="CB8" s="1" t="s">
        <v>778</v>
      </c>
      <c r="CC8" s="1" t="s">
        <v>778</v>
      </c>
      <c r="CD8" s="1" t="s">
        <v>778</v>
      </c>
      <c r="CE8" s="1" t="s">
        <v>778</v>
      </c>
      <c r="CF8" s="1" t="s">
        <v>778</v>
      </c>
    </row>
    <row r="9" spans="1:801" ht="145" hidden="1" x14ac:dyDescent="0.35">
      <c r="A9" s="1" t="s">
        <v>776</v>
      </c>
      <c r="B9" s="14" t="s">
        <v>24</v>
      </c>
      <c r="C9" s="1" t="str" cm="1">
        <f t="array" ref="C9">GetURL(B9)</f>
        <v>https://explore-education-statistics.service.gov.uk/find-statistics/apprenticeships-and-traineeships</v>
      </c>
      <c r="D9" s="1" t="s">
        <v>783</v>
      </c>
      <c r="E9" s="1" t="s">
        <v>778</v>
      </c>
      <c r="F9" s="1" t="s">
        <v>778</v>
      </c>
      <c r="G9" s="1" t="s">
        <v>778</v>
      </c>
      <c r="H9" s="1" t="s">
        <v>778</v>
      </c>
      <c r="I9" s="1" t="s">
        <v>778</v>
      </c>
      <c r="AK9" s="1" t="s">
        <v>778</v>
      </c>
      <c r="AR9" s="1" t="s">
        <v>778</v>
      </c>
      <c r="AT9" s="1" t="s">
        <v>778</v>
      </c>
      <c r="BD9" s="1" t="s">
        <v>778</v>
      </c>
      <c r="CA9" s="1" t="s">
        <v>778</v>
      </c>
      <c r="CB9" s="1" t="s">
        <v>778</v>
      </c>
      <c r="CC9" s="1" t="s">
        <v>778</v>
      </c>
      <c r="CD9" s="1" t="s">
        <v>778</v>
      </c>
      <c r="CE9" s="1" t="s">
        <v>778</v>
      </c>
      <c r="CF9" s="1" t="s">
        <v>778</v>
      </c>
      <c r="FF9" s="1" t="s">
        <v>778</v>
      </c>
    </row>
    <row r="10" spans="1:801" ht="145" hidden="1" x14ac:dyDescent="0.35">
      <c r="A10" s="1" t="s">
        <v>776</v>
      </c>
      <c r="B10" s="14" t="s">
        <v>24</v>
      </c>
      <c r="C10" s="1" t="str" cm="1">
        <f t="array" ref="C10">GetURL(B10)</f>
        <v>https://explore-education-statistics.service.gov.uk/find-statistics/apprenticeships-and-traineeships</v>
      </c>
      <c r="D10" s="1" t="s">
        <v>784</v>
      </c>
      <c r="E10" s="1" t="s">
        <v>778</v>
      </c>
      <c r="F10" s="1" t="s">
        <v>778</v>
      </c>
      <c r="G10" s="1" t="s">
        <v>778</v>
      </c>
      <c r="H10" s="1" t="s">
        <v>778</v>
      </c>
      <c r="I10" s="1" t="s">
        <v>778</v>
      </c>
      <c r="AC10" s="1" t="s">
        <v>778</v>
      </c>
      <c r="AK10" s="1" t="s">
        <v>778</v>
      </c>
      <c r="AR10" s="1" t="s">
        <v>778</v>
      </c>
      <c r="AT10" s="1" t="s">
        <v>778</v>
      </c>
      <c r="BD10" s="1" t="s">
        <v>778</v>
      </c>
      <c r="CA10" s="1" t="s">
        <v>778</v>
      </c>
      <c r="CB10" s="1" t="s">
        <v>778</v>
      </c>
      <c r="CC10" s="1" t="s">
        <v>778</v>
      </c>
      <c r="CD10" s="1" t="s">
        <v>778</v>
      </c>
      <c r="CE10" s="1" t="s">
        <v>778</v>
      </c>
      <c r="CF10" s="1" t="s">
        <v>778</v>
      </c>
      <c r="FG10" s="1" t="s">
        <v>778</v>
      </c>
      <c r="FH10" s="1" t="s">
        <v>778</v>
      </c>
    </row>
    <row r="11" spans="1:801" ht="145" hidden="1" x14ac:dyDescent="0.35">
      <c r="A11" s="1" t="s">
        <v>776</v>
      </c>
      <c r="B11" s="14" t="s">
        <v>24</v>
      </c>
      <c r="C11" s="1" t="str" cm="1">
        <f t="array" ref="C11">GetURL(B11)</f>
        <v>https://explore-education-statistics.service.gov.uk/find-statistics/apprenticeships-and-traineeships</v>
      </c>
      <c r="D11" s="1" t="s">
        <v>785</v>
      </c>
      <c r="E11" s="1" t="s">
        <v>778</v>
      </c>
      <c r="F11" s="1" t="s">
        <v>778</v>
      </c>
      <c r="G11" s="1" t="s">
        <v>778</v>
      </c>
      <c r="H11" s="1" t="s">
        <v>778</v>
      </c>
      <c r="I11" s="1" t="s">
        <v>778</v>
      </c>
      <c r="AC11" s="1" t="s">
        <v>778</v>
      </c>
      <c r="AD11" s="1" t="s">
        <v>778</v>
      </c>
      <c r="AK11" s="1" t="s">
        <v>778</v>
      </c>
      <c r="AP11" s="1" t="s">
        <v>778</v>
      </c>
      <c r="AR11" s="1" t="s">
        <v>778</v>
      </c>
      <c r="AT11" s="1" t="s">
        <v>778</v>
      </c>
      <c r="AZ11" s="1" t="s">
        <v>786</v>
      </c>
      <c r="BD11" s="1" t="s">
        <v>786</v>
      </c>
      <c r="BE11" s="1" t="s">
        <v>778</v>
      </c>
      <c r="CA11" s="1" t="s">
        <v>778</v>
      </c>
      <c r="CB11" s="1" t="s">
        <v>778</v>
      </c>
      <c r="CC11" s="1" t="s">
        <v>778</v>
      </c>
      <c r="CD11" s="1" t="s">
        <v>778</v>
      </c>
      <c r="CE11" s="1" t="s">
        <v>778</v>
      </c>
      <c r="CF11" s="1" t="s">
        <v>778</v>
      </c>
      <c r="FJ11" s="1" t="s">
        <v>778</v>
      </c>
    </row>
    <row r="12" spans="1:801" ht="145" hidden="1" x14ac:dyDescent="0.35">
      <c r="A12" s="1" t="s">
        <v>776</v>
      </c>
      <c r="B12" s="14" t="s">
        <v>24</v>
      </c>
      <c r="C12" s="1" t="str" cm="1">
        <f t="array" ref="C12">GetURL(B12)</f>
        <v>https://explore-education-statistics.service.gov.uk/find-statistics/apprenticeships-and-traineeships</v>
      </c>
      <c r="D12" s="1" t="s">
        <v>787</v>
      </c>
      <c r="E12" s="1" t="s">
        <v>778</v>
      </c>
      <c r="F12" s="1" t="s">
        <v>778</v>
      </c>
      <c r="G12" s="1" t="s">
        <v>778</v>
      </c>
      <c r="H12" s="1" t="s">
        <v>778</v>
      </c>
      <c r="I12" s="1" t="s">
        <v>778</v>
      </c>
      <c r="AK12" s="1" t="s">
        <v>778</v>
      </c>
      <c r="AP12" s="1" t="s">
        <v>778</v>
      </c>
      <c r="AZ12" s="1" t="s">
        <v>778</v>
      </c>
      <c r="BD12" s="1" t="s">
        <v>778</v>
      </c>
      <c r="CA12" s="1" t="s">
        <v>778</v>
      </c>
      <c r="CB12" s="1" t="s">
        <v>778</v>
      </c>
      <c r="CC12" s="1" t="s">
        <v>778</v>
      </c>
      <c r="CD12" s="1" t="s">
        <v>778</v>
      </c>
      <c r="CE12" s="1" t="s">
        <v>778</v>
      </c>
      <c r="CF12" s="1" t="s">
        <v>778</v>
      </c>
    </row>
    <row r="13" spans="1:801" ht="145" hidden="1" x14ac:dyDescent="0.35">
      <c r="A13" s="1" t="s">
        <v>776</v>
      </c>
      <c r="B13" s="14" t="s">
        <v>24</v>
      </c>
      <c r="C13" s="1" t="str" cm="1">
        <f t="array" ref="C13">GetURL(B13)</f>
        <v>https://explore-education-statistics.service.gov.uk/find-statistics/apprenticeships-and-traineeships</v>
      </c>
      <c r="D13" s="1" t="s">
        <v>788</v>
      </c>
      <c r="E13" s="1" t="s">
        <v>778</v>
      </c>
      <c r="F13" s="1" t="s">
        <v>778</v>
      </c>
      <c r="G13" s="1" t="s">
        <v>778</v>
      </c>
      <c r="H13" s="1" t="s">
        <v>778</v>
      </c>
      <c r="I13" s="1" t="s">
        <v>778</v>
      </c>
      <c r="AK13" s="1" t="s">
        <v>778</v>
      </c>
      <c r="CG13" s="1" t="s">
        <v>778</v>
      </c>
      <c r="CH13" s="1" t="s">
        <v>778</v>
      </c>
      <c r="CI13" s="1" t="s">
        <v>778</v>
      </c>
    </row>
    <row r="14" spans="1:801" ht="145" hidden="1" x14ac:dyDescent="0.35">
      <c r="A14" s="1" t="s">
        <v>776</v>
      </c>
      <c r="B14" s="14" t="s">
        <v>24</v>
      </c>
      <c r="C14" s="1" t="str" cm="1">
        <f t="array" ref="C14">GetURL(B14)</f>
        <v>https://explore-education-statistics.service.gov.uk/find-statistics/apprenticeships-and-traineeships</v>
      </c>
      <c r="D14" s="1" t="s">
        <v>789</v>
      </c>
      <c r="E14" s="1" t="s">
        <v>778</v>
      </c>
      <c r="F14" s="1" t="s">
        <v>778</v>
      </c>
      <c r="G14" s="1" t="s">
        <v>778</v>
      </c>
      <c r="H14" s="1" t="s">
        <v>778</v>
      </c>
      <c r="I14" s="1" t="s">
        <v>778</v>
      </c>
      <c r="AK14" s="1" t="s">
        <v>778</v>
      </c>
      <c r="AT14" s="1" t="s">
        <v>778</v>
      </c>
      <c r="CJ14" s="1" t="s">
        <v>778</v>
      </c>
      <c r="CK14" s="1" t="s">
        <v>778</v>
      </c>
      <c r="CR14" s="1" t="s">
        <v>778</v>
      </c>
      <c r="CS14" s="1" t="s">
        <v>778</v>
      </c>
      <c r="CT14" s="1" t="s">
        <v>778</v>
      </c>
      <c r="CU14" s="1" t="s">
        <v>778</v>
      </c>
    </row>
    <row r="15" spans="1:801" ht="145" hidden="1" x14ac:dyDescent="0.35">
      <c r="A15" s="1" t="s">
        <v>776</v>
      </c>
      <c r="B15" s="14" t="s">
        <v>24</v>
      </c>
      <c r="C15" s="1" t="str" cm="1">
        <f t="array" ref="C15">GetURL(B15)</f>
        <v>https://explore-education-statistics.service.gov.uk/find-statistics/apprenticeships-and-traineeships</v>
      </c>
      <c r="D15" s="1" t="s">
        <v>790</v>
      </c>
      <c r="E15" s="1" t="s">
        <v>778</v>
      </c>
      <c r="F15" s="1" t="s">
        <v>778</v>
      </c>
      <c r="G15" s="1" t="s">
        <v>778</v>
      </c>
      <c r="H15" s="1" t="s">
        <v>778</v>
      </c>
      <c r="I15" s="1" t="s">
        <v>778</v>
      </c>
      <c r="AU15" s="1" t="s">
        <v>778</v>
      </c>
      <c r="CV15" s="1" t="s">
        <v>778</v>
      </c>
      <c r="CW15" s="1" t="s">
        <v>778</v>
      </c>
      <c r="CX15" s="1" t="s">
        <v>778</v>
      </c>
      <c r="CY15" s="1" t="s">
        <v>778</v>
      </c>
      <c r="CZ15" s="1" t="s">
        <v>778</v>
      </c>
      <c r="EH15" s="1" t="s">
        <v>778</v>
      </c>
    </row>
    <row r="16" spans="1:801" ht="145" hidden="1" x14ac:dyDescent="0.35">
      <c r="A16" s="1" t="s">
        <v>776</v>
      </c>
      <c r="B16" s="14" t="s">
        <v>24</v>
      </c>
      <c r="C16" s="1" t="str" cm="1">
        <f t="array" ref="C16">GetURL(B16)</f>
        <v>https://explore-education-statistics.service.gov.uk/find-statistics/apprenticeships-and-traineeships</v>
      </c>
      <c r="D16" s="1" t="s">
        <v>791</v>
      </c>
      <c r="E16" s="1" t="s">
        <v>778</v>
      </c>
      <c r="F16" s="1" t="s">
        <v>778</v>
      </c>
      <c r="G16" s="1" t="s">
        <v>778</v>
      </c>
      <c r="H16" s="1" t="s">
        <v>778</v>
      </c>
      <c r="I16" s="1" t="s">
        <v>778</v>
      </c>
      <c r="J16" s="1" t="s">
        <v>778</v>
      </c>
      <c r="K16" s="1" t="s">
        <v>778</v>
      </c>
      <c r="L16" s="1" t="s">
        <v>778</v>
      </c>
      <c r="M16" s="1" t="s">
        <v>778</v>
      </c>
      <c r="N16" s="1" t="s">
        <v>778</v>
      </c>
      <c r="Q16" s="1" t="s">
        <v>778</v>
      </c>
      <c r="R16" s="1" t="s">
        <v>778</v>
      </c>
      <c r="AJ16" s="1" t="s">
        <v>778</v>
      </c>
      <c r="CZ16" s="1" t="s">
        <v>778</v>
      </c>
    </row>
    <row r="17" spans="1:185" ht="145" hidden="1" x14ac:dyDescent="0.35">
      <c r="A17" s="1" t="s">
        <v>776</v>
      </c>
      <c r="B17" s="14" t="s">
        <v>24</v>
      </c>
      <c r="C17" s="1" t="str" cm="1">
        <f t="array" ref="C17">GetURL(B17)</f>
        <v>https://explore-education-statistics.service.gov.uk/find-statistics/apprenticeships-and-traineeships</v>
      </c>
      <c r="D17" s="1" t="s">
        <v>792</v>
      </c>
      <c r="E17" s="1" t="s">
        <v>778</v>
      </c>
      <c r="F17" s="1" t="s">
        <v>778</v>
      </c>
      <c r="G17" s="1" t="s">
        <v>778</v>
      </c>
      <c r="H17" s="1" t="s">
        <v>778</v>
      </c>
      <c r="I17" s="1" t="s">
        <v>778</v>
      </c>
      <c r="O17" s="1" t="s">
        <v>778</v>
      </c>
      <c r="P17" s="1" t="s">
        <v>778</v>
      </c>
      <c r="Q17" s="1" t="s">
        <v>778</v>
      </c>
      <c r="R17" s="1" t="s">
        <v>778</v>
      </c>
      <c r="AT17" s="1" t="s">
        <v>778</v>
      </c>
      <c r="AY17" s="1" t="s">
        <v>778</v>
      </c>
      <c r="CZ17" s="1" t="s">
        <v>778</v>
      </c>
      <c r="DF17" s="1" t="s">
        <v>778</v>
      </c>
      <c r="DP17" s="1" t="s">
        <v>778</v>
      </c>
      <c r="EG17" s="1" t="s">
        <v>778</v>
      </c>
    </row>
    <row r="18" spans="1:185" ht="145" hidden="1" x14ac:dyDescent="0.35">
      <c r="A18" s="1" t="s">
        <v>776</v>
      </c>
      <c r="B18" s="14" t="s">
        <v>24</v>
      </c>
      <c r="C18" s="1" t="str" cm="1">
        <f t="array" ref="C18">GetURL(B18)</f>
        <v>https://explore-education-statistics.service.gov.uk/find-statistics/apprenticeships-and-traineeships</v>
      </c>
      <c r="D18" s="1" t="s">
        <v>793</v>
      </c>
      <c r="E18" s="1" t="s">
        <v>778</v>
      </c>
      <c r="F18" s="1" t="s">
        <v>778</v>
      </c>
      <c r="G18" s="1" t="s">
        <v>778</v>
      </c>
      <c r="H18" s="1" t="s">
        <v>778</v>
      </c>
      <c r="I18" s="1" t="s">
        <v>778</v>
      </c>
      <c r="Y18" s="1" t="s">
        <v>778</v>
      </c>
      <c r="Z18" s="1" t="s">
        <v>778</v>
      </c>
      <c r="AA18" s="1" t="s">
        <v>778</v>
      </c>
      <c r="AB18" s="1" t="s">
        <v>778</v>
      </c>
      <c r="AU18" s="1" t="s">
        <v>778</v>
      </c>
      <c r="AY18" s="1" t="s">
        <v>778</v>
      </c>
      <c r="BF18" s="1" t="s">
        <v>778</v>
      </c>
      <c r="BT18" s="1" t="s">
        <v>778</v>
      </c>
      <c r="CZ18" s="1" t="s">
        <v>778</v>
      </c>
      <c r="DF18" s="1" t="s">
        <v>778</v>
      </c>
      <c r="EG18" s="1" t="s">
        <v>778</v>
      </c>
    </row>
    <row r="19" spans="1:185" ht="145" hidden="1" x14ac:dyDescent="0.35">
      <c r="A19" s="1" t="s">
        <v>776</v>
      </c>
      <c r="B19" s="14" t="s">
        <v>24</v>
      </c>
      <c r="C19" s="1" t="str" cm="1">
        <f t="array" ref="C19">GetURL(B19)</f>
        <v>https://explore-education-statistics.service.gov.uk/find-statistics/apprenticeships-and-traineeships</v>
      </c>
      <c r="D19" s="1" t="s">
        <v>794</v>
      </c>
      <c r="E19" s="1" t="s">
        <v>778</v>
      </c>
      <c r="F19" s="1" t="s">
        <v>778</v>
      </c>
      <c r="G19" s="1" t="s">
        <v>778</v>
      </c>
      <c r="H19" s="1" t="s">
        <v>778</v>
      </c>
      <c r="I19" s="1" t="s">
        <v>778</v>
      </c>
      <c r="J19" s="1" t="s">
        <v>778</v>
      </c>
      <c r="K19" s="1" t="s">
        <v>778</v>
      </c>
      <c r="L19" s="1" t="s">
        <v>778</v>
      </c>
      <c r="M19" s="1" t="s">
        <v>778</v>
      </c>
      <c r="N19" s="1" t="s">
        <v>778</v>
      </c>
      <c r="O19" s="1" t="s">
        <v>778</v>
      </c>
      <c r="Q19" s="1" t="s">
        <v>778</v>
      </c>
      <c r="R19" s="1" t="s">
        <v>778</v>
      </c>
      <c r="AT19" s="1" t="s">
        <v>778</v>
      </c>
      <c r="CZ19" s="1" t="s">
        <v>778</v>
      </c>
      <c r="DB19" s="1" t="s">
        <v>778</v>
      </c>
      <c r="DF19" s="1" t="s">
        <v>778</v>
      </c>
      <c r="DH19" s="1" t="s">
        <v>778</v>
      </c>
      <c r="DP19" s="1" t="s">
        <v>778</v>
      </c>
      <c r="DV19" s="1" t="s">
        <v>778</v>
      </c>
      <c r="EG19" s="1" t="s">
        <v>778</v>
      </c>
    </row>
    <row r="20" spans="1:185" ht="145" hidden="1" x14ac:dyDescent="0.35">
      <c r="A20" s="1" t="s">
        <v>776</v>
      </c>
      <c r="B20" s="14" t="s">
        <v>24</v>
      </c>
      <c r="C20" s="1" t="str" cm="1">
        <f t="array" ref="C20">GetURL(B20)</f>
        <v>https://explore-education-statistics.service.gov.uk/find-statistics/apprenticeships-and-traineeships</v>
      </c>
      <c r="D20" s="1" t="s">
        <v>795</v>
      </c>
      <c r="E20" s="1" t="s">
        <v>778</v>
      </c>
      <c r="F20" s="1" t="s">
        <v>778</v>
      </c>
      <c r="G20" s="1" t="s">
        <v>778</v>
      </c>
      <c r="H20" s="1" t="s">
        <v>778</v>
      </c>
      <c r="I20" s="1" t="s">
        <v>778</v>
      </c>
      <c r="J20" s="1" t="s">
        <v>778</v>
      </c>
      <c r="K20" s="1" t="s">
        <v>778</v>
      </c>
      <c r="O20" s="1" t="s">
        <v>778</v>
      </c>
      <c r="P20" s="1" t="s">
        <v>778</v>
      </c>
      <c r="AY20" s="1" t="s">
        <v>778</v>
      </c>
      <c r="BF20" s="1" t="s">
        <v>778</v>
      </c>
      <c r="BT20" s="1" t="s">
        <v>778</v>
      </c>
      <c r="CZ20" s="1" t="s">
        <v>778</v>
      </c>
      <c r="DF20" s="1" t="s">
        <v>778</v>
      </c>
      <c r="EG20" s="1" t="s">
        <v>778</v>
      </c>
    </row>
    <row r="21" spans="1:185" ht="145" hidden="1" x14ac:dyDescent="0.35">
      <c r="A21" s="1" t="s">
        <v>776</v>
      </c>
      <c r="B21" s="14" t="s">
        <v>24</v>
      </c>
      <c r="C21" s="1" t="str" cm="1">
        <f t="array" ref="C21">GetURL(B21)</f>
        <v>https://explore-education-statistics.service.gov.uk/find-statistics/apprenticeships-and-traineeships</v>
      </c>
      <c r="D21" s="1" t="s">
        <v>796</v>
      </c>
      <c r="E21" s="1" t="s">
        <v>778</v>
      </c>
      <c r="F21" s="1" t="s">
        <v>778</v>
      </c>
      <c r="G21" s="1" t="s">
        <v>778</v>
      </c>
      <c r="H21" s="1" t="s">
        <v>778</v>
      </c>
      <c r="I21" s="1" t="s">
        <v>778</v>
      </c>
      <c r="J21" s="1" t="s">
        <v>778</v>
      </c>
      <c r="K21" s="1" t="s">
        <v>778</v>
      </c>
      <c r="AK21" s="1" t="s">
        <v>778</v>
      </c>
      <c r="AR21" s="1" t="s">
        <v>778</v>
      </c>
      <c r="AT21" s="1" t="s">
        <v>778</v>
      </c>
      <c r="CZ21" s="1" t="s">
        <v>778</v>
      </c>
      <c r="DC21" s="1" t="s">
        <v>778</v>
      </c>
      <c r="DD21" s="1" t="s">
        <v>778</v>
      </c>
      <c r="DF21" s="1" t="s">
        <v>778</v>
      </c>
      <c r="DJ21" s="1" t="s">
        <v>778</v>
      </c>
      <c r="DK21" s="1" t="s">
        <v>778</v>
      </c>
      <c r="DP21" s="1" t="s">
        <v>778</v>
      </c>
      <c r="FF21" s="1" t="s">
        <v>778</v>
      </c>
      <c r="FJ21" s="1" t="s">
        <v>778</v>
      </c>
    </row>
    <row r="22" spans="1:185" ht="145" hidden="1" x14ac:dyDescent="0.35">
      <c r="A22" s="1" t="s">
        <v>776</v>
      </c>
      <c r="B22" s="14" t="s">
        <v>24</v>
      </c>
      <c r="C22" s="1" t="str" cm="1">
        <f t="array" ref="C22">GetURL(B22)</f>
        <v>https://explore-education-statistics.service.gov.uk/find-statistics/apprenticeships-and-traineeships</v>
      </c>
      <c r="D22" s="1" t="s">
        <v>797</v>
      </c>
      <c r="E22" s="1" t="s">
        <v>778</v>
      </c>
      <c r="F22" s="1" t="s">
        <v>778</v>
      </c>
      <c r="G22" s="1" t="s">
        <v>778</v>
      </c>
      <c r="H22" s="1" t="s">
        <v>778</v>
      </c>
      <c r="I22" s="1" t="s">
        <v>778</v>
      </c>
      <c r="J22" s="1" t="s">
        <v>778</v>
      </c>
      <c r="K22" s="1" t="s">
        <v>778</v>
      </c>
      <c r="AK22" s="1" t="s">
        <v>778</v>
      </c>
      <c r="AR22" s="1" t="s">
        <v>778</v>
      </c>
      <c r="AT22" s="1" t="s">
        <v>778</v>
      </c>
      <c r="CZ22" s="1" t="s">
        <v>778</v>
      </c>
      <c r="DC22" s="1" t="s">
        <v>778</v>
      </c>
      <c r="DD22" s="1" t="s">
        <v>778</v>
      </c>
      <c r="DF22" s="1" t="s">
        <v>778</v>
      </c>
      <c r="DJ22" s="1" t="s">
        <v>778</v>
      </c>
      <c r="DK22" s="1" t="s">
        <v>778</v>
      </c>
      <c r="DP22" s="1" t="s">
        <v>778</v>
      </c>
      <c r="FF22" s="1" t="s">
        <v>778</v>
      </c>
      <c r="FJ22" s="1" t="s">
        <v>778</v>
      </c>
    </row>
    <row r="23" spans="1:185" ht="145" hidden="1" x14ac:dyDescent="0.35">
      <c r="A23" s="1" t="s">
        <v>776</v>
      </c>
      <c r="B23" s="14" t="s">
        <v>24</v>
      </c>
      <c r="C23" s="1" t="str" cm="1">
        <f t="array" ref="C23">GetURL(B23)</f>
        <v>https://explore-education-statistics.service.gov.uk/find-statistics/apprenticeships-and-traineeships</v>
      </c>
      <c r="D23" s="1" t="s">
        <v>798</v>
      </c>
      <c r="E23" s="1" t="s">
        <v>778</v>
      </c>
      <c r="F23" s="1" t="s">
        <v>778</v>
      </c>
      <c r="G23" s="1" t="s">
        <v>778</v>
      </c>
      <c r="H23" s="1" t="s">
        <v>778</v>
      </c>
      <c r="I23" s="1" t="s">
        <v>778</v>
      </c>
      <c r="AR23" s="1" t="s">
        <v>778</v>
      </c>
      <c r="AU23" s="1" t="s">
        <v>778</v>
      </c>
      <c r="BO23" s="1" t="s">
        <v>778</v>
      </c>
      <c r="DP23" s="1" t="s">
        <v>778</v>
      </c>
      <c r="EO23" s="1" t="s">
        <v>778</v>
      </c>
      <c r="EP23" s="1" t="s">
        <v>778</v>
      </c>
      <c r="FE23" s="1" t="s">
        <v>778</v>
      </c>
    </row>
    <row r="24" spans="1:185" ht="145" hidden="1" x14ac:dyDescent="0.35">
      <c r="A24" s="1" t="s">
        <v>776</v>
      </c>
      <c r="B24" s="14" t="s">
        <v>24</v>
      </c>
      <c r="C24" s="1" t="str" cm="1">
        <f t="array" ref="C24">GetURL(B24)</f>
        <v>https://explore-education-statistics.service.gov.uk/find-statistics/apprenticeships-and-traineeships</v>
      </c>
      <c r="D24" s="1" t="s">
        <v>799</v>
      </c>
      <c r="E24" s="1" t="s">
        <v>778</v>
      </c>
      <c r="F24" s="1" t="s">
        <v>778</v>
      </c>
      <c r="G24" s="1" t="s">
        <v>778</v>
      </c>
      <c r="H24" s="1" t="s">
        <v>778</v>
      </c>
      <c r="I24" s="1" t="s">
        <v>778</v>
      </c>
      <c r="AR24" s="1" t="s">
        <v>778</v>
      </c>
      <c r="AU24" s="1" t="s">
        <v>778</v>
      </c>
      <c r="BF24" s="1" t="s">
        <v>778</v>
      </c>
      <c r="BO24" s="1" t="s">
        <v>778</v>
      </c>
      <c r="CZ24" s="1" t="s">
        <v>778</v>
      </c>
      <c r="DF24" s="1" t="s">
        <v>778</v>
      </c>
      <c r="EH24" s="1" t="s">
        <v>778</v>
      </c>
    </row>
    <row r="25" spans="1:185" ht="145" hidden="1" x14ac:dyDescent="0.35">
      <c r="A25" s="1" t="s">
        <v>776</v>
      </c>
      <c r="B25" s="14" t="s">
        <v>24</v>
      </c>
      <c r="C25" s="1" t="str" cm="1">
        <f t="array" ref="C25">GetURL(B25)</f>
        <v>https://explore-education-statistics.service.gov.uk/find-statistics/apprenticeships-and-traineeships</v>
      </c>
      <c r="D25" s="2" t="s">
        <v>800</v>
      </c>
      <c r="E25" s="1" t="s">
        <v>778</v>
      </c>
      <c r="F25" s="1" t="s">
        <v>778</v>
      </c>
      <c r="G25" s="1" t="s">
        <v>778</v>
      </c>
      <c r="H25" s="1" t="s">
        <v>778</v>
      </c>
      <c r="I25" s="1" t="s">
        <v>778</v>
      </c>
      <c r="J25" s="1" t="s">
        <v>778</v>
      </c>
      <c r="K25" s="1" t="s">
        <v>778</v>
      </c>
      <c r="AK25" s="1" t="s">
        <v>778</v>
      </c>
      <c r="AR25" s="1" t="s">
        <v>778</v>
      </c>
      <c r="AT25" s="1" t="s">
        <v>778</v>
      </c>
      <c r="CZ25" s="1" t="s">
        <v>778</v>
      </c>
      <c r="DC25" s="1" t="s">
        <v>778</v>
      </c>
      <c r="DD25" s="1" t="s">
        <v>778</v>
      </c>
      <c r="DF25" s="1" t="s">
        <v>778</v>
      </c>
      <c r="DJ25" s="1" t="s">
        <v>778</v>
      </c>
      <c r="DK25" s="1" t="s">
        <v>778</v>
      </c>
      <c r="DP25" s="1" t="s">
        <v>778</v>
      </c>
      <c r="FF25" s="1" t="s">
        <v>778</v>
      </c>
      <c r="FJ25" s="1" t="s">
        <v>778</v>
      </c>
    </row>
    <row r="26" spans="1:185" ht="145" hidden="1" x14ac:dyDescent="0.35">
      <c r="A26" s="1" t="s">
        <v>776</v>
      </c>
      <c r="B26" s="14" t="s">
        <v>24</v>
      </c>
      <c r="C26" s="1" t="str" cm="1">
        <f t="array" ref="C26">GetURL(B26)</f>
        <v>https://explore-education-statistics.service.gov.uk/find-statistics/apprenticeships-and-traineeships</v>
      </c>
      <c r="D26" s="1" t="s">
        <v>801</v>
      </c>
      <c r="E26" s="1" t="s">
        <v>778</v>
      </c>
      <c r="F26" s="1" t="s">
        <v>778</v>
      </c>
      <c r="G26" s="1" t="s">
        <v>778</v>
      </c>
      <c r="H26" s="1" t="s">
        <v>778</v>
      </c>
      <c r="I26" s="1" t="s">
        <v>778</v>
      </c>
      <c r="AR26" s="1" t="s">
        <v>778</v>
      </c>
      <c r="AU26" s="1" t="s">
        <v>778</v>
      </c>
      <c r="BO26" s="1" t="s">
        <v>778</v>
      </c>
      <c r="DP26" s="1" t="s">
        <v>778</v>
      </c>
      <c r="EO26" s="1" t="s">
        <v>778</v>
      </c>
      <c r="EP26" s="1" t="s">
        <v>778</v>
      </c>
      <c r="FE26" s="1" t="s">
        <v>778</v>
      </c>
    </row>
    <row r="27" spans="1:185" ht="145" hidden="1" x14ac:dyDescent="0.35">
      <c r="A27" s="1" t="s">
        <v>776</v>
      </c>
      <c r="B27" s="14" t="s">
        <v>24</v>
      </c>
      <c r="C27" s="1" t="str" cm="1">
        <f t="array" ref="C27">GetURL(B27)</f>
        <v>https://explore-education-statistics.service.gov.uk/find-statistics/apprenticeships-and-traineeships</v>
      </c>
      <c r="D27" s="1" t="s">
        <v>802</v>
      </c>
      <c r="E27" s="1" t="s">
        <v>778</v>
      </c>
      <c r="F27" s="1" t="s">
        <v>778</v>
      </c>
      <c r="G27" s="1" t="s">
        <v>778</v>
      </c>
      <c r="H27" s="1" t="s">
        <v>778</v>
      </c>
      <c r="I27" s="1" t="s">
        <v>778</v>
      </c>
      <c r="AK27" s="1" t="s">
        <v>778</v>
      </c>
      <c r="AR27" s="1" t="s">
        <v>778</v>
      </c>
      <c r="AU27" s="1" t="s">
        <v>778</v>
      </c>
      <c r="AY27" s="1" t="s">
        <v>778</v>
      </c>
      <c r="BK27" s="1" t="s">
        <v>778</v>
      </c>
      <c r="BS27" s="1" t="s">
        <v>778</v>
      </c>
      <c r="BT27" s="1" t="s">
        <v>778</v>
      </c>
      <c r="BU27" s="1" t="s">
        <v>778</v>
      </c>
      <c r="CZ27" s="1" t="s">
        <v>778</v>
      </c>
      <c r="DF27" s="1" t="s">
        <v>778</v>
      </c>
      <c r="DP27" s="1" t="s">
        <v>778</v>
      </c>
    </row>
    <row r="28" spans="1:185" ht="145" hidden="1" x14ac:dyDescent="0.35">
      <c r="A28" s="1" t="s">
        <v>776</v>
      </c>
      <c r="B28" s="14" t="s">
        <v>24</v>
      </c>
      <c r="C28" s="1" t="str" cm="1">
        <f t="array" ref="C28">GetURL(B28)</f>
        <v>https://explore-education-statistics.service.gov.uk/find-statistics/apprenticeships-and-traineeships</v>
      </c>
      <c r="D28" s="1" t="s">
        <v>803</v>
      </c>
      <c r="E28" s="1" t="s">
        <v>778</v>
      </c>
      <c r="F28" s="1" t="s">
        <v>778</v>
      </c>
      <c r="G28" s="1" t="s">
        <v>778</v>
      </c>
      <c r="H28" s="1" t="s">
        <v>778</v>
      </c>
      <c r="I28" s="1" t="s">
        <v>778</v>
      </c>
      <c r="AN28" s="1" t="s">
        <v>778</v>
      </c>
      <c r="AO28" s="1" t="s">
        <v>778</v>
      </c>
      <c r="CZ28" s="1" t="s">
        <v>778</v>
      </c>
      <c r="DA28" s="1" t="s">
        <v>778</v>
      </c>
      <c r="DF28" s="1" t="s">
        <v>778</v>
      </c>
      <c r="DI28" s="1" t="s">
        <v>778</v>
      </c>
    </row>
    <row r="29" spans="1:185" ht="145" hidden="1" x14ac:dyDescent="0.35">
      <c r="A29" s="1" t="s">
        <v>776</v>
      </c>
      <c r="B29" s="14" t="s">
        <v>24</v>
      </c>
      <c r="C29" s="1" t="str" cm="1">
        <f t="array" ref="C29">GetURL(B29)</f>
        <v>https://explore-education-statistics.service.gov.uk/find-statistics/apprenticeships-and-traineeships</v>
      </c>
      <c r="D29" s="1" t="s">
        <v>804</v>
      </c>
      <c r="E29" s="1" t="s">
        <v>778</v>
      </c>
      <c r="F29" s="1" t="s">
        <v>778</v>
      </c>
      <c r="G29" s="1" t="s">
        <v>778</v>
      </c>
      <c r="H29" s="1" t="s">
        <v>778</v>
      </c>
      <c r="I29" s="1" t="s">
        <v>778</v>
      </c>
      <c r="AK29" s="1" t="s">
        <v>778</v>
      </c>
      <c r="AR29" s="1" t="s">
        <v>778</v>
      </c>
      <c r="AU29" s="1" t="s">
        <v>778</v>
      </c>
      <c r="BK29" s="1" t="s">
        <v>778</v>
      </c>
      <c r="BL29" s="1" t="s">
        <v>778</v>
      </c>
      <c r="BS29" s="1" t="s">
        <v>778</v>
      </c>
      <c r="CZ29" s="1" t="s">
        <v>778</v>
      </c>
      <c r="DF29" s="1" t="s">
        <v>778</v>
      </c>
      <c r="DP29" s="1" t="s">
        <v>778</v>
      </c>
    </row>
    <row r="30" spans="1:185" ht="145" hidden="1" x14ac:dyDescent="0.35">
      <c r="A30" s="1" t="s">
        <v>776</v>
      </c>
      <c r="B30" s="14" t="s">
        <v>24</v>
      </c>
      <c r="C30" s="1" t="str" cm="1">
        <f t="array" ref="C30">GetURL(B30)</f>
        <v>https://explore-education-statistics.service.gov.uk/find-statistics/apprenticeships-and-traineeships</v>
      </c>
      <c r="D30" s="1" t="s">
        <v>805</v>
      </c>
      <c r="E30" s="1" t="s">
        <v>778</v>
      </c>
      <c r="F30" s="1" t="s">
        <v>778</v>
      </c>
      <c r="G30" s="1" t="s">
        <v>778</v>
      </c>
      <c r="H30" s="1" t="s">
        <v>778</v>
      </c>
      <c r="I30" s="1" t="s">
        <v>778</v>
      </c>
      <c r="AC30" s="1" t="s">
        <v>778</v>
      </c>
      <c r="AK30" s="1" t="s">
        <v>778</v>
      </c>
      <c r="AU30" s="1" t="s">
        <v>778</v>
      </c>
      <c r="CK30" s="1" t="s">
        <v>778</v>
      </c>
      <c r="CZ30" s="1" t="s">
        <v>778</v>
      </c>
      <c r="FJ30" s="1" t="s">
        <v>778</v>
      </c>
    </row>
    <row r="31" spans="1:185" ht="145" hidden="1" x14ac:dyDescent="0.35">
      <c r="A31" s="1" t="s">
        <v>776</v>
      </c>
      <c r="B31" s="14" t="s">
        <v>24</v>
      </c>
      <c r="C31" s="1" t="str" cm="1">
        <f t="array" ref="C31">GetURL(B31)</f>
        <v>https://explore-education-statistics.service.gov.uk/find-statistics/apprenticeships-and-traineeships</v>
      </c>
      <c r="D31" s="1" t="s">
        <v>806</v>
      </c>
      <c r="E31" s="1" t="s">
        <v>778</v>
      </c>
      <c r="F31" s="1" t="s">
        <v>778</v>
      </c>
      <c r="G31" s="1" t="s">
        <v>778</v>
      </c>
      <c r="H31" s="1" t="s">
        <v>778</v>
      </c>
      <c r="I31" s="1" t="s">
        <v>778</v>
      </c>
      <c r="BF31" s="1" t="s">
        <v>778</v>
      </c>
      <c r="CZ31" s="1" t="s">
        <v>778</v>
      </c>
      <c r="DF31" s="1" t="s">
        <v>778</v>
      </c>
      <c r="EG31" s="1" t="s">
        <v>778</v>
      </c>
      <c r="FG31" s="1" t="s">
        <v>778</v>
      </c>
      <c r="FH31" s="1" t="s">
        <v>778</v>
      </c>
    </row>
    <row r="32" spans="1:185" ht="145" hidden="1" x14ac:dyDescent="0.35">
      <c r="A32" s="1" t="s">
        <v>776</v>
      </c>
      <c r="B32" s="14" t="s">
        <v>24</v>
      </c>
      <c r="C32" s="1" t="str" cm="1">
        <f t="array" ref="C32">GetURL(B32)</f>
        <v>https://explore-education-statistics.service.gov.uk/find-statistics/apprenticeships-and-traineeships</v>
      </c>
      <c r="D32" s="1" t="s">
        <v>807</v>
      </c>
      <c r="E32" s="1" t="s">
        <v>778</v>
      </c>
      <c r="F32" s="1" t="s">
        <v>778</v>
      </c>
      <c r="G32" s="1" t="s">
        <v>778</v>
      </c>
      <c r="H32" s="1" t="s">
        <v>778</v>
      </c>
      <c r="I32" s="1" t="s">
        <v>778</v>
      </c>
      <c r="FK32" s="1" t="s">
        <v>778</v>
      </c>
      <c r="FL32" s="1" t="s">
        <v>778</v>
      </c>
      <c r="FM32" s="1" t="s">
        <v>778</v>
      </c>
      <c r="FR32" s="1" t="s">
        <v>778</v>
      </c>
      <c r="FS32" s="1" t="s">
        <v>778</v>
      </c>
      <c r="FT32" s="1" t="s">
        <v>778</v>
      </c>
      <c r="FU32" s="1" t="s">
        <v>778</v>
      </c>
      <c r="FV32" s="1" t="s">
        <v>778</v>
      </c>
      <c r="FW32" s="1" t="s">
        <v>778</v>
      </c>
      <c r="FX32" s="1" t="s">
        <v>778</v>
      </c>
      <c r="FY32" s="1" t="s">
        <v>778</v>
      </c>
      <c r="FZ32" s="1" t="s">
        <v>778</v>
      </c>
      <c r="GA32" s="1" t="s">
        <v>778</v>
      </c>
      <c r="GB32" s="1" t="s">
        <v>778</v>
      </c>
      <c r="GC32" s="1" t="s">
        <v>778</v>
      </c>
    </row>
    <row r="33" spans="1:201" ht="145" hidden="1" x14ac:dyDescent="0.35">
      <c r="A33" s="1" t="s">
        <v>776</v>
      </c>
      <c r="B33" s="14" t="s">
        <v>24</v>
      </c>
      <c r="C33" s="1" t="str" cm="1">
        <f t="array" ref="C33">GetURL(B33)</f>
        <v>https://explore-education-statistics.service.gov.uk/find-statistics/apprenticeships-and-traineeships</v>
      </c>
      <c r="D33" s="1" t="s">
        <v>808</v>
      </c>
      <c r="E33" s="1" t="s">
        <v>778</v>
      </c>
      <c r="F33" s="1" t="s">
        <v>778</v>
      </c>
      <c r="G33" s="1" t="s">
        <v>778</v>
      </c>
      <c r="H33" s="1" t="s">
        <v>778</v>
      </c>
      <c r="I33" s="1" t="s">
        <v>778</v>
      </c>
      <c r="AJ33" s="1" t="s">
        <v>778</v>
      </c>
      <c r="AT33" s="1" t="s">
        <v>778</v>
      </c>
      <c r="CG33" s="1" t="s">
        <v>778</v>
      </c>
      <c r="EG33" s="1" t="s">
        <v>778</v>
      </c>
      <c r="GD33" s="1" t="s">
        <v>778</v>
      </c>
    </row>
    <row r="34" spans="1:201" ht="145" hidden="1" x14ac:dyDescent="0.35">
      <c r="A34" s="1" t="s">
        <v>776</v>
      </c>
      <c r="B34" s="14" t="s">
        <v>24</v>
      </c>
      <c r="C34" s="1" t="str" cm="1">
        <f t="array" ref="C34">GetURL(B34)</f>
        <v>https://explore-education-statistics.service.gov.uk/find-statistics/apprenticeships-and-traineeships</v>
      </c>
      <c r="D34" s="1" t="s">
        <v>809</v>
      </c>
      <c r="E34" s="1" t="s">
        <v>778</v>
      </c>
      <c r="F34" s="1" t="s">
        <v>778</v>
      </c>
      <c r="G34" s="1" t="s">
        <v>778</v>
      </c>
      <c r="H34" s="1" t="s">
        <v>778</v>
      </c>
      <c r="I34" s="1" t="s">
        <v>778</v>
      </c>
      <c r="AC34" s="1" t="s">
        <v>778</v>
      </c>
      <c r="BF34" s="1" t="s">
        <v>778</v>
      </c>
      <c r="BG34" s="1" t="s">
        <v>778</v>
      </c>
      <c r="CZ34" s="1" t="s">
        <v>778</v>
      </c>
      <c r="DA34" s="1" t="s">
        <v>778</v>
      </c>
      <c r="DF34" s="1" t="s">
        <v>778</v>
      </c>
      <c r="DI34" s="1" t="s">
        <v>778</v>
      </c>
    </row>
    <row r="35" spans="1:201" ht="145" hidden="1" x14ac:dyDescent="0.35">
      <c r="A35" s="1" t="s">
        <v>776</v>
      </c>
      <c r="B35" s="14" t="s">
        <v>24</v>
      </c>
      <c r="C35" s="1" t="str" cm="1">
        <f t="array" ref="C35">GetURL(B35)</f>
        <v>https://explore-education-statistics.service.gov.uk/find-statistics/apprenticeships-and-traineeships</v>
      </c>
      <c r="D35" s="1" t="s">
        <v>810</v>
      </c>
      <c r="E35" s="1" t="s">
        <v>778</v>
      </c>
      <c r="F35" s="1" t="s">
        <v>778</v>
      </c>
      <c r="G35" s="1" t="s">
        <v>778</v>
      </c>
      <c r="H35" s="1" t="s">
        <v>778</v>
      </c>
      <c r="I35" s="1" t="s">
        <v>778</v>
      </c>
      <c r="AR35" s="1" t="s">
        <v>778</v>
      </c>
      <c r="AU35" s="1" t="s">
        <v>778</v>
      </c>
      <c r="AY35" s="1" t="s">
        <v>778</v>
      </c>
      <c r="BK35" s="1" t="s">
        <v>778</v>
      </c>
      <c r="CZ35" s="1" t="s">
        <v>778</v>
      </c>
      <c r="DF35" s="1" t="s">
        <v>778</v>
      </c>
      <c r="EG35" s="1" t="s">
        <v>778</v>
      </c>
      <c r="FJ35" s="1" t="s">
        <v>778</v>
      </c>
    </row>
    <row r="36" spans="1:201" ht="145" hidden="1" x14ac:dyDescent="0.35">
      <c r="A36" s="1" t="s">
        <v>776</v>
      </c>
      <c r="B36" s="14" t="s">
        <v>24</v>
      </c>
      <c r="C36" s="1" t="str" cm="1">
        <f t="array" ref="C36">GetURL(B36)</f>
        <v>https://explore-education-statistics.service.gov.uk/find-statistics/apprenticeships-and-traineeships</v>
      </c>
      <c r="D36" s="1" t="s">
        <v>811</v>
      </c>
      <c r="E36" s="1" t="s">
        <v>778</v>
      </c>
      <c r="F36" s="1" t="s">
        <v>778</v>
      </c>
      <c r="G36" s="1" t="s">
        <v>778</v>
      </c>
      <c r="H36" s="1" t="s">
        <v>778</v>
      </c>
      <c r="I36" s="1" t="s">
        <v>778</v>
      </c>
      <c r="AC36" s="1" t="s">
        <v>778</v>
      </c>
      <c r="AG36" s="1" t="s">
        <v>778</v>
      </c>
      <c r="AI36" s="1" t="s">
        <v>778</v>
      </c>
      <c r="BF36" s="1" t="s">
        <v>778</v>
      </c>
      <c r="CZ36" s="1" t="s">
        <v>778</v>
      </c>
      <c r="DF36" s="1" t="s">
        <v>778</v>
      </c>
      <c r="EH36" s="1" t="s">
        <v>778</v>
      </c>
      <c r="GI36" s="1" t="s">
        <v>778</v>
      </c>
    </row>
    <row r="37" spans="1:201" ht="145" hidden="1" x14ac:dyDescent="0.35">
      <c r="A37" s="1" t="s">
        <v>776</v>
      </c>
      <c r="B37" s="14" t="s">
        <v>24</v>
      </c>
      <c r="C37" s="1" t="str" cm="1">
        <f t="array" ref="C37">GetURL(B37)</f>
        <v>https://explore-education-statistics.service.gov.uk/find-statistics/apprenticeships-and-traineeships</v>
      </c>
      <c r="D37" s="1" t="s">
        <v>812</v>
      </c>
      <c r="E37" s="1" t="s">
        <v>778</v>
      </c>
      <c r="F37" s="1" t="s">
        <v>778</v>
      </c>
      <c r="G37" s="1" t="s">
        <v>778</v>
      </c>
      <c r="H37" s="1" t="s">
        <v>778</v>
      </c>
      <c r="I37" s="1" t="s">
        <v>778</v>
      </c>
      <c r="AC37" s="1" t="s">
        <v>778</v>
      </c>
      <c r="AZ37" s="1" t="s">
        <v>778</v>
      </c>
      <c r="BF37" s="1" t="s">
        <v>778</v>
      </c>
      <c r="BG37" s="1" t="s">
        <v>778</v>
      </c>
      <c r="CZ37" s="1" t="s">
        <v>778</v>
      </c>
      <c r="DF37" s="1" t="s">
        <v>778</v>
      </c>
      <c r="EF37" s="1" t="s">
        <v>778</v>
      </c>
      <c r="EG37" s="1" t="s">
        <v>778</v>
      </c>
      <c r="EH37" s="1" t="s">
        <v>778</v>
      </c>
      <c r="EM37" s="1" t="s">
        <v>778</v>
      </c>
      <c r="EN37" s="1" t="s">
        <v>778</v>
      </c>
    </row>
    <row r="38" spans="1:201" ht="145" hidden="1" x14ac:dyDescent="0.35">
      <c r="A38" s="1" t="s">
        <v>776</v>
      </c>
      <c r="B38" s="14" t="s">
        <v>24</v>
      </c>
      <c r="C38" s="1" t="str" cm="1">
        <f t="array" ref="C38">GetURL(B38)</f>
        <v>https://explore-education-statistics.service.gov.uk/find-statistics/apprenticeships-and-traineeships</v>
      </c>
      <c r="D38" s="1" t="s">
        <v>813</v>
      </c>
      <c r="E38" s="1" t="s">
        <v>778</v>
      </c>
      <c r="F38" s="1" t="s">
        <v>778</v>
      </c>
      <c r="G38" s="1" t="s">
        <v>778</v>
      </c>
      <c r="H38" s="1" t="s">
        <v>778</v>
      </c>
      <c r="I38" s="1" t="s">
        <v>778</v>
      </c>
      <c r="AF38" s="1" t="s">
        <v>778</v>
      </c>
      <c r="AI38" s="1" t="s">
        <v>778</v>
      </c>
      <c r="CZ38" s="1" t="s">
        <v>778</v>
      </c>
    </row>
    <row r="39" spans="1:201" ht="145" hidden="1" x14ac:dyDescent="0.35">
      <c r="A39" s="1" t="s">
        <v>776</v>
      </c>
      <c r="B39" s="14" t="s">
        <v>24</v>
      </c>
      <c r="C39" s="1" t="str" cm="1">
        <f t="array" ref="C39">GetURL(B39)</f>
        <v>https://explore-education-statistics.service.gov.uk/find-statistics/apprenticeships-and-traineeships</v>
      </c>
      <c r="D39" s="1" t="s">
        <v>1151</v>
      </c>
      <c r="E39" s="1" t="s">
        <v>778</v>
      </c>
      <c r="F39" s="1" t="s">
        <v>778</v>
      </c>
      <c r="G39" s="1" t="s">
        <v>778</v>
      </c>
      <c r="H39" s="1" t="s">
        <v>778</v>
      </c>
      <c r="I39" s="1" t="s">
        <v>778</v>
      </c>
      <c r="J39" s="1" t="s">
        <v>778</v>
      </c>
      <c r="K39" s="1" t="s">
        <v>778</v>
      </c>
      <c r="DE39" s="1" t="s">
        <v>778</v>
      </c>
    </row>
    <row r="40" spans="1:201" ht="145" hidden="1" x14ac:dyDescent="0.35">
      <c r="A40" s="1" t="s">
        <v>776</v>
      </c>
      <c r="B40" s="14" t="s">
        <v>24</v>
      </c>
      <c r="C40" s="1" t="str" cm="1">
        <f t="array" ref="C40">GetURL(B40)</f>
        <v>https://explore-education-statistics.service.gov.uk/find-statistics/apprenticeships-and-traineeships</v>
      </c>
      <c r="D40" s="1" t="s">
        <v>1152</v>
      </c>
      <c r="E40" s="1" t="s">
        <v>778</v>
      </c>
      <c r="F40" s="1" t="s">
        <v>778</v>
      </c>
      <c r="G40" s="1" t="s">
        <v>778</v>
      </c>
      <c r="H40" s="1" t="s">
        <v>778</v>
      </c>
      <c r="I40" s="1" t="s">
        <v>778</v>
      </c>
      <c r="AW40" s="1" t="s">
        <v>778</v>
      </c>
      <c r="AY40" s="1" t="s">
        <v>778</v>
      </c>
      <c r="AZ40" s="1" t="s">
        <v>778</v>
      </c>
      <c r="BF40" s="1" t="s">
        <v>778</v>
      </c>
      <c r="BK40" s="1" t="s">
        <v>778</v>
      </c>
      <c r="BS40" s="1" t="s">
        <v>778</v>
      </c>
      <c r="CZ40" s="1" t="s">
        <v>778</v>
      </c>
      <c r="EH40" s="1" t="s">
        <v>778</v>
      </c>
      <c r="GI40" s="1" t="s">
        <v>778</v>
      </c>
    </row>
    <row r="41" spans="1:201" ht="145" hidden="1" x14ac:dyDescent="0.35">
      <c r="A41" s="1" t="s">
        <v>776</v>
      </c>
      <c r="B41" s="14" t="s">
        <v>24</v>
      </c>
      <c r="C41" s="1" t="str" cm="1">
        <f t="array" ref="C41">GetURL(B41)</f>
        <v>https://explore-education-statistics.service.gov.uk/find-statistics/apprenticeships-and-traineeships</v>
      </c>
      <c r="D41" s="1" t="s">
        <v>815</v>
      </c>
      <c r="E41" s="1" t="s">
        <v>778</v>
      </c>
      <c r="F41" s="1" t="s">
        <v>778</v>
      </c>
      <c r="G41" s="1" t="s">
        <v>778</v>
      </c>
      <c r="H41" s="1" t="s">
        <v>778</v>
      </c>
      <c r="I41" s="1" t="s">
        <v>778</v>
      </c>
      <c r="AF41" s="1" t="s">
        <v>778</v>
      </c>
      <c r="AI41" s="1" t="s">
        <v>778</v>
      </c>
      <c r="CZ41" s="1" t="s">
        <v>778</v>
      </c>
    </row>
    <row r="42" spans="1:201" ht="145" hidden="1" x14ac:dyDescent="0.35">
      <c r="A42" s="1" t="s">
        <v>776</v>
      </c>
      <c r="B42" s="14" t="s">
        <v>24</v>
      </c>
      <c r="C42" s="1" t="str" cm="1">
        <f t="array" ref="C42">GetURL(B42)</f>
        <v>https://explore-education-statistics.service.gov.uk/find-statistics/apprenticeships-and-traineeships</v>
      </c>
      <c r="D42" s="1" t="s">
        <v>1153</v>
      </c>
      <c r="E42" s="1" t="s">
        <v>778</v>
      </c>
      <c r="F42" s="1" t="s">
        <v>778</v>
      </c>
      <c r="G42" s="1" t="s">
        <v>778</v>
      </c>
      <c r="H42" s="1" t="s">
        <v>778</v>
      </c>
      <c r="I42" s="1" t="s">
        <v>778</v>
      </c>
      <c r="AX42" s="1" t="s">
        <v>778</v>
      </c>
      <c r="AY42" s="1" t="s">
        <v>778</v>
      </c>
      <c r="BM42" s="1" t="s">
        <v>778</v>
      </c>
      <c r="BS42" s="1" t="s">
        <v>778</v>
      </c>
      <c r="BT42" s="1" t="s">
        <v>778</v>
      </c>
      <c r="CA42" s="1" t="s">
        <v>778</v>
      </c>
      <c r="CB42" s="1" t="s">
        <v>778</v>
      </c>
      <c r="CD42" s="1" t="s">
        <v>778</v>
      </c>
      <c r="GE42" s="1" t="s">
        <v>778</v>
      </c>
      <c r="GF42" s="1" t="s">
        <v>778</v>
      </c>
    </row>
    <row r="43" spans="1:201" ht="145" hidden="1" x14ac:dyDescent="0.35">
      <c r="A43" s="1" t="s">
        <v>776</v>
      </c>
      <c r="B43" s="14" t="s">
        <v>24</v>
      </c>
      <c r="C43" s="1" t="str" cm="1">
        <f t="array" ref="C43">GetURL(B43)</f>
        <v>https://explore-education-statistics.service.gov.uk/find-statistics/apprenticeships-and-traineeships</v>
      </c>
      <c r="D43" s="1" t="s">
        <v>1154</v>
      </c>
      <c r="E43" s="1" t="s">
        <v>778</v>
      </c>
      <c r="F43" s="1" t="s">
        <v>778</v>
      </c>
      <c r="G43" s="1" t="s">
        <v>778</v>
      </c>
      <c r="H43" s="1" t="s">
        <v>778</v>
      </c>
      <c r="I43" s="1" t="s">
        <v>778</v>
      </c>
      <c r="AX43" s="1" t="s">
        <v>778</v>
      </c>
      <c r="CA43" s="1" t="s">
        <v>778</v>
      </c>
      <c r="CB43" s="1" t="s">
        <v>778</v>
      </c>
      <c r="CD43" s="1" t="s">
        <v>778</v>
      </c>
      <c r="FG43" s="1" t="s">
        <v>778</v>
      </c>
      <c r="FH43" s="1" t="s">
        <v>778</v>
      </c>
      <c r="GE43" s="1" t="s">
        <v>778</v>
      </c>
      <c r="GF43" s="1" t="s">
        <v>778</v>
      </c>
    </row>
    <row r="44" spans="1:201" ht="145" hidden="1" x14ac:dyDescent="0.35">
      <c r="A44" s="1" t="s">
        <v>776</v>
      </c>
      <c r="B44" s="14" t="s">
        <v>24</v>
      </c>
      <c r="C44" s="1" t="str" cm="1">
        <f t="array" ref="C44">GetURL(B44)</f>
        <v>https://explore-education-statistics.service.gov.uk/find-statistics/apprenticeships-and-traineeships</v>
      </c>
      <c r="D44" s="1" t="s">
        <v>817</v>
      </c>
      <c r="E44" s="1" t="s">
        <v>778</v>
      </c>
      <c r="F44" s="1" t="s">
        <v>778</v>
      </c>
      <c r="G44" s="1" t="s">
        <v>778</v>
      </c>
      <c r="H44" s="1" t="s">
        <v>778</v>
      </c>
      <c r="I44" s="1" t="s">
        <v>778</v>
      </c>
      <c r="FG44" s="1" t="s">
        <v>778</v>
      </c>
      <c r="FH44" s="1" t="s">
        <v>778</v>
      </c>
    </row>
    <row r="45" spans="1:201" ht="145" hidden="1" x14ac:dyDescent="0.35">
      <c r="A45" s="1" t="s">
        <v>776</v>
      </c>
      <c r="B45" s="14" t="s">
        <v>24</v>
      </c>
      <c r="C45" s="1" t="str" cm="1">
        <f t="array" ref="C45">GetURL(B45)</f>
        <v>https://explore-education-statistics.service.gov.uk/find-statistics/apprenticeships-and-traineeships</v>
      </c>
      <c r="D45" s="1" t="s">
        <v>1155</v>
      </c>
      <c r="E45" s="1" t="s">
        <v>778</v>
      </c>
      <c r="F45" s="1" t="s">
        <v>778</v>
      </c>
      <c r="G45" s="1" t="s">
        <v>778</v>
      </c>
      <c r="H45" s="1" t="s">
        <v>778</v>
      </c>
      <c r="I45" s="1" t="s">
        <v>778</v>
      </c>
      <c r="J45" s="1" t="s">
        <v>778</v>
      </c>
      <c r="CM45" s="1" t="s">
        <v>778</v>
      </c>
      <c r="CN45" s="1" t="s">
        <v>778</v>
      </c>
      <c r="CO45" s="1" t="s">
        <v>778</v>
      </c>
      <c r="CP45" s="1" t="s">
        <v>778</v>
      </c>
      <c r="CQ45" s="1" t="s">
        <v>778</v>
      </c>
      <c r="DE45" s="1" t="s">
        <v>778</v>
      </c>
    </row>
    <row r="46" spans="1:201" ht="145" hidden="1" x14ac:dyDescent="0.35">
      <c r="A46" s="1" t="s">
        <v>776</v>
      </c>
      <c r="B46" s="14" t="s">
        <v>24</v>
      </c>
      <c r="C46" s="1" t="str" cm="1">
        <f t="array" ref="C46">GetURL(B46)</f>
        <v>https://explore-education-statistics.service.gov.uk/find-statistics/apprenticeships-and-traineeships</v>
      </c>
      <c r="D46" s="1" t="s">
        <v>819</v>
      </c>
      <c r="E46" s="1" t="s">
        <v>778</v>
      </c>
      <c r="F46" s="1" t="s">
        <v>778</v>
      </c>
      <c r="G46" s="1" t="s">
        <v>778</v>
      </c>
      <c r="H46" s="1" t="s">
        <v>778</v>
      </c>
      <c r="I46" s="1" t="s">
        <v>778</v>
      </c>
      <c r="EI46" s="1" t="s">
        <v>778</v>
      </c>
      <c r="EJ46" s="1" t="s">
        <v>778</v>
      </c>
      <c r="EK46" s="1" t="s">
        <v>778</v>
      </c>
      <c r="EL46" s="1" t="s">
        <v>778</v>
      </c>
      <c r="GI46" s="1" t="s">
        <v>778</v>
      </c>
      <c r="GJ46" s="1" t="s">
        <v>778</v>
      </c>
      <c r="GK46" s="1" t="s">
        <v>778</v>
      </c>
      <c r="GL46" s="1" t="s">
        <v>778</v>
      </c>
      <c r="GM46" s="1" t="s">
        <v>778</v>
      </c>
      <c r="GN46" s="1" t="s">
        <v>778</v>
      </c>
      <c r="GO46" s="1" t="s">
        <v>778</v>
      </c>
    </row>
    <row r="47" spans="1:201" ht="145" hidden="1" x14ac:dyDescent="0.35">
      <c r="A47" s="1" t="s">
        <v>776</v>
      </c>
      <c r="B47" s="14" t="s">
        <v>820</v>
      </c>
      <c r="C47" s="1" t="str" cm="1">
        <f t="array" ref="C47">GetURL(B47)</f>
        <v>https://explore-education-statistics.service.gov.uk/find-statistics/further-education-and-skills</v>
      </c>
      <c r="D47" s="1" t="s">
        <v>821</v>
      </c>
      <c r="E47" s="1" t="s">
        <v>778</v>
      </c>
      <c r="F47" s="1" t="s">
        <v>778</v>
      </c>
      <c r="G47" s="1" t="s">
        <v>778</v>
      </c>
      <c r="H47" s="1" t="s">
        <v>778</v>
      </c>
      <c r="I47" s="1" t="s">
        <v>778</v>
      </c>
      <c r="AX47" s="1" t="s">
        <v>778</v>
      </c>
      <c r="BD47" s="1" t="s">
        <v>778</v>
      </c>
      <c r="CA47" s="1" t="s">
        <v>778</v>
      </c>
      <c r="CB47" s="1" t="s">
        <v>778</v>
      </c>
      <c r="CC47" s="1" t="s">
        <v>778</v>
      </c>
      <c r="CD47" s="1" t="s">
        <v>778</v>
      </c>
      <c r="CE47" s="1" t="s">
        <v>778</v>
      </c>
      <c r="CF47" s="1" t="s">
        <v>778</v>
      </c>
      <c r="GR47" s="1" t="s">
        <v>778</v>
      </c>
      <c r="GS47" s="1" t="s">
        <v>778</v>
      </c>
    </row>
    <row r="48" spans="1:201" ht="145" hidden="1" x14ac:dyDescent="0.35">
      <c r="A48" s="1" t="s">
        <v>776</v>
      </c>
      <c r="B48" s="14" t="s">
        <v>820</v>
      </c>
      <c r="C48" s="1" t="str" cm="1">
        <f t="array" ref="C48">GetURL(B48)</f>
        <v>https://explore-education-statistics.service.gov.uk/find-statistics/further-education-and-skills</v>
      </c>
      <c r="D48" s="1" t="s">
        <v>822</v>
      </c>
      <c r="E48" s="1" t="s">
        <v>778</v>
      </c>
      <c r="F48" s="1" t="s">
        <v>778</v>
      </c>
      <c r="G48" s="1" t="s">
        <v>778</v>
      </c>
      <c r="H48" s="1" t="s">
        <v>778</v>
      </c>
      <c r="I48" s="1" t="s">
        <v>778</v>
      </c>
      <c r="AX48" s="1" t="s">
        <v>778</v>
      </c>
      <c r="AY48" s="1" t="s">
        <v>778</v>
      </c>
      <c r="BM48" s="1" t="s">
        <v>778</v>
      </c>
      <c r="BS48" s="1" t="s">
        <v>778</v>
      </c>
      <c r="BT48" s="1" t="s">
        <v>778</v>
      </c>
      <c r="CA48" s="1" t="s">
        <v>778</v>
      </c>
      <c r="CB48" s="1" t="s">
        <v>778</v>
      </c>
      <c r="CC48" s="1" t="s">
        <v>778</v>
      </c>
      <c r="CD48" s="1" t="s">
        <v>778</v>
      </c>
      <c r="CE48" s="1" t="s">
        <v>778</v>
      </c>
      <c r="CF48" s="1" t="s">
        <v>778</v>
      </c>
      <c r="GR48" s="1" t="s">
        <v>778</v>
      </c>
    </row>
    <row r="49" spans="1:602" ht="145" hidden="1" x14ac:dyDescent="0.35">
      <c r="A49" s="1" t="s">
        <v>776</v>
      </c>
      <c r="B49" s="14" t="s">
        <v>820</v>
      </c>
      <c r="C49" s="1" t="str" cm="1">
        <f t="array" ref="C49">GetURL(B49)</f>
        <v>https://explore-education-statistics.service.gov.uk/find-statistics/further-education-and-skills</v>
      </c>
      <c r="D49" s="1" t="s">
        <v>823</v>
      </c>
      <c r="E49" s="1" t="s">
        <v>778</v>
      </c>
      <c r="F49" s="1" t="s">
        <v>778</v>
      </c>
      <c r="G49" s="1" t="s">
        <v>778</v>
      </c>
      <c r="H49" s="1" t="s">
        <v>778</v>
      </c>
      <c r="AX49" s="1" t="s">
        <v>778</v>
      </c>
      <c r="BD49" s="1" t="s">
        <v>778</v>
      </c>
      <c r="BO49" s="1" t="s">
        <v>778</v>
      </c>
      <c r="CA49" s="1" t="s">
        <v>778</v>
      </c>
      <c r="CB49" s="1" t="s">
        <v>778</v>
      </c>
      <c r="CC49" s="1" t="s">
        <v>778</v>
      </c>
      <c r="CD49" s="1" t="s">
        <v>778</v>
      </c>
      <c r="CE49" s="1" t="s">
        <v>778</v>
      </c>
      <c r="CF49" s="1" t="s">
        <v>778</v>
      </c>
      <c r="GR49" s="1" t="s">
        <v>778</v>
      </c>
      <c r="GS49" s="1" t="s">
        <v>778</v>
      </c>
    </row>
    <row r="50" spans="1:602" ht="145" hidden="1" x14ac:dyDescent="0.35">
      <c r="A50" s="1" t="s">
        <v>776</v>
      </c>
      <c r="B50" s="14" t="s">
        <v>820</v>
      </c>
      <c r="C50" s="1" t="str" cm="1">
        <f t="array" ref="C50">GetURL(B50)</f>
        <v>https://explore-education-statistics.service.gov.uk/find-statistics/further-education-and-skills</v>
      </c>
      <c r="D50" s="1" t="s">
        <v>824</v>
      </c>
      <c r="E50" s="1" t="s">
        <v>778</v>
      </c>
      <c r="F50" s="1" t="s">
        <v>778</v>
      </c>
      <c r="G50" s="1" t="s">
        <v>778</v>
      </c>
      <c r="H50" s="1" t="s">
        <v>778</v>
      </c>
      <c r="I50" s="1" t="s">
        <v>778</v>
      </c>
      <c r="BD50" s="1" t="s">
        <v>778</v>
      </c>
      <c r="CA50" s="1" t="s">
        <v>778</v>
      </c>
      <c r="CB50" s="1" t="s">
        <v>778</v>
      </c>
      <c r="CC50" s="1" t="s">
        <v>778</v>
      </c>
      <c r="CD50" s="1" t="s">
        <v>778</v>
      </c>
      <c r="CE50" s="1" t="s">
        <v>778</v>
      </c>
      <c r="CF50" s="1" t="s">
        <v>778</v>
      </c>
      <c r="FF50" s="1" t="s">
        <v>778</v>
      </c>
      <c r="GR50" s="1" t="s">
        <v>778</v>
      </c>
      <c r="GS50" s="1" t="s">
        <v>778</v>
      </c>
    </row>
    <row r="51" spans="1:602" ht="145" hidden="1" x14ac:dyDescent="0.35">
      <c r="A51" s="1" t="s">
        <v>776</v>
      </c>
      <c r="B51" s="14" t="s">
        <v>820</v>
      </c>
      <c r="C51" s="1" t="str" cm="1">
        <f t="array" ref="C51">GetURL(B51)</f>
        <v>https://explore-education-statistics.service.gov.uk/find-statistics/further-education-and-skills</v>
      </c>
      <c r="D51" s="1" t="s">
        <v>825</v>
      </c>
      <c r="E51" s="1" t="s">
        <v>778</v>
      </c>
      <c r="F51" s="1" t="s">
        <v>778</v>
      </c>
      <c r="G51" s="1" t="s">
        <v>778</v>
      </c>
      <c r="H51" s="1" t="s">
        <v>778</v>
      </c>
      <c r="I51" s="1" t="s">
        <v>778</v>
      </c>
      <c r="AX51" s="1" t="s">
        <v>778</v>
      </c>
      <c r="BD51" s="1" t="s">
        <v>778</v>
      </c>
      <c r="CA51" s="1" t="s">
        <v>778</v>
      </c>
      <c r="CB51" s="1" t="s">
        <v>778</v>
      </c>
      <c r="CC51" s="1" t="s">
        <v>778</v>
      </c>
      <c r="CD51" s="1" t="s">
        <v>778</v>
      </c>
      <c r="CE51" s="1" t="s">
        <v>778</v>
      </c>
      <c r="CF51" s="1" t="s">
        <v>778</v>
      </c>
      <c r="FG51" s="1" t="s">
        <v>778</v>
      </c>
      <c r="GR51" s="1" t="s">
        <v>778</v>
      </c>
      <c r="GS51" s="1" t="s">
        <v>778</v>
      </c>
    </row>
    <row r="52" spans="1:602" ht="145" hidden="1" x14ac:dyDescent="0.35">
      <c r="A52" s="1" t="s">
        <v>776</v>
      </c>
      <c r="B52" s="14" t="s">
        <v>820</v>
      </c>
      <c r="C52" s="1" t="str" cm="1">
        <f t="array" ref="C52">GetURL(B52)</f>
        <v>https://explore-education-statistics.service.gov.uk/find-statistics/further-education-and-skills</v>
      </c>
      <c r="D52" s="1" t="s">
        <v>826</v>
      </c>
      <c r="E52" s="1" t="s">
        <v>778</v>
      </c>
      <c r="F52" s="1" t="s">
        <v>778</v>
      </c>
      <c r="G52" s="1" t="s">
        <v>778</v>
      </c>
      <c r="H52" s="1" t="s">
        <v>778</v>
      </c>
      <c r="I52" s="1" t="s">
        <v>778</v>
      </c>
      <c r="AK52" s="1" t="s">
        <v>778</v>
      </c>
      <c r="AX52" s="1" t="s">
        <v>778</v>
      </c>
      <c r="BD52" s="1" t="s">
        <v>778</v>
      </c>
      <c r="CA52" s="1" t="s">
        <v>778</v>
      </c>
      <c r="CB52" s="1" t="s">
        <v>778</v>
      </c>
      <c r="CC52" s="1" t="s">
        <v>778</v>
      </c>
      <c r="CD52" s="1" t="s">
        <v>778</v>
      </c>
      <c r="CE52" s="1" t="s">
        <v>778</v>
      </c>
      <c r="CF52" s="1" t="s">
        <v>778</v>
      </c>
      <c r="GS52" s="1" t="s">
        <v>778</v>
      </c>
      <c r="GV52" s="1" t="s">
        <v>778</v>
      </c>
    </row>
    <row r="53" spans="1:602" ht="145" hidden="1" x14ac:dyDescent="0.35">
      <c r="A53" s="1" t="s">
        <v>776</v>
      </c>
      <c r="B53" s="14" t="s">
        <v>820</v>
      </c>
      <c r="C53" s="1" t="str" cm="1">
        <f t="array" ref="C53">GetURL(B53)</f>
        <v>https://explore-education-statistics.service.gov.uk/find-statistics/further-education-and-skills</v>
      </c>
      <c r="D53" s="3" t="s">
        <v>827</v>
      </c>
      <c r="E53" s="1" t="s">
        <v>778</v>
      </c>
      <c r="F53" s="1" t="s">
        <v>778</v>
      </c>
      <c r="G53" s="1" t="s">
        <v>778</v>
      </c>
      <c r="H53" s="1" t="s">
        <v>778</v>
      </c>
      <c r="I53" s="1" t="s">
        <v>778</v>
      </c>
      <c r="AF53" s="1" t="s">
        <v>778</v>
      </c>
      <c r="AI53" s="1" t="s">
        <v>778</v>
      </c>
      <c r="AX53" s="1" t="s">
        <v>778</v>
      </c>
      <c r="BD53" s="1" t="s">
        <v>778</v>
      </c>
      <c r="CA53" s="1" t="s">
        <v>778</v>
      </c>
      <c r="CB53" s="1" t="s">
        <v>778</v>
      </c>
      <c r="CC53" s="1" t="s">
        <v>778</v>
      </c>
      <c r="CD53" s="1" t="s">
        <v>778</v>
      </c>
      <c r="CE53" s="1" t="s">
        <v>778</v>
      </c>
      <c r="CF53" s="1" t="s">
        <v>778</v>
      </c>
      <c r="GR53" s="1" t="s">
        <v>778</v>
      </c>
    </row>
    <row r="54" spans="1:602" ht="145" hidden="1" x14ac:dyDescent="0.35">
      <c r="A54" s="1" t="s">
        <v>776</v>
      </c>
      <c r="B54" s="14" t="s">
        <v>820</v>
      </c>
      <c r="C54" s="1" t="str" cm="1">
        <f t="array" ref="C54">GetURL(B54)</f>
        <v>https://explore-education-statistics.service.gov.uk/find-statistics/further-education-and-skills</v>
      </c>
      <c r="D54" s="1" t="s">
        <v>828</v>
      </c>
      <c r="E54" s="1" t="s">
        <v>778</v>
      </c>
      <c r="F54" s="1" t="s">
        <v>778</v>
      </c>
      <c r="G54" s="1" t="s">
        <v>778</v>
      </c>
      <c r="H54" s="1" t="s">
        <v>778</v>
      </c>
      <c r="I54" s="1" t="s">
        <v>778</v>
      </c>
      <c r="J54" s="1" t="s">
        <v>778</v>
      </c>
      <c r="K54" s="1" t="s">
        <v>778</v>
      </c>
      <c r="AE54" s="1" t="s">
        <v>778</v>
      </c>
      <c r="AG54" s="1" t="s">
        <v>778</v>
      </c>
      <c r="BF54" s="1" t="s">
        <v>778</v>
      </c>
      <c r="FF54" s="1" t="s">
        <v>778</v>
      </c>
      <c r="GS54" s="1" t="s">
        <v>778</v>
      </c>
      <c r="GZ54" s="1" t="s">
        <v>778</v>
      </c>
      <c r="HA54" s="1" t="s">
        <v>778</v>
      </c>
      <c r="HB54" s="1" t="s">
        <v>778</v>
      </c>
    </row>
    <row r="55" spans="1:602" ht="145" hidden="1" x14ac:dyDescent="0.35">
      <c r="A55" s="1" t="s">
        <v>776</v>
      </c>
      <c r="B55" s="14" t="s">
        <v>820</v>
      </c>
      <c r="C55" s="1" t="str" cm="1">
        <f t="array" ref="C55">GetURL(B55)</f>
        <v>https://explore-education-statistics.service.gov.uk/find-statistics/further-education-and-skills</v>
      </c>
      <c r="D55" s="1" t="s">
        <v>829</v>
      </c>
      <c r="E55" s="1" t="s">
        <v>778</v>
      </c>
      <c r="F55" s="1" t="s">
        <v>778</v>
      </c>
      <c r="G55" s="1" t="s">
        <v>778</v>
      </c>
      <c r="H55" s="1" t="s">
        <v>778</v>
      </c>
      <c r="I55" s="1" t="s">
        <v>778</v>
      </c>
      <c r="AL55" s="1" t="s">
        <v>778</v>
      </c>
      <c r="AM55" s="1" t="s">
        <v>778</v>
      </c>
      <c r="AT55" s="1" t="s">
        <v>778</v>
      </c>
      <c r="EQ55" s="1" t="s">
        <v>778</v>
      </c>
    </row>
    <row r="56" spans="1:602" ht="145" hidden="1" x14ac:dyDescent="0.35">
      <c r="A56" s="1" t="s">
        <v>776</v>
      </c>
      <c r="B56" s="14" t="s">
        <v>820</v>
      </c>
      <c r="C56" s="1" t="str" cm="1">
        <f t="array" ref="C56">GetURL(B56)</f>
        <v>https://explore-education-statistics.service.gov.uk/find-statistics/further-education-and-skills</v>
      </c>
      <c r="D56" s="1" t="s">
        <v>830</v>
      </c>
      <c r="E56" s="1" t="s">
        <v>778</v>
      </c>
      <c r="F56" s="1" t="s">
        <v>778</v>
      </c>
      <c r="G56" s="1" t="s">
        <v>778</v>
      </c>
      <c r="H56" s="1" t="s">
        <v>778</v>
      </c>
      <c r="I56" s="1" t="s">
        <v>778</v>
      </c>
      <c r="HC56" s="1" t="s">
        <v>778</v>
      </c>
      <c r="HD56" s="1" t="s">
        <v>778</v>
      </c>
      <c r="HE56" s="1" t="s">
        <v>778</v>
      </c>
      <c r="HF56" s="1" t="s">
        <v>778</v>
      </c>
      <c r="HG56" s="1" t="s">
        <v>778</v>
      </c>
      <c r="HH56" s="1" t="s">
        <v>778</v>
      </c>
      <c r="HI56" s="1" t="s">
        <v>778</v>
      </c>
      <c r="HK56" s="1" t="s">
        <v>778</v>
      </c>
      <c r="HL56" s="1" t="s">
        <v>778</v>
      </c>
      <c r="HM56" s="1" t="s">
        <v>778</v>
      </c>
      <c r="HN56" s="1" t="s">
        <v>778</v>
      </c>
      <c r="HO56" s="1" t="s">
        <v>778</v>
      </c>
      <c r="HP56" s="1" t="s">
        <v>778</v>
      </c>
      <c r="HQ56" s="1" t="s">
        <v>778</v>
      </c>
      <c r="HR56" s="1" t="s">
        <v>778</v>
      </c>
      <c r="HT56" s="1" t="s">
        <v>778</v>
      </c>
    </row>
    <row r="57" spans="1:602" ht="145" hidden="1" x14ac:dyDescent="0.35">
      <c r="A57" s="1" t="s">
        <v>776</v>
      </c>
      <c r="B57" s="14" t="s">
        <v>820</v>
      </c>
      <c r="C57" s="1" t="str" cm="1">
        <f t="array" ref="C57">GetURL(B57)</f>
        <v>https://explore-education-statistics.service.gov.uk/find-statistics/further-education-and-skills</v>
      </c>
      <c r="D57" s="1" t="s">
        <v>831</v>
      </c>
      <c r="E57" s="1" t="s">
        <v>778</v>
      </c>
      <c r="F57" s="1" t="s">
        <v>778</v>
      </c>
      <c r="G57" s="1" t="s">
        <v>778</v>
      </c>
      <c r="H57" s="1" t="s">
        <v>778</v>
      </c>
      <c r="I57" s="1" t="s">
        <v>778</v>
      </c>
      <c r="HC57" s="1" t="s">
        <v>778</v>
      </c>
      <c r="HD57" s="1" t="s">
        <v>778</v>
      </c>
      <c r="HE57" s="1" t="s">
        <v>778</v>
      </c>
      <c r="HF57" s="1" t="s">
        <v>778</v>
      </c>
      <c r="HG57" s="1" t="s">
        <v>778</v>
      </c>
      <c r="HH57" s="1" t="s">
        <v>778</v>
      </c>
      <c r="HI57" s="1" t="s">
        <v>778</v>
      </c>
      <c r="HK57" s="1" t="s">
        <v>778</v>
      </c>
    </row>
    <row r="58" spans="1:602" ht="145" hidden="1" x14ac:dyDescent="0.35">
      <c r="A58" s="1" t="s">
        <v>776</v>
      </c>
      <c r="B58" s="14" t="s">
        <v>820</v>
      </c>
      <c r="C58" s="1" t="str" cm="1">
        <f t="array" ref="C58">GetURL(B58)</f>
        <v>https://explore-education-statistics.service.gov.uk/find-statistics/further-education-and-skills</v>
      </c>
      <c r="D58" s="1" t="s">
        <v>832</v>
      </c>
      <c r="E58" s="1" t="s">
        <v>778</v>
      </c>
      <c r="F58" s="1" t="s">
        <v>778</v>
      </c>
      <c r="G58" s="1" t="s">
        <v>778</v>
      </c>
      <c r="H58" s="1" t="s">
        <v>778</v>
      </c>
      <c r="I58" s="1" t="s">
        <v>778</v>
      </c>
      <c r="AK58" s="1" t="s">
        <v>778</v>
      </c>
      <c r="AR58" s="1" t="s">
        <v>778</v>
      </c>
      <c r="BH58" s="1" t="s">
        <v>778</v>
      </c>
      <c r="DN58" s="1" t="s">
        <v>778</v>
      </c>
      <c r="DO58" s="1" t="s">
        <v>778</v>
      </c>
      <c r="DW58" s="1" t="s">
        <v>778</v>
      </c>
      <c r="DX58" s="1" t="s">
        <v>778</v>
      </c>
      <c r="DY58" s="1" t="s">
        <v>778</v>
      </c>
      <c r="DZ58" s="1" t="s">
        <v>778</v>
      </c>
      <c r="HU58" s="1" t="s">
        <v>778</v>
      </c>
      <c r="WD58" s="1" t="s">
        <v>778</v>
      </c>
    </row>
    <row r="59" spans="1:602" ht="145" hidden="1" x14ac:dyDescent="0.35">
      <c r="A59" s="1" t="s">
        <v>776</v>
      </c>
      <c r="B59" s="14" t="s">
        <v>820</v>
      </c>
      <c r="C59" s="1" t="str" cm="1">
        <f t="array" ref="C59">GetURL(B59)</f>
        <v>https://explore-education-statistics.service.gov.uk/find-statistics/further-education-and-skills</v>
      </c>
      <c r="D59" s="1" t="s">
        <v>833</v>
      </c>
      <c r="E59" s="1" t="s">
        <v>778</v>
      </c>
      <c r="F59" s="1" t="s">
        <v>778</v>
      </c>
      <c r="G59" s="1" t="s">
        <v>778</v>
      </c>
      <c r="H59" s="1" t="s">
        <v>778</v>
      </c>
      <c r="I59" s="1" t="s">
        <v>778</v>
      </c>
      <c r="J59" s="1" t="s">
        <v>778</v>
      </c>
      <c r="K59" s="1" t="s">
        <v>778</v>
      </c>
      <c r="N59" s="1" t="s">
        <v>778</v>
      </c>
      <c r="P59" s="1" t="s">
        <v>778</v>
      </c>
      <c r="Q59" s="1" t="s">
        <v>778</v>
      </c>
      <c r="R59" s="1" t="s">
        <v>778</v>
      </c>
      <c r="AR59" s="1" t="s">
        <v>778</v>
      </c>
      <c r="BI59" s="1" t="s">
        <v>778</v>
      </c>
      <c r="DF59" s="1" t="s">
        <v>778</v>
      </c>
      <c r="DP59" s="1" t="s">
        <v>778</v>
      </c>
    </row>
    <row r="60" spans="1:602" ht="145" hidden="1" x14ac:dyDescent="0.35">
      <c r="A60" s="1" t="s">
        <v>776</v>
      </c>
      <c r="B60" s="14" t="s">
        <v>820</v>
      </c>
      <c r="C60" s="1" t="str" cm="1">
        <f t="array" ref="C60">GetURL(B60)</f>
        <v>https://explore-education-statistics.service.gov.uk/find-statistics/further-education-and-skills</v>
      </c>
      <c r="D60" s="1" t="s">
        <v>834</v>
      </c>
      <c r="E60" s="1" t="s">
        <v>778</v>
      </c>
      <c r="F60" s="1" t="s">
        <v>778</v>
      </c>
      <c r="G60" s="1" t="s">
        <v>778</v>
      </c>
      <c r="H60" s="1" t="s">
        <v>778</v>
      </c>
      <c r="I60" s="1" t="s">
        <v>778</v>
      </c>
      <c r="J60" s="1" t="s">
        <v>778</v>
      </c>
      <c r="K60" s="1" t="s">
        <v>778</v>
      </c>
      <c r="N60" s="1" t="s">
        <v>778</v>
      </c>
      <c r="O60" s="1" t="s">
        <v>778</v>
      </c>
      <c r="AW60" s="1" t="s">
        <v>778</v>
      </c>
      <c r="AY60" s="1" t="s">
        <v>778</v>
      </c>
      <c r="BT60" s="1" t="s">
        <v>778</v>
      </c>
      <c r="HL60" s="1" t="s">
        <v>778</v>
      </c>
      <c r="HV60" s="1" t="s">
        <v>778</v>
      </c>
      <c r="HW60" s="1" t="s">
        <v>778</v>
      </c>
      <c r="HX60" s="1" t="s">
        <v>778</v>
      </c>
      <c r="HY60" s="1" t="s">
        <v>778</v>
      </c>
      <c r="HZ60" s="1" t="s">
        <v>778</v>
      </c>
      <c r="IA60" s="1" t="s">
        <v>778</v>
      </c>
      <c r="IB60" s="1" t="s">
        <v>778</v>
      </c>
      <c r="IC60" s="1" t="s">
        <v>778</v>
      </c>
      <c r="ID60" s="1" t="s">
        <v>778</v>
      </c>
    </row>
    <row r="61" spans="1:602" ht="145" hidden="1" x14ac:dyDescent="0.35">
      <c r="A61" s="1" t="s">
        <v>776</v>
      </c>
      <c r="B61" s="14" t="s">
        <v>820</v>
      </c>
      <c r="C61" s="1" t="str" cm="1">
        <f t="array" ref="C61">GetURL(B61)</f>
        <v>https://explore-education-statistics.service.gov.uk/find-statistics/further-education-and-skills</v>
      </c>
      <c r="D61" s="1" t="s">
        <v>835</v>
      </c>
      <c r="E61" s="1" t="s">
        <v>778</v>
      </c>
      <c r="F61" s="1" t="s">
        <v>778</v>
      </c>
      <c r="G61" s="1" t="s">
        <v>778</v>
      </c>
      <c r="H61" s="1" t="s">
        <v>778</v>
      </c>
      <c r="I61" s="1" t="s">
        <v>778</v>
      </c>
      <c r="AW61" s="1" t="s">
        <v>778</v>
      </c>
      <c r="AY61" s="1" t="s">
        <v>778</v>
      </c>
      <c r="BK61" s="1" t="s">
        <v>778</v>
      </c>
      <c r="BL61" s="1" t="s">
        <v>778</v>
      </c>
      <c r="BS61" s="1" t="s">
        <v>778</v>
      </c>
      <c r="HL61" s="1" t="s">
        <v>778</v>
      </c>
      <c r="HV61" s="1" t="s">
        <v>778</v>
      </c>
      <c r="HW61" s="1" t="s">
        <v>778</v>
      </c>
      <c r="HX61" s="1" t="s">
        <v>778</v>
      </c>
      <c r="HY61" s="1" t="s">
        <v>778</v>
      </c>
      <c r="HZ61" s="1" t="s">
        <v>778</v>
      </c>
      <c r="IA61" s="1" t="s">
        <v>778</v>
      </c>
      <c r="IB61" s="1" t="s">
        <v>778</v>
      </c>
      <c r="IC61" s="1" t="s">
        <v>778</v>
      </c>
      <c r="ID61" s="1" t="s">
        <v>778</v>
      </c>
    </row>
    <row r="62" spans="1:602" ht="145" hidden="1" x14ac:dyDescent="0.35">
      <c r="A62" s="1" t="s">
        <v>776</v>
      </c>
      <c r="B62" s="14" t="s">
        <v>820</v>
      </c>
      <c r="C62" s="1" t="str" cm="1">
        <f t="array" ref="C62">GetURL(B62)</f>
        <v>https://explore-education-statistics.service.gov.uk/find-statistics/further-education-and-skills</v>
      </c>
      <c r="D62" s="1" t="s">
        <v>836</v>
      </c>
      <c r="E62" s="1" t="s">
        <v>778</v>
      </c>
      <c r="F62" s="1" t="s">
        <v>778</v>
      </c>
      <c r="G62" s="1" t="s">
        <v>778</v>
      </c>
      <c r="H62" s="1" t="s">
        <v>778</v>
      </c>
      <c r="I62" s="1" t="s">
        <v>778</v>
      </c>
      <c r="AW62" s="1" t="s">
        <v>778</v>
      </c>
      <c r="BT62" s="1" t="s">
        <v>778</v>
      </c>
      <c r="BU62" s="1" t="s">
        <v>778</v>
      </c>
      <c r="HL62" s="1" t="s">
        <v>778</v>
      </c>
      <c r="HV62" s="1" t="s">
        <v>778</v>
      </c>
      <c r="HW62" s="1" t="s">
        <v>778</v>
      </c>
      <c r="HX62" s="1" t="s">
        <v>778</v>
      </c>
      <c r="HY62" s="1" t="s">
        <v>778</v>
      </c>
      <c r="HZ62" s="1" t="s">
        <v>778</v>
      </c>
      <c r="IA62" s="1" t="s">
        <v>778</v>
      </c>
      <c r="IB62" s="1" t="s">
        <v>778</v>
      </c>
      <c r="IC62" s="1" t="s">
        <v>778</v>
      </c>
      <c r="ID62" s="1" t="s">
        <v>778</v>
      </c>
    </row>
    <row r="63" spans="1:602" ht="145" hidden="1" x14ac:dyDescent="0.35">
      <c r="A63" s="1" t="s">
        <v>776</v>
      </c>
      <c r="B63" s="14" t="s">
        <v>820</v>
      </c>
      <c r="C63" s="1" t="str" cm="1">
        <f t="array" ref="C63">GetURL(B63)</f>
        <v>https://explore-education-statistics.service.gov.uk/find-statistics/further-education-and-skills</v>
      </c>
      <c r="D63" s="1" t="s">
        <v>837</v>
      </c>
      <c r="E63" s="1" t="s">
        <v>778</v>
      </c>
      <c r="F63" s="1" t="s">
        <v>778</v>
      </c>
      <c r="G63" s="1" t="s">
        <v>778</v>
      </c>
      <c r="H63" s="1" t="s">
        <v>778</v>
      </c>
      <c r="I63" s="1" t="s">
        <v>778</v>
      </c>
      <c r="HC63" s="1" t="s">
        <v>778</v>
      </c>
      <c r="HL63" s="1" t="s">
        <v>778</v>
      </c>
      <c r="HV63" s="1" t="s">
        <v>778</v>
      </c>
      <c r="HW63" s="1" t="s">
        <v>778</v>
      </c>
      <c r="HX63" s="1" t="s">
        <v>778</v>
      </c>
      <c r="HY63" s="1" t="s">
        <v>778</v>
      </c>
      <c r="IA63" s="1" t="s">
        <v>778</v>
      </c>
      <c r="IB63" s="1" t="s">
        <v>778</v>
      </c>
      <c r="IC63" s="1" t="s">
        <v>778</v>
      </c>
      <c r="ID63" s="1" t="s">
        <v>778</v>
      </c>
    </row>
    <row r="64" spans="1:602" ht="145" hidden="1" x14ac:dyDescent="0.35">
      <c r="A64" s="1" t="s">
        <v>776</v>
      </c>
      <c r="B64" s="14" t="s">
        <v>820</v>
      </c>
      <c r="C64" s="1" t="str" cm="1">
        <f t="array" ref="C64">GetURL(B64)</f>
        <v>https://explore-education-statistics.service.gov.uk/find-statistics/further-education-and-skills</v>
      </c>
      <c r="D64" s="1" t="s">
        <v>838</v>
      </c>
      <c r="E64" s="1" t="s">
        <v>778</v>
      </c>
      <c r="F64" s="1" t="s">
        <v>778</v>
      </c>
      <c r="G64" s="1" t="s">
        <v>778</v>
      </c>
      <c r="H64" s="1" t="s">
        <v>778</v>
      </c>
      <c r="I64" s="1" t="s">
        <v>778</v>
      </c>
      <c r="AR64" s="1" t="s">
        <v>778</v>
      </c>
      <c r="AV64" s="1" t="s">
        <v>778</v>
      </c>
      <c r="BO64" s="1" t="s">
        <v>778</v>
      </c>
      <c r="FG64" s="1" t="s">
        <v>778</v>
      </c>
      <c r="FH64" s="1" t="s">
        <v>778</v>
      </c>
      <c r="FI64" s="1" t="s">
        <v>778</v>
      </c>
      <c r="HC64" s="1" t="s">
        <v>778</v>
      </c>
      <c r="HD64" s="1" t="s">
        <v>778</v>
      </c>
      <c r="HE64" s="1" t="s">
        <v>778</v>
      </c>
      <c r="HF64" s="1" t="s">
        <v>778</v>
      </c>
      <c r="HG64" s="1" t="s">
        <v>778</v>
      </c>
      <c r="HH64" s="1" t="s">
        <v>778</v>
      </c>
      <c r="HI64" s="1" t="s">
        <v>778</v>
      </c>
      <c r="HJ64" s="1" t="s">
        <v>778</v>
      </c>
      <c r="HK64" s="1" t="s">
        <v>778</v>
      </c>
    </row>
    <row r="65" spans="1:257" ht="145" hidden="1" x14ac:dyDescent="0.35">
      <c r="A65" s="1" t="s">
        <v>776</v>
      </c>
      <c r="B65" s="14" t="s">
        <v>820</v>
      </c>
      <c r="C65" s="1" t="str" cm="1">
        <f t="array" ref="C65">GetURL(B65)</f>
        <v>https://explore-education-statistics.service.gov.uk/find-statistics/further-education-and-skills</v>
      </c>
      <c r="D65" s="1" t="s">
        <v>839</v>
      </c>
      <c r="E65" s="1" t="s">
        <v>778</v>
      </c>
      <c r="F65" s="1" t="s">
        <v>778</v>
      </c>
      <c r="G65" s="1" t="s">
        <v>778</v>
      </c>
      <c r="H65" s="1" t="s">
        <v>778</v>
      </c>
      <c r="I65" s="1" t="s">
        <v>778</v>
      </c>
      <c r="CK65" s="1" t="s">
        <v>778</v>
      </c>
      <c r="CL65" s="1" t="s">
        <v>778</v>
      </c>
      <c r="IE65" s="1" t="s">
        <v>778</v>
      </c>
      <c r="IF65" s="1" t="s">
        <v>778</v>
      </c>
      <c r="IG65" s="1" t="s">
        <v>778</v>
      </c>
      <c r="IH65" s="1" t="s">
        <v>778</v>
      </c>
      <c r="II65" s="1" t="s">
        <v>778</v>
      </c>
      <c r="IJ65" s="1" t="s">
        <v>778</v>
      </c>
    </row>
    <row r="66" spans="1:257" ht="145" hidden="1" x14ac:dyDescent="0.35">
      <c r="A66" s="1" t="s">
        <v>776</v>
      </c>
      <c r="B66" s="14" t="s">
        <v>820</v>
      </c>
      <c r="C66" s="1" t="str" cm="1">
        <f t="array" ref="C66">GetURL(B66)</f>
        <v>https://explore-education-statistics.service.gov.uk/find-statistics/further-education-and-skills</v>
      </c>
      <c r="D66" s="1" t="s">
        <v>840</v>
      </c>
      <c r="E66" s="1" t="s">
        <v>778</v>
      </c>
      <c r="F66" s="1" t="s">
        <v>778</v>
      </c>
      <c r="G66" s="1" t="s">
        <v>778</v>
      </c>
      <c r="H66" s="1" t="s">
        <v>778</v>
      </c>
      <c r="I66" s="1" t="s">
        <v>778</v>
      </c>
      <c r="J66" s="1" t="s">
        <v>778</v>
      </c>
      <c r="K66" s="1" t="s">
        <v>778</v>
      </c>
      <c r="O66" s="1" t="s">
        <v>778</v>
      </c>
      <c r="P66" s="1" t="s">
        <v>778</v>
      </c>
      <c r="Q66" s="1" t="s">
        <v>778</v>
      </c>
      <c r="R66" s="1" t="s">
        <v>778</v>
      </c>
      <c r="AG66" s="1" t="s">
        <v>778</v>
      </c>
      <c r="AI66" s="1" t="s">
        <v>778</v>
      </c>
      <c r="BD66" s="1" t="s">
        <v>778</v>
      </c>
      <c r="BE66" s="1" t="s">
        <v>778</v>
      </c>
      <c r="IK66" s="1" t="s">
        <v>778</v>
      </c>
      <c r="IM66" s="1" t="s">
        <v>778</v>
      </c>
      <c r="IN66" s="1" t="s">
        <v>778</v>
      </c>
      <c r="IO66" s="1" t="s">
        <v>778</v>
      </c>
      <c r="IP66" s="1" t="s">
        <v>778</v>
      </c>
      <c r="IQ66" s="1" t="s">
        <v>778</v>
      </c>
    </row>
    <row r="67" spans="1:257" ht="145" hidden="1" x14ac:dyDescent="0.35">
      <c r="A67" s="1" t="s">
        <v>776</v>
      </c>
      <c r="B67" s="14" t="s">
        <v>820</v>
      </c>
      <c r="C67" s="1" t="str" cm="1">
        <f t="array" ref="C67">GetURL(B67)</f>
        <v>https://explore-education-statistics.service.gov.uk/find-statistics/further-education-and-skills</v>
      </c>
      <c r="D67" s="1" t="s">
        <v>841</v>
      </c>
      <c r="E67" s="1" t="s">
        <v>778</v>
      </c>
      <c r="F67" s="1" t="s">
        <v>778</v>
      </c>
      <c r="G67" s="1" t="s">
        <v>778</v>
      </c>
      <c r="H67" s="1" t="s">
        <v>778</v>
      </c>
      <c r="I67" s="1" t="s">
        <v>778</v>
      </c>
      <c r="J67" s="1" t="s">
        <v>778</v>
      </c>
      <c r="K67" s="1" t="s">
        <v>778</v>
      </c>
      <c r="O67" s="1" t="s">
        <v>778</v>
      </c>
      <c r="P67" s="1" t="s">
        <v>778</v>
      </c>
      <c r="AA67" s="1" t="s">
        <v>778</v>
      </c>
      <c r="AB67" s="1" t="s">
        <v>778</v>
      </c>
      <c r="AY67" s="1" t="s">
        <v>778</v>
      </c>
      <c r="BF67" s="1" t="s">
        <v>778</v>
      </c>
      <c r="BT67" s="1" t="s">
        <v>778</v>
      </c>
      <c r="IR67" s="1" t="s">
        <v>778</v>
      </c>
      <c r="IS67" s="1" t="s">
        <v>778</v>
      </c>
      <c r="IT67" s="1" t="s">
        <v>778</v>
      </c>
    </row>
    <row r="68" spans="1:257" ht="145" hidden="1" x14ac:dyDescent="0.35">
      <c r="A68" s="1" t="s">
        <v>776</v>
      </c>
      <c r="B68" s="14" t="s">
        <v>820</v>
      </c>
      <c r="C68" s="1" t="str" cm="1">
        <f t="array" ref="C68">GetURL(B68)</f>
        <v>https://explore-education-statistics.service.gov.uk/find-statistics/further-education-and-skills</v>
      </c>
      <c r="D68" s="1" t="s">
        <v>842</v>
      </c>
      <c r="E68" s="1" t="s">
        <v>778</v>
      </c>
      <c r="F68" s="1" t="s">
        <v>778</v>
      </c>
      <c r="G68" s="1" t="s">
        <v>778</v>
      </c>
      <c r="H68" s="1" t="s">
        <v>778</v>
      </c>
      <c r="I68" s="1" t="s">
        <v>778</v>
      </c>
      <c r="J68" s="1" t="s">
        <v>778</v>
      </c>
      <c r="K68" s="1" t="s">
        <v>778</v>
      </c>
      <c r="O68" s="1" t="s">
        <v>778</v>
      </c>
      <c r="P68" s="1" t="s">
        <v>778</v>
      </c>
      <c r="AA68" s="1" t="s">
        <v>778</v>
      </c>
      <c r="AB68" s="1" t="s">
        <v>778</v>
      </c>
      <c r="AV68" s="1" t="s">
        <v>778</v>
      </c>
      <c r="AY68" s="1" t="s">
        <v>778</v>
      </c>
      <c r="BT68" s="1" t="s">
        <v>778</v>
      </c>
      <c r="HC68" s="1" t="s">
        <v>778</v>
      </c>
      <c r="HD68" s="1" t="s">
        <v>778</v>
      </c>
      <c r="HE68" s="1" t="s">
        <v>778</v>
      </c>
      <c r="HF68" s="1" t="s">
        <v>778</v>
      </c>
      <c r="HG68" s="1" t="s">
        <v>778</v>
      </c>
      <c r="HH68" s="1" t="s">
        <v>778</v>
      </c>
      <c r="HI68" s="1" t="s">
        <v>778</v>
      </c>
      <c r="HJ68" s="1" t="s">
        <v>778</v>
      </c>
      <c r="HK68" s="1" t="s">
        <v>778</v>
      </c>
      <c r="HL68" s="1" t="s">
        <v>778</v>
      </c>
      <c r="HM68" s="1" t="s">
        <v>778</v>
      </c>
      <c r="HN68" s="1" t="s">
        <v>778</v>
      </c>
      <c r="HO68" s="1" t="s">
        <v>778</v>
      </c>
      <c r="HP68" s="1" t="s">
        <v>778</v>
      </c>
      <c r="HQ68" s="1" t="s">
        <v>778</v>
      </c>
      <c r="HR68" s="1" t="s">
        <v>778</v>
      </c>
      <c r="HS68" s="1" t="s">
        <v>778</v>
      </c>
      <c r="HT68" s="1" t="s">
        <v>778</v>
      </c>
    </row>
    <row r="69" spans="1:257" ht="145" hidden="1" x14ac:dyDescent="0.35">
      <c r="A69" s="1" t="s">
        <v>776</v>
      </c>
      <c r="B69" s="14" t="s">
        <v>820</v>
      </c>
      <c r="C69" s="1" t="str" cm="1">
        <f t="array" ref="C69">GetURL(B69)</f>
        <v>https://explore-education-statistics.service.gov.uk/find-statistics/further-education-and-skills</v>
      </c>
      <c r="D69" s="1" t="s">
        <v>843</v>
      </c>
      <c r="E69" s="1" t="s">
        <v>778</v>
      </c>
      <c r="F69" s="1" t="s">
        <v>778</v>
      </c>
      <c r="G69" s="1" t="s">
        <v>778</v>
      </c>
      <c r="H69" s="1" t="s">
        <v>778</v>
      </c>
      <c r="I69" s="1" t="s">
        <v>778</v>
      </c>
      <c r="J69" s="1" t="s">
        <v>778</v>
      </c>
      <c r="K69" s="1" t="s">
        <v>778</v>
      </c>
      <c r="L69" s="1" t="s">
        <v>778</v>
      </c>
      <c r="M69" s="1" t="s">
        <v>778</v>
      </c>
      <c r="N69" s="1" t="s">
        <v>778</v>
      </c>
      <c r="O69" s="1" t="s">
        <v>778</v>
      </c>
      <c r="P69" s="1" t="s">
        <v>778</v>
      </c>
      <c r="Q69" s="1" t="s">
        <v>778</v>
      </c>
      <c r="R69" s="1" t="s">
        <v>778</v>
      </c>
      <c r="AT69" s="1" t="s">
        <v>778</v>
      </c>
      <c r="CZ69" s="1" t="s">
        <v>778</v>
      </c>
      <c r="DB69" s="1" t="s">
        <v>778</v>
      </c>
      <c r="DF69" s="1" t="s">
        <v>778</v>
      </c>
      <c r="DH69" s="1" t="s">
        <v>778</v>
      </c>
      <c r="DP69" s="1" t="s">
        <v>778</v>
      </c>
      <c r="DV69" s="1" t="s">
        <v>778</v>
      </c>
      <c r="IU69" s="1" t="s">
        <v>778</v>
      </c>
      <c r="IV69" s="1" t="s">
        <v>778</v>
      </c>
    </row>
    <row r="70" spans="1:257" ht="145" hidden="1" x14ac:dyDescent="0.35">
      <c r="A70" s="1" t="s">
        <v>776</v>
      </c>
      <c r="B70" s="14" t="s">
        <v>820</v>
      </c>
      <c r="C70" s="1" t="str" cm="1">
        <f t="array" ref="C70">GetURL(B70)</f>
        <v>https://explore-education-statistics.service.gov.uk/find-statistics/further-education-and-skills</v>
      </c>
      <c r="D70" s="1" t="s">
        <v>844</v>
      </c>
      <c r="E70" s="1" t="s">
        <v>778</v>
      </c>
      <c r="F70" s="1" t="s">
        <v>778</v>
      </c>
      <c r="G70" s="1" t="s">
        <v>778</v>
      </c>
      <c r="H70" s="1" t="s">
        <v>778</v>
      </c>
      <c r="I70" s="1" t="s">
        <v>778</v>
      </c>
      <c r="HC70" s="1" t="s">
        <v>778</v>
      </c>
      <c r="HD70" s="1" t="s">
        <v>778</v>
      </c>
      <c r="HE70" s="1" t="s">
        <v>778</v>
      </c>
      <c r="HF70" s="1" t="s">
        <v>778</v>
      </c>
      <c r="HG70" s="1" t="s">
        <v>778</v>
      </c>
      <c r="HH70" s="1" t="s">
        <v>778</v>
      </c>
      <c r="HI70" s="1" t="s">
        <v>778</v>
      </c>
      <c r="HJ70" s="1" t="s">
        <v>778</v>
      </c>
      <c r="HK70" s="1" t="s">
        <v>778</v>
      </c>
    </row>
    <row r="71" spans="1:257" ht="145" hidden="1" x14ac:dyDescent="0.35">
      <c r="A71" s="1" t="s">
        <v>776</v>
      </c>
      <c r="B71" s="14" t="s">
        <v>820</v>
      </c>
      <c r="C71" s="1" t="str" cm="1">
        <f t="array" ref="C71">GetURL(B71)</f>
        <v>https://explore-education-statistics.service.gov.uk/find-statistics/further-education-and-skills</v>
      </c>
      <c r="D71" s="1" t="s">
        <v>845</v>
      </c>
      <c r="E71" s="1" t="s">
        <v>778</v>
      </c>
      <c r="F71" s="1" t="s">
        <v>778</v>
      </c>
      <c r="G71" s="1" t="s">
        <v>778</v>
      </c>
      <c r="H71" s="1" t="s">
        <v>778</v>
      </c>
      <c r="I71" s="1" t="s">
        <v>778</v>
      </c>
      <c r="AK71" s="1" t="s">
        <v>778</v>
      </c>
      <c r="DP71" s="1" t="s">
        <v>778</v>
      </c>
      <c r="FF71" s="1" t="s">
        <v>778</v>
      </c>
      <c r="IW71" s="1" t="s">
        <v>778</v>
      </c>
    </row>
    <row r="72" spans="1:257" ht="145" hidden="1" x14ac:dyDescent="0.35">
      <c r="A72" s="1" t="s">
        <v>776</v>
      </c>
      <c r="B72" s="14" t="s">
        <v>820</v>
      </c>
      <c r="C72" s="1" t="str" cm="1">
        <f t="array" ref="C72">GetURL(B72)</f>
        <v>https://explore-education-statistics.service.gov.uk/find-statistics/further-education-and-skills</v>
      </c>
      <c r="D72" s="1" t="s">
        <v>846</v>
      </c>
      <c r="E72" s="1" t="s">
        <v>778</v>
      </c>
      <c r="F72" s="1" t="s">
        <v>778</v>
      </c>
      <c r="G72" s="1" t="s">
        <v>778</v>
      </c>
      <c r="H72" s="1" t="s">
        <v>778</v>
      </c>
      <c r="I72" s="1" t="s">
        <v>778</v>
      </c>
      <c r="J72" s="1" t="s">
        <v>778</v>
      </c>
      <c r="AK72" s="1" t="s">
        <v>778</v>
      </c>
      <c r="DF72" s="1" t="s">
        <v>778</v>
      </c>
      <c r="DL72" s="1" t="s">
        <v>778</v>
      </c>
      <c r="DP72" s="1" t="s">
        <v>778</v>
      </c>
      <c r="EB72" s="1" t="s">
        <v>778</v>
      </c>
      <c r="FF72" s="1" t="s">
        <v>778</v>
      </c>
      <c r="FI72" s="1" t="s">
        <v>778</v>
      </c>
    </row>
    <row r="73" spans="1:257" ht="145" hidden="1" x14ac:dyDescent="0.35">
      <c r="A73" s="1" t="s">
        <v>776</v>
      </c>
      <c r="B73" s="14" t="s">
        <v>820</v>
      </c>
      <c r="C73" s="1" t="str" cm="1">
        <f t="array" ref="C73">GetURL(B73)</f>
        <v>https://explore-education-statistics.service.gov.uk/find-statistics/further-education-and-skills</v>
      </c>
      <c r="D73" s="1" t="s">
        <v>847</v>
      </c>
      <c r="E73" s="1" t="s">
        <v>778</v>
      </c>
      <c r="F73" s="1" t="s">
        <v>778</v>
      </c>
      <c r="G73" s="1" t="s">
        <v>778</v>
      </c>
      <c r="H73" s="1" t="s">
        <v>778</v>
      </c>
      <c r="I73" s="1" t="s">
        <v>778</v>
      </c>
      <c r="AE73" s="1" t="s">
        <v>778</v>
      </c>
      <c r="AO73" s="1" t="s">
        <v>778</v>
      </c>
      <c r="ER73" s="1" t="s">
        <v>778</v>
      </c>
      <c r="ES73" s="1" t="s">
        <v>778</v>
      </c>
      <c r="EZ73" s="1" t="s">
        <v>778</v>
      </c>
      <c r="FD73" s="1" t="s">
        <v>778</v>
      </c>
    </row>
    <row r="74" spans="1:257" ht="145" hidden="1" x14ac:dyDescent="0.35">
      <c r="A74" s="1" t="s">
        <v>776</v>
      </c>
      <c r="B74" s="14" t="s">
        <v>820</v>
      </c>
      <c r="C74" s="1" t="str" cm="1">
        <f t="array" ref="C74">GetURL(B74)</f>
        <v>https://explore-education-statistics.service.gov.uk/find-statistics/further-education-and-skills</v>
      </c>
      <c r="D74" s="1" t="s">
        <v>848</v>
      </c>
      <c r="E74" s="1" t="s">
        <v>778</v>
      </c>
      <c r="F74" s="1" t="s">
        <v>778</v>
      </c>
      <c r="G74" s="1" t="s">
        <v>778</v>
      </c>
      <c r="H74" s="1" t="s">
        <v>778</v>
      </c>
      <c r="I74" s="1" t="s">
        <v>778</v>
      </c>
      <c r="AR74" s="1" t="s">
        <v>778</v>
      </c>
      <c r="AV74" s="1" t="s">
        <v>778</v>
      </c>
      <c r="BK74" s="1" t="s">
        <v>778</v>
      </c>
      <c r="BL74" s="1" t="s">
        <v>778</v>
      </c>
      <c r="BS74" s="1" t="s">
        <v>778</v>
      </c>
      <c r="FI74" s="1" t="s">
        <v>778</v>
      </c>
      <c r="HC74" s="1" t="s">
        <v>778</v>
      </c>
      <c r="HD74" s="1" t="s">
        <v>778</v>
      </c>
      <c r="HE74" s="1" t="s">
        <v>778</v>
      </c>
      <c r="HF74" s="1" t="s">
        <v>778</v>
      </c>
      <c r="HG74" s="1" t="s">
        <v>778</v>
      </c>
      <c r="HH74" s="1" t="s">
        <v>778</v>
      </c>
      <c r="HI74" s="1" t="s">
        <v>778</v>
      </c>
      <c r="HJ74" s="1" t="s">
        <v>778</v>
      </c>
      <c r="HK74" s="1" t="s">
        <v>778</v>
      </c>
      <c r="HL74" s="1" t="s">
        <v>778</v>
      </c>
      <c r="HM74" s="1" t="s">
        <v>778</v>
      </c>
      <c r="HN74" s="1" t="s">
        <v>778</v>
      </c>
      <c r="HO74" s="1" t="s">
        <v>778</v>
      </c>
      <c r="HP74" s="1" t="s">
        <v>778</v>
      </c>
      <c r="HQ74" s="1" t="s">
        <v>778</v>
      </c>
      <c r="HR74" s="1" t="s">
        <v>778</v>
      </c>
      <c r="HS74" s="1" t="s">
        <v>778</v>
      </c>
      <c r="HT74" s="1" t="s">
        <v>778</v>
      </c>
    </row>
    <row r="75" spans="1:257" ht="145" hidden="1" x14ac:dyDescent="0.35">
      <c r="A75" s="1" t="s">
        <v>776</v>
      </c>
      <c r="B75" s="14" t="s">
        <v>820</v>
      </c>
      <c r="C75" s="1" t="str" cm="1">
        <f t="array" ref="C75">GetURL(B75)</f>
        <v>https://explore-education-statistics.service.gov.uk/find-statistics/further-education-and-skills</v>
      </c>
      <c r="D75" s="1" t="s">
        <v>849</v>
      </c>
      <c r="E75" s="1" t="s">
        <v>778</v>
      </c>
      <c r="F75" s="1" t="s">
        <v>778</v>
      </c>
      <c r="G75" s="1" t="s">
        <v>778</v>
      </c>
      <c r="H75" s="1" t="s">
        <v>778</v>
      </c>
      <c r="I75" s="1" t="s">
        <v>778</v>
      </c>
      <c r="AV75" s="1" t="s">
        <v>778</v>
      </c>
      <c r="AY75" s="1" t="s">
        <v>778</v>
      </c>
      <c r="BK75" s="1" t="s">
        <v>778</v>
      </c>
      <c r="BS75" s="1" t="s">
        <v>778</v>
      </c>
      <c r="BT75" s="1" t="s">
        <v>778</v>
      </c>
      <c r="BU75" s="1" t="s">
        <v>778</v>
      </c>
      <c r="FI75" s="1" t="s">
        <v>778</v>
      </c>
      <c r="HC75" s="1" t="s">
        <v>778</v>
      </c>
      <c r="HD75" s="1" t="s">
        <v>778</v>
      </c>
      <c r="HE75" s="1" t="s">
        <v>778</v>
      </c>
      <c r="HF75" s="1" t="s">
        <v>778</v>
      </c>
      <c r="HG75" s="1" t="s">
        <v>778</v>
      </c>
      <c r="HH75" s="1" t="s">
        <v>778</v>
      </c>
      <c r="HI75" s="1" t="s">
        <v>778</v>
      </c>
      <c r="HJ75" s="1" t="s">
        <v>778</v>
      </c>
      <c r="HK75" s="1" t="s">
        <v>778</v>
      </c>
      <c r="HL75" s="1" t="s">
        <v>778</v>
      </c>
      <c r="HM75" s="1" t="s">
        <v>778</v>
      </c>
      <c r="HN75" s="1" t="s">
        <v>778</v>
      </c>
      <c r="HO75" s="1" t="s">
        <v>778</v>
      </c>
      <c r="HP75" s="1" t="s">
        <v>778</v>
      </c>
      <c r="HQ75" s="1" t="s">
        <v>778</v>
      </c>
      <c r="HR75" s="1" t="s">
        <v>778</v>
      </c>
      <c r="HS75" s="1" t="s">
        <v>778</v>
      </c>
      <c r="HT75" s="1" t="s">
        <v>778</v>
      </c>
    </row>
    <row r="76" spans="1:257" ht="145" hidden="1" x14ac:dyDescent="0.35">
      <c r="A76" s="1" t="s">
        <v>776</v>
      </c>
      <c r="B76" s="14" t="s">
        <v>820</v>
      </c>
      <c r="C76" s="1" t="str" cm="1">
        <f t="array" ref="C76">GetURL(B76)</f>
        <v>https://explore-education-statistics.service.gov.uk/find-statistics/further-education-and-skills</v>
      </c>
      <c r="D76" s="1" t="s">
        <v>850</v>
      </c>
      <c r="E76" s="1" t="s">
        <v>778</v>
      </c>
      <c r="F76" s="1" t="s">
        <v>778</v>
      </c>
      <c r="G76" s="1" t="s">
        <v>778</v>
      </c>
      <c r="H76" s="1" t="s">
        <v>778</v>
      </c>
      <c r="I76" s="1" t="s">
        <v>778</v>
      </c>
      <c r="AE76" s="1" t="s">
        <v>778</v>
      </c>
      <c r="AO76" s="1" t="s">
        <v>778</v>
      </c>
      <c r="ER76" s="1" t="s">
        <v>778</v>
      </c>
      <c r="ES76" s="1" t="s">
        <v>778</v>
      </c>
      <c r="EZ76" s="1" t="s">
        <v>778</v>
      </c>
      <c r="FD76" s="1" t="s">
        <v>778</v>
      </c>
    </row>
    <row r="77" spans="1:257" ht="145" hidden="1" x14ac:dyDescent="0.35">
      <c r="A77" s="1" t="s">
        <v>776</v>
      </c>
      <c r="B77" s="14" t="s">
        <v>820</v>
      </c>
      <c r="C77" s="1" t="str" cm="1">
        <f t="array" ref="C77">GetURL(B77)</f>
        <v>https://explore-education-statistics.service.gov.uk/find-statistics/further-education-and-skills</v>
      </c>
      <c r="D77" s="1" t="s">
        <v>851</v>
      </c>
      <c r="E77" s="1" t="s">
        <v>778</v>
      </c>
      <c r="F77" s="1" t="s">
        <v>778</v>
      </c>
      <c r="G77" s="1" t="s">
        <v>778</v>
      </c>
      <c r="H77" s="1" t="s">
        <v>778</v>
      </c>
      <c r="I77" s="1" t="s">
        <v>778</v>
      </c>
      <c r="AK77" s="1" t="s">
        <v>778</v>
      </c>
      <c r="BF77" s="1" t="s">
        <v>778</v>
      </c>
      <c r="FG77" s="1" t="s">
        <v>778</v>
      </c>
      <c r="FH77" s="1" t="s">
        <v>778</v>
      </c>
      <c r="GI77" s="1" t="s">
        <v>778</v>
      </c>
    </row>
    <row r="78" spans="1:257" ht="145" hidden="1" x14ac:dyDescent="0.35">
      <c r="A78" s="1" t="s">
        <v>776</v>
      </c>
      <c r="B78" s="14" t="s">
        <v>820</v>
      </c>
      <c r="C78" s="1" t="str" cm="1">
        <f t="array" ref="C78">GetURL(B78)</f>
        <v>https://explore-education-statistics.service.gov.uk/find-statistics/further-education-and-skills</v>
      </c>
      <c r="D78" s="1" t="s">
        <v>852</v>
      </c>
      <c r="E78" s="1" t="s">
        <v>778</v>
      </c>
      <c r="F78" s="1" t="s">
        <v>778</v>
      </c>
      <c r="G78" s="1" t="s">
        <v>778</v>
      </c>
      <c r="H78" s="1" t="s">
        <v>778</v>
      </c>
      <c r="I78" s="1" t="s">
        <v>778</v>
      </c>
      <c r="FG78" s="1" t="s">
        <v>778</v>
      </c>
      <c r="FH78" s="1" t="s">
        <v>778</v>
      </c>
      <c r="HC78" s="1" t="s">
        <v>778</v>
      </c>
      <c r="HD78" s="1" t="s">
        <v>778</v>
      </c>
      <c r="HE78" s="1" t="s">
        <v>778</v>
      </c>
      <c r="HF78" s="1" t="s">
        <v>778</v>
      </c>
      <c r="HG78" s="1" t="s">
        <v>778</v>
      </c>
      <c r="HH78" s="1" t="s">
        <v>778</v>
      </c>
      <c r="HI78" s="1" t="s">
        <v>778</v>
      </c>
      <c r="HJ78" s="1" t="s">
        <v>778</v>
      </c>
      <c r="HK78" s="1" t="s">
        <v>778</v>
      </c>
      <c r="HL78" s="1" t="s">
        <v>778</v>
      </c>
      <c r="HM78" s="1" t="s">
        <v>778</v>
      </c>
      <c r="HN78" s="1" t="s">
        <v>778</v>
      </c>
      <c r="HO78" s="1" t="s">
        <v>778</v>
      </c>
      <c r="HP78" s="1" t="s">
        <v>778</v>
      </c>
      <c r="HQ78" s="1" t="s">
        <v>778</v>
      </c>
      <c r="HR78" s="1" t="s">
        <v>778</v>
      </c>
      <c r="HS78" s="1" t="s">
        <v>778</v>
      </c>
      <c r="HT78" s="1" t="s">
        <v>778</v>
      </c>
    </row>
    <row r="79" spans="1:257" ht="145" hidden="1" x14ac:dyDescent="0.35">
      <c r="A79" s="1" t="s">
        <v>776</v>
      </c>
      <c r="B79" s="14" t="s">
        <v>820</v>
      </c>
      <c r="C79" s="1" t="str" cm="1">
        <f t="array" ref="C79">GetURL(B79)</f>
        <v>https://explore-education-statistics.service.gov.uk/find-statistics/further-education-and-skills</v>
      </c>
      <c r="D79" s="1" t="s">
        <v>853</v>
      </c>
      <c r="E79" s="1" t="s">
        <v>778</v>
      </c>
      <c r="F79" s="1" t="s">
        <v>778</v>
      </c>
      <c r="G79" s="1" t="s">
        <v>778</v>
      </c>
      <c r="H79" s="1" t="s">
        <v>778</v>
      </c>
      <c r="I79" s="1" t="s">
        <v>778</v>
      </c>
      <c r="AV79" s="1" t="s">
        <v>778</v>
      </c>
      <c r="AZ79" s="1" t="s">
        <v>778</v>
      </c>
      <c r="BF79" s="1" t="s">
        <v>778</v>
      </c>
      <c r="BG79" s="1" t="s">
        <v>778</v>
      </c>
      <c r="GI79" s="1" t="s">
        <v>778</v>
      </c>
      <c r="IR79" s="1" t="s">
        <v>778</v>
      </c>
    </row>
    <row r="80" spans="1:257" ht="145" hidden="1" x14ac:dyDescent="0.35">
      <c r="A80" s="1" t="s">
        <v>776</v>
      </c>
      <c r="B80" s="14" t="s">
        <v>820</v>
      </c>
      <c r="C80" s="1" t="str" cm="1">
        <f t="array" ref="C80">GetURL(B80)</f>
        <v>https://explore-education-statistics.service.gov.uk/find-statistics/further-education-and-skills</v>
      </c>
      <c r="D80" s="1" t="s">
        <v>854</v>
      </c>
      <c r="E80" s="1" t="s">
        <v>778</v>
      </c>
      <c r="F80" s="1" t="s">
        <v>778</v>
      </c>
      <c r="G80" s="1" t="s">
        <v>778</v>
      </c>
      <c r="H80" s="1" t="s">
        <v>778</v>
      </c>
      <c r="I80" s="1" t="s">
        <v>778</v>
      </c>
      <c r="BF80" s="1" t="s">
        <v>778</v>
      </c>
      <c r="DG80" s="1" t="s">
        <v>778</v>
      </c>
      <c r="DM80" s="1" t="s">
        <v>778</v>
      </c>
      <c r="ED80" s="1" t="s">
        <v>778</v>
      </c>
      <c r="EE80" s="1" t="s">
        <v>778</v>
      </c>
    </row>
    <row r="81" spans="1:685" ht="145" hidden="1" x14ac:dyDescent="0.35">
      <c r="A81" s="1" t="s">
        <v>776</v>
      </c>
      <c r="B81" s="14" t="s">
        <v>820</v>
      </c>
      <c r="C81" s="1" t="str" cm="1">
        <f t="array" ref="C81">GetURL(B81)</f>
        <v>https://explore-education-statistics.service.gov.uk/find-statistics/further-education-and-skills</v>
      </c>
      <c r="D81" s="1" t="s">
        <v>855</v>
      </c>
      <c r="E81" s="1" t="s">
        <v>778</v>
      </c>
      <c r="F81" s="1" t="s">
        <v>778</v>
      </c>
      <c r="G81" s="1" t="s">
        <v>778</v>
      </c>
      <c r="H81" s="1" t="s">
        <v>778</v>
      </c>
      <c r="I81" s="1" t="s">
        <v>778</v>
      </c>
      <c r="EI81" s="1" t="s">
        <v>778</v>
      </c>
      <c r="EJ81" s="1" t="s">
        <v>778</v>
      </c>
      <c r="EK81" s="1" t="s">
        <v>778</v>
      </c>
      <c r="EL81" s="1" t="s">
        <v>778</v>
      </c>
      <c r="GI81" s="1" t="s">
        <v>778</v>
      </c>
      <c r="GJ81" s="1" t="s">
        <v>778</v>
      </c>
      <c r="GK81" s="1" t="s">
        <v>778</v>
      </c>
      <c r="GL81" s="1" t="s">
        <v>778</v>
      </c>
      <c r="GM81" s="1" t="s">
        <v>778</v>
      </c>
      <c r="GN81" s="1" t="s">
        <v>778</v>
      </c>
      <c r="GO81" s="1" t="s">
        <v>778</v>
      </c>
    </row>
    <row r="82" spans="1:685" ht="145" hidden="1" x14ac:dyDescent="0.35">
      <c r="A82" s="1" t="s">
        <v>776</v>
      </c>
      <c r="B82" s="14" t="s">
        <v>820</v>
      </c>
      <c r="C82" s="1" t="str" cm="1">
        <f t="array" ref="C82">GetURL(B82)</f>
        <v>https://explore-education-statistics.service.gov.uk/find-statistics/further-education-and-skills</v>
      </c>
      <c r="D82" s="1" t="s">
        <v>856</v>
      </c>
      <c r="E82" s="1" t="s">
        <v>778</v>
      </c>
      <c r="F82" s="1" t="s">
        <v>778</v>
      </c>
      <c r="G82" s="1" t="s">
        <v>778</v>
      </c>
      <c r="H82" s="1" t="s">
        <v>778</v>
      </c>
      <c r="I82" s="1" t="s">
        <v>778</v>
      </c>
      <c r="FA82" s="1" t="s">
        <v>778</v>
      </c>
      <c r="FB82" s="1" t="s">
        <v>778</v>
      </c>
      <c r="FC82" s="1" t="s">
        <v>778</v>
      </c>
    </row>
    <row r="83" spans="1:685" ht="145" hidden="1" x14ac:dyDescent="0.35">
      <c r="A83" s="1" t="s">
        <v>776</v>
      </c>
      <c r="B83" s="14" t="s">
        <v>48</v>
      </c>
      <c r="C83" s="1" t="str" cm="1">
        <f t="array" ref="C83">GetURL(B83)</f>
        <v>https://explore-education-statistics.service.gov.uk/find-statistics/further-education-skills-index</v>
      </c>
      <c r="D83" s="1" t="s">
        <v>857</v>
      </c>
      <c r="E83" s="1" t="s">
        <v>778</v>
      </c>
      <c r="F83" s="1" t="s">
        <v>778</v>
      </c>
      <c r="G83" s="1" t="s">
        <v>778</v>
      </c>
      <c r="H83" s="1" t="s">
        <v>778</v>
      </c>
      <c r="I83" s="1" t="s">
        <v>778</v>
      </c>
      <c r="FI83" s="1" t="s">
        <v>778</v>
      </c>
      <c r="RE83" s="1" t="s">
        <v>778</v>
      </c>
      <c r="RI83" s="1" t="s">
        <v>778</v>
      </c>
      <c r="RJ83" s="1" t="s">
        <v>778</v>
      </c>
      <c r="RK83" s="1" t="s">
        <v>778</v>
      </c>
      <c r="RL83" s="1" t="s">
        <v>778</v>
      </c>
    </row>
    <row r="84" spans="1:685" ht="145" hidden="1" x14ac:dyDescent="0.35">
      <c r="A84" s="1" t="s">
        <v>776</v>
      </c>
      <c r="B84" s="14" t="s">
        <v>48</v>
      </c>
      <c r="C84" s="1" t="str" cm="1">
        <f t="array" ref="C84">GetURL(B84)</f>
        <v>https://explore-education-statistics.service.gov.uk/find-statistics/further-education-skills-index</v>
      </c>
      <c r="D84" s="1" t="s">
        <v>858</v>
      </c>
      <c r="E84" s="1" t="s">
        <v>778</v>
      </c>
      <c r="F84" s="1" t="s">
        <v>778</v>
      </c>
      <c r="G84" s="1" t="s">
        <v>778</v>
      </c>
      <c r="H84" s="1" t="s">
        <v>778</v>
      </c>
      <c r="I84" s="1" t="s">
        <v>778</v>
      </c>
      <c r="AK84" s="1" t="s">
        <v>778</v>
      </c>
      <c r="BC84" s="1" t="s">
        <v>778</v>
      </c>
      <c r="CC84" s="1">
        <v>1</v>
      </c>
      <c r="FI84" s="1" t="s">
        <v>778</v>
      </c>
      <c r="RG84" s="1" t="s">
        <v>778</v>
      </c>
      <c r="RH84" s="1" t="s">
        <v>778</v>
      </c>
    </row>
    <row r="85" spans="1:685" ht="217.5" hidden="1" x14ac:dyDescent="0.35">
      <c r="A85" s="1" t="s">
        <v>859</v>
      </c>
      <c r="B85" s="14" t="s">
        <v>84</v>
      </c>
      <c r="C85" s="1" t="str" cm="1">
        <f t="array" ref="C85">GetURL(B85)</f>
        <v>https://explore-education-statistics.service.gov.uk/find-statistics/participation-in-education-training-and-neet-age-16-to-17-by-local-authority</v>
      </c>
      <c r="D85" s="1" t="s">
        <v>861</v>
      </c>
      <c r="E85" s="1" t="s">
        <v>778</v>
      </c>
      <c r="F85" s="1" t="s">
        <v>778</v>
      </c>
      <c r="G85" s="1" t="s">
        <v>778</v>
      </c>
      <c r="H85" s="1" t="s">
        <v>778</v>
      </c>
      <c r="I85" s="1" t="s">
        <v>778</v>
      </c>
      <c r="J85" s="1" t="s">
        <v>778</v>
      </c>
      <c r="K85" s="1" t="s">
        <v>778</v>
      </c>
      <c r="L85" s="1" t="s">
        <v>778</v>
      </c>
      <c r="M85" s="1" t="s">
        <v>778</v>
      </c>
      <c r="N85" s="1" t="s">
        <v>778</v>
      </c>
      <c r="AE85" s="1" t="s">
        <v>778</v>
      </c>
      <c r="AG85" s="1" t="s">
        <v>778</v>
      </c>
      <c r="AS85" s="1" t="s">
        <v>778</v>
      </c>
      <c r="AY85" s="1" t="s">
        <v>778</v>
      </c>
      <c r="JA85" s="1" t="s">
        <v>778</v>
      </c>
    </row>
    <row r="86" spans="1:685" s="9" customFormat="1" ht="217.5" hidden="1" x14ac:dyDescent="0.35">
      <c r="A86" s="9" t="s">
        <v>859</v>
      </c>
      <c r="B86" s="44" t="s">
        <v>84</v>
      </c>
      <c r="C86" s="9" t="str" cm="1">
        <f t="array" ref="C86">GetURL(B86)</f>
        <v>https://explore-education-statistics.service.gov.uk/find-statistics/participation-in-education-training-and-neet-age-16-to-17-by-local-authority</v>
      </c>
      <c r="D86" s="9" t="s">
        <v>862</v>
      </c>
      <c r="E86" s="9" t="s">
        <v>778</v>
      </c>
      <c r="F86" s="9" t="s">
        <v>778</v>
      </c>
      <c r="G86" s="9" t="s">
        <v>778</v>
      </c>
      <c r="H86" s="9" t="s">
        <v>778</v>
      </c>
      <c r="I86" s="9" t="s">
        <v>778</v>
      </c>
      <c r="J86" s="9" t="s">
        <v>778</v>
      </c>
      <c r="K86" s="9" t="s">
        <v>778</v>
      </c>
      <c r="L86" s="9" t="s">
        <v>778</v>
      </c>
      <c r="M86" s="9" t="s">
        <v>778</v>
      </c>
      <c r="N86" s="9" t="s">
        <v>778</v>
      </c>
      <c r="AE86" s="9" t="s">
        <v>778</v>
      </c>
      <c r="AG86" s="9" t="s">
        <v>778</v>
      </c>
      <c r="AJ86" s="1"/>
      <c r="AL86" s="1"/>
      <c r="AS86" s="9" t="s">
        <v>778</v>
      </c>
      <c r="DY86" s="9" t="s">
        <v>778</v>
      </c>
      <c r="EC86" s="46" t="s">
        <v>778</v>
      </c>
      <c r="ET86" s="1"/>
      <c r="IX86" s="9" t="s">
        <v>778</v>
      </c>
      <c r="VO86" s="1"/>
      <c r="WD86" s="1"/>
      <c r="XY86" s="1"/>
      <c r="ZI86" s="45"/>
    </row>
    <row r="87" spans="1:685" s="9" customFormat="1" ht="217.5" hidden="1" x14ac:dyDescent="0.35">
      <c r="A87" s="9" t="s">
        <v>859</v>
      </c>
      <c r="B87" s="44" t="s">
        <v>84</v>
      </c>
      <c r="C87" s="9" t="str" cm="1">
        <f t="array" ref="C87">GetURL(B87)</f>
        <v>https://explore-education-statistics.service.gov.uk/find-statistics/participation-in-education-training-and-neet-age-16-to-17-by-local-authority</v>
      </c>
      <c r="D87" s="9" t="s">
        <v>863</v>
      </c>
      <c r="E87" s="9" t="s">
        <v>778</v>
      </c>
      <c r="F87" s="9" t="s">
        <v>778</v>
      </c>
      <c r="G87" s="9" t="s">
        <v>778</v>
      </c>
      <c r="H87" s="9" t="s">
        <v>778</v>
      </c>
      <c r="I87" s="9" t="s">
        <v>778</v>
      </c>
      <c r="J87" s="9" t="s">
        <v>778</v>
      </c>
      <c r="K87" s="9" t="s">
        <v>778</v>
      </c>
      <c r="L87" s="9" t="s">
        <v>778</v>
      </c>
      <c r="M87" s="9" t="s">
        <v>778</v>
      </c>
      <c r="N87" s="9" t="s">
        <v>778</v>
      </c>
      <c r="AJ87" s="1"/>
      <c r="AL87" s="1"/>
      <c r="DP87" s="9" t="s">
        <v>778</v>
      </c>
      <c r="DQ87" s="9" t="s">
        <v>778</v>
      </c>
      <c r="DR87" s="9" t="s">
        <v>778</v>
      </c>
      <c r="DS87" s="9" t="s">
        <v>778</v>
      </c>
      <c r="EA87" s="46" t="s">
        <v>778</v>
      </c>
      <c r="ET87" s="1"/>
      <c r="VO87" s="1"/>
      <c r="WD87" s="1"/>
      <c r="XY87" s="1"/>
      <c r="ZI87" s="45"/>
    </row>
    <row r="88" spans="1:685" ht="217.5" hidden="1" x14ac:dyDescent="0.35">
      <c r="A88" s="1" t="s">
        <v>859</v>
      </c>
      <c r="B88" s="14" t="s">
        <v>84</v>
      </c>
      <c r="C88" s="1" t="str" cm="1">
        <f t="array" ref="C88">GetURL(B88)</f>
        <v>https://explore-education-statistics.service.gov.uk/find-statistics/participation-in-education-training-and-neet-age-16-to-17-by-local-authority</v>
      </c>
      <c r="D88" s="1" t="s">
        <v>864</v>
      </c>
      <c r="E88" s="1" t="s">
        <v>778</v>
      </c>
      <c r="F88" s="1" t="s">
        <v>778</v>
      </c>
      <c r="G88" s="1" t="s">
        <v>778</v>
      </c>
      <c r="H88" s="1" t="s">
        <v>778</v>
      </c>
      <c r="I88" s="1" t="s">
        <v>778</v>
      </c>
      <c r="J88" s="1" t="s">
        <v>778</v>
      </c>
      <c r="K88" s="1" t="s">
        <v>778</v>
      </c>
      <c r="L88" s="1" t="s">
        <v>778</v>
      </c>
      <c r="M88" s="1" t="s">
        <v>778</v>
      </c>
      <c r="N88" s="1" t="s">
        <v>778</v>
      </c>
      <c r="AS88" s="1" t="s">
        <v>778</v>
      </c>
    </row>
    <row r="89" spans="1:685" ht="130.5" hidden="1" x14ac:dyDescent="0.35">
      <c r="A89" s="1" t="s">
        <v>859</v>
      </c>
      <c r="B89" s="14" t="s">
        <v>76</v>
      </c>
      <c r="C89" s="1" t="str" cm="1">
        <f t="array" ref="C89">GetURL(B89)</f>
        <v>https://explore-education-statistics.service.gov.uk/find-statistics/neet-statistics-annual-brief</v>
      </c>
      <c r="D89" s="1" t="s">
        <v>868</v>
      </c>
      <c r="E89" s="1" t="s">
        <v>778</v>
      </c>
      <c r="F89" s="1" t="s">
        <v>778</v>
      </c>
      <c r="G89" s="1" t="s">
        <v>778</v>
      </c>
      <c r="H89" s="1" t="s">
        <v>778</v>
      </c>
      <c r="I89" s="1" t="s">
        <v>778</v>
      </c>
      <c r="J89" s="1" t="s">
        <v>778</v>
      </c>
      <c r="K89" s="1" t="s">
        <v>778</v>
      </c>
      <c r="AQ89" s="1" t="s">
        <v>778</v>
      </c>
      <c r="AS89" s="1" t="s">
        <v>778</v>
      </c>
      <c r="AY89" s="1" t="s">
        <v>778</v>
      </c>
      <c r="JF89" s="1" t="s">
        <v>778</v>
      </c>
      <c r="JR89" s="1" t="s">
        <v>778</v>
      </c>
      <c r="JS89" s="1" t="s">
        <v>778</v>
      </c>
      <c r="JT89" s="1" t="s">
        <v>778</v>
      </c>
      <c r="JU89" s="1" t="s">
        <v>778</v>
      </c>
      <c r="JV89" s="1" t="s">
        <v>778</v>
      </c>
      <c r="JW89" s="1" t="s">
        <v>778</v>
      </c>
      <c r="JX89" s="1" t="s">
        <v>778</v>
      </c>
      <c r="JY89" s="1" t="s">
        <v>778</v>
      </c>
      <c r="JZ89" s="1" t="s">
        <v>778</v>
      </c>
      <c r="KA89" s="1" t="s">
        <v>778</v>
      </c>
      <c r="KB89" s="1" t="s">
        <v>778</v>
      </c>
      <c r="KC89" s="1" t="s">
        <v>778</v>
      </c>
      <c r="KD89" s="1" t="s">
        <v>778</v>
      </c>
      <c r="KE89" s="1" t="s">
        <v>778</v>
      </c>
      <c r="KF89" s="1" t="s">
        <v>778</v>
      </c>
      <c r="KG89" s="1" t="s">
        <v>778</v>
      </c>
      <c r="KH89" s="1" t="s">
        <v>778</v>
      </c>
      <c r="KI89" s="1" t="s">
        <v>778</v>
      </c>
      <c r="KJ89" s="1" t="s">
        <v>778</v>
      </c>
      <c r="KK89" s="1" t="s">
        <v>778</v>
      </c>
      <c r="KL89" s="1" t="s">
        <v>778</v>
      </c>
      <c r="KM89" s="1" t="s">
        <v>778</v>
      </c>
      <c r="KN89" s="1" t="s">
        <v>778</v>
      </c>
      <c r="KO89" s="1" t="s">
        <v>778</v>
      </c>
      <c r="KP89" s="1" t="s">
        <v>778</v>
      </c>
      <c r="KQ89" s="1" t="s">
        <v>778</v>
      </c>
      <c r="KR89" s="1" t="s">
        <v>778</v>
      </c>
      <c r="KS89" s="1" t="s">
        <v>778</v>
      </c>
      <c r="KT89" s="1" t="s">
        <v>778</v>
      </c>
      <c r="KU89" s="1" t="s">
        <v>778</v>
      </c>
      <c r="KV89" s="1" t="s">
        <v>778</v>
      </c>
      <c r="KW89" s="1" t="s">
        <v>778</v>
      </c>
      <c r="KX89" s="1" t="s">
        <v>778</v>
      </c>
      <c r="KY89" s="1" t="s">
        <v>778</v>
      </c>
      <c r="KZ89" s="1" t="s">
        <v>778</v>
      </c>
      <c r="LA89" s="1" t="s">
        <v>778</v>
      </c>
      <c r="LB89" s="1" t="s">
        <v>778</v>
      </c>
      <c r="LC89" s="1" t="s">
        <v>778</v>
      </c>
      <c r="LD89" s="1" t="s">
        <v>778</v>
      </c>
      <c r="LE89" s="1" t="s">
        <v>778</v>
      </c>
      <c r="LF89" s="1" t="s">
        <v>778</v>
      </c>
      <c r="LG89" s="1" t="s">
        <v>778</v>
      </c>
      <c r="LH89" s="1" t="s">
        <v>778</v>
      </c>
      <c r="LI89" s="1" t="s">
        <v>778</v>
      </c>
      <c r="LJ89" s="1" t="s">
        <v>778</v>
      </c>
      <c r="LK89" s="1" t="s">
        <v>778</v>
      </c>
      <c r="LL89" s="1" t="s">
        <v>778</v>
      </c>
      <c r="LM89" s="1" t="s">
        <v>778</v>
      </c>
      <c r="LN89" s="1" t="s">
        <v>778</v>
      </c>
      <c r="LO89" s="1" t="s">
        <v>778</v>
      </c>
      <c r="LP89" s="1" t="s">
        <v>778</v>
      </c>
      <c r="LQ89" s="1" t="s">
        <v>778</v>
      </c>
      <c r="LR89" s="1" t="s">
        <v>778</v>
      </c>
      <c r="LS89" s="1" t="s">
        <v>778</v>
      </c>
      <c r="LT89" s="1" t="s">
        <v>778</v>
      </c>
      <c r="LU89" s="1" t="s">
        <v>778</v>
      </c>
      <c r="LV89" s="1" t="s">
        <v>778</v>
      </c>
      <c r="LW89" s="1" t="s">
        <v>778</v>
      </c>
      <c r="LX89" s="1" t="s">
        <v>778</v>
      </c>
      <c r="LY89" s="1" t="s">
        <v>778</v>
      </c>
      <c r="LZ89" s="1" t="s">
        <v>778</v>
      </c>
      <c r="MA89" s="1" t="s">
        <v>778</v>
      </c>
      <c r="MB89" s="1" t="s">
        <v>778</v>
      </c>
      <c r="MC89" s="1" t="s">
        <v>778</v>
      </c>
      <c r="MD89" s="1" t="s">
        <v>778</v>
      </c>
      <c r="ME89" s="1" t="s">
        <v>778</v>
      </c>
      <c r="MF89" s="1" t="s">
        <v>778</v>
      </c>
      <c r="MG89" s="1" t="s">
        <v>778</v>
      </c>
      <c r="MH89" s="1" t="s">
        <v>778</v>
      </c>
      <c r="MI89" s="1" t="s">
        <v>778</v>
      </c>
      <c r="MJ89" s="1" t="s">
        <v>778</v>
      </c>
      <c r="MK89" s="1" t="s">
        <v>778</v>
      </c>
      <c r="ML89" s="1" t="s">
        <v>778</v>
      </c>
      <c r="MM89" s="1" t="s">
        <v>778</v>
      </c>
      <c r="MN89" s="1" t="s">
        <v>778</v>
      </c>
      <c r="MO89" s="1" t="s">
        <v>778</v>
      </c>
      <c r="MP89" s="1" t="s">
        <v>778</v>
      </c>
      <c r="MQ89" s="1" t="s">
        <v>778</v>
      </c>
      <c r="MR89" s="1" t="s">
        <v>778</v>
      </c>
      <c r="MS89" s="1" t="s">
        <v>778</v>
      </c>
      <c r="MT89" s="1" t="s">
        <v>778</v>
      </c>
    </row>
    <row r="90" spans="1:685" ht="130.5" hidden="1" x14ac:dyDescent="0.35">
      <c r="A90" s="1" t="s">
        <v>859</v>
      </c>
      <c r="B90" s="14" t="s">
        <v>76</v>
      </c>
      <c r="C90" s="1" t="str" cm="1">
        <f t="array" ref="C90">GetURL(B90)</f>
        <v>https://explore-education-statistics.service.gov.uk/find-statistics/neet-statistics-annual-brief</v>
      </c>
      <c r="D90" s="1" t="s">
        <v>869</v>
      </c>
      <c r="E90" s="1" t="s">
        <v>778</v>
      </c>
      <c r="F90" s="1" t="s">
        <v>778</v>
      </c>
      <c r="G90" s="1" t="s">
        <v>778</v>
      </c>
      <c r="H90" s="1" t="s">
        <v>778</v>
      </c>
      <c r="I90" s="1" t="s">
        <v>778</v>
      </c>
      <c r="AQ90" s="1" t="s">
        <v>778</v>
      </c>
      <c r="AS90" s="1" t="s">
        <v>778</v>
      </c>
      <c r="AY90" s="1" t="s">
        <v>778</v>
      </c>
      <c r="JS90" s="1" t="s">
        <v>778</v>
      </c>
      <c r="KD90" s="1" t="s">
        <v>778</v>
      </c>
      <c r="KF90" s="1" t="s">
        <v>778</v>
      </c>
      <c r="KG90" s="1" t="s">
        <v>778</v>
      </c>
      <c r="MU90" s="1" t="s">
        <v>778</v>
      </c>
      <c r="MV90" s="1" t="s">
        <v>778</v>
      </c>
    </row>
    <row r="91" spans="1:685" ht="130.5" hidden="1" x14ac:dyDescent="0.35">
      <c r="A91" s="1" t="s">
        <v>859</v>
      </c>
      <c r="B91" s="14" t="s">
        <v>76</v>
      </c>
      <c r="C91" s="1" t="str" cm="1">
        <f t="array" ref="C91">GetURL(B91)</f>
        <v>https://explore-education-statistics.service.gov.uk/find-statistics/neet-statistics-annual-brief</v>
      </c>
      <c r="D91" s="1" t="s">
        <v>870</v>
      </c>
      <c r="E91" s="1" t="s">
        <v>778</v>
      </c>
      <c r="F91" s="1" t="s">
        <v>778</v>
      </c>
      <c r="G91" s="1" t="s">
        <v>778</v>
      </c>
      <c r="H91" s="1" t="s">
        <v>778</v>
      </c>
      <c r="I91" s="1" t="s">
        <v>778</v>
      </c>
      <c r="JR91" s="1" t="s">
        <v>778</v>
      </c>
      <c r="MW91" s="1" t="s">
        <v>778</v>
      </c>
      <c r="MX91" s="1" t="s">
        <v>778</v>
      </c>
      <c r="MY91" s="1" t="s">
        <v>778</v>
      </c>
      <c r="MZ91" s="1" t="s">
        <v>778</v>
      </c>
      <c r="NA91" s="1" t="s">
        <v>778</v>
      </c>
      <c r="NB91" s="1" t="s">
        <v>778</v>
      </c>
      <c r="NC91" s="1" t="s">
        <v>778</v>
      </c>
      <c r="ND91" s="1" t="s">
        <v>778</v>
      </c>
      <c r="NE91" s="1" t="s">
        <v>778</v>
      </c>
      <c r="NF91" s="1" t="s">
        <v>778</v>
      </c>
      <c r="NG91" s="1" t="s">
        <v>778</v>
      </c>
      <c r="NH91" s="1" t="s">
        <v>778</v>
      </c>
    </row>
    <row r="92" spans="1:685" ht="145" hidden="1" x14ac:dyDescent="0.35">
      <c r="A92" s="1" t="s">
        <v>859</v>
      </c>
      <c r="B92" s="14" t="s">
        <v>63</v>
      </c>
      <c r="C92" s="1" t="str" cm="1">
        <f t="array" ref="C92">GetURL(B92)</f>
        <v>https://explore-education-statistics.service.gov.uk/find-statistics/key-stage-4-destination-measures</v>
      </c>
      <c r="D92" s="1" t="s">
        <v>871</v>
      </c>
      <c r="E92" s="1" t="s">
        <v>778</v>
      </c>
      <c r="F92" s="1" t="s">
        <v>778</v>
      </c>
      <c r="G92" s="1" t="s">
        <v>778</v>
      </c>
      <c r="H92" s="1" t="s">
        <v>778</v>
      </c>
      <c r="I92" s="1" t="s">
        <v>778</v>
      </c>
      <c r="AE92" s="1" t="s">
        <v>778</v>
      </c>
      <c r="AG92" s="1" t="s">
        <v>778</v>
      </c>
      <c r="IX92" s="1" t="s">
        <v>778</v>
      </c>
      <c r="JJ92" s="1" t="s">
        <v>778</v>
      </c>
      <c r="JK92" s="1" t="s">
        <v>778</v>
      </c>
      <c r="NI92" s="1" t="s">
        <v>778</v>
      </c>
      <c r="NJ92" s="1" t="s">
        <v>778</v>
      </c>
      <c r="NK92" s="1" t="s">
        <v>778</v>
      </c>
      <c r="NO92" s="1" t="s">
        <v>778</v>
      </c>
      <c r="NS92" s="1" t="s">
        <v>778</v>
      </c>
      <c r="NT92" s="1" t="s">
        <v>778</v>
      </c>
      <c r="OH92" s="1" t="s">
        <v>778</v>
      </c>
      <c r="OI92" s="1" t="s">
        <v>778</v>
      </c>
      <c r="OK92" s="1" t="s">
        <v>778</v>
      </c>
      <c r="OL92" s="1" t="s">
        <v>778</v>
      </c>
      <c r="OM92" s="1" t="s">
        <v>778</v>
      </c>
      <c r="ON92" s="1" t="s">
        <v>778</v>
      </c>
      <c r="OP92" s="1" t="s">
        <v>778</v>
      </c>
      <c r="OQ92" s="1" t="s">
        <v>778</v>
      </c>
      <c r="OR92" s="1" t="s">
        <v>778</v>
      </c>
      <c r="PA92" s="1" t="s">
        <v>778</v>
      </c>
      <c r="PC92" s="1" t="s">
        <v>778</v>
      </c>
      <c r="PD92" s="1" t="s">
        <v>778</v>
      </c>
      <c r="PU92" s="1" t="s">
        <v>778</v>
      </c>
      <c r="PV92" s="1" t="s">
        <v>778</v>
      </c>
      <c r="PW92" s="1" t="s">
        <v>778</v>
      </c>
      <c r="PX92" s="1" t="s">
        <v>778</v>
      </c>
      <c r="PY92" s="1" t="s">
        <v>778</v>
      </c>
      <c r="PZ92" s="1" t="s">
        <v>778</v>
      </c>
      <c r="QA92" s="1" t="s">
        <v>778</v>
      </c>
      <c r="QB92" s="1" t="s">
        <v>778</v>
      </c>
      <c r="QC92" s="1" t="s">
        <v>778</v>
      </c>
    </row>
    <row r="93" spans="1:685" ht="145" hidden="1" x14ac:dyDescent="0.35">
      <c r="A93" s="1" t="s">
        <v>859</v>
      </c>
      <c r="B93" s="14" t="s">
        <v>63</v>
      </c>
      <c r="C93" s="1" t="str" cm="1">
        <f t="array" ref="C93">GetURL(B93)</f>
        <v>https://explore-education-statistics.service.gov.uk/find-statistics/key-stage-4-destination-measures</v>
      </c>
      <c r="D93" s="1" t="s">
        <v>872</v>
      </c>
      <c r="E93" s="1" t="s">
        <v>778</v>
      </c>
      <c r="F93" s="1" t="s">
        <v>778</v>
      </c>
      <c r="G93" s="1" t="s">
        <v>778</v>
      </c>
      <c r="H93" s="1" t="s">
        <v>778</v>
      </c>
      <c r="I93" s="1" t="s">
        <v>778</v>
      </c>
      <c r="J93" s="1" t="s">
        <v>778</v>
      </c>
      <c r="K93" s="1" t="s">
        <v>778</v>
      </c>
      <c r="L93" s="1" t="s">
        <v>778</v>
      </c>
      <c r="M93" s="1" t="s">
        <v>778</v>
      </c>
      <c r="N93" s="1" t="s">
        <v>778</v>
      </c>
      <c r="O93" s="1" t="s">
        <v>778</v>
      </c>
      <c r="P93" s="1" t="s">
        <v>778</v>
      </c>
      <c r="Q93" s="1" t="s">
        <v>778</v>
      </c>
      <c r="R93" s="1" t="s">
        <v>778</v>
      </c>
      <c r="W93" s="1" t="s">
        <v>778</v>
      </c>
      <c r="X93" s="1" t="s">
        <v>778</v>
      </c>
      <c r="AE93" s="1" t="s">
        <v>778</v>
      </c>
      <c r="AG93" s="1" t="s">
        <v>778</v>
      </c>
      <c r="IX93" s="1" t="s">
        <v>778</v>
      </c>
      <c r="JJ93" s="1" t="s">
        <v>778</v>
      </c>
      <c r="JK93" s="1" t="s">
        <v>778</v>
      </c>
      <c r="NI93" s="1" t="s">
        <v>778</v>
      </c>
      <c r="NJ93" s="1" t="s">
        <v>778</v>
      </c>
      <c r="NS93" s="1" t="s">
        <v>778</v>
      </c>
      <c r="NT93" s="1" t="s">
        <v>778</v>
      </c>
      <c r="OH93" s="1" t="s">
        <v>778</v>
      </c>
      <c r="OI93" s="1" t="s">
        <v>778</v>
      </c>
      <c r="OK93" s="1" t="s">
        <v>778</v>
      </c>
      <c r="PA93" s="1" t="s">
        <v>778</v>
      </c>
      <c r="PC93" s="1" t="s">
        <v>778</v>
      </c>
      <c r="PD93" s="1" t="s">
        <v>778</v>
      </c>
      <c r="PU93" s="1" t="s">
        <v>778</v>
      </c>
      <c r="PV93" s="1" t="s">
        <v>778</v>
      </c>
      <c r="PZ93" s="1" t="s">
        <v>778</v>
      </c>
      <c r="QC93" s="1" t="s">
        <v>778</v>
      </c>
    </row>
    <row r="94" spans="1:685" ht="145" hidden="1" x14ac:dyDescent="0.35">
      <c r="A94" s="1" t="s">
        <v>859</v>
      </c>
      <c r="B94" s="14" t="s">
        <v>63</v>
      </c>
      <c r="C94" s="1" t="str" cm="1">
        <f t="array" ref="C94">GetURL(B94)</f>
        <v>https://explore-education-statistics.service.gov.uk/find-statistics/key-stage-4-destination-measures</v>
      </c>
      <c r="D94" s="1" t="s">
        <v>873</v>
      </c>
      <c r="E94" s="1" t="s">
        <v>778</v>
      </c>
      <c r="F94" s="1" t="s">
        <v>778</v>
      </c>
      <c r="G94" s="1" t="s">
        <v>778</v>
      </c>
      <c r="H94" s="1" t="s">
        <v>778</v>
      </c>
      <c r="I94" s="1" t="s">
        <v>778</v>
      </c>
      <c r="IX94" s="1" t="s">
        <v>778</v>
      </c>
      <c r="NJ94" s="1" t="s">
        <v>778</v>
      </c>
      <c r="NK94" s="1" t="s">
        <v>778</v>
      </c>
      <c r="NO94" s="1" t="s">
        <v>778</v>
      </c>
      <c r="NS94" s="1" t="s">
        <v>778</v>
      </c>
      <c r="NT94" s="1" t="s">
        <v>778</v>
      </c>
      <c r="OH94" s="1" t="s">
        <v>778</v>
      </c>
      <c r="OI94" s="1" t="s">
        <v>778</v>
      </c>
      <c r="OK94" s="1" t="s">
        <v>778</v>
      </c>
      <c r="OL94" s="1" t="s">
        <v>778</v>
      </c>
      <c r="OM94" s="1" t="s">
        <v>778</v>
      </c>
      <c r="ON94" s="1" t="s">
        <v>778</v>
      </c>
      <c r="OP94" s="1" t="s">
        <v>778</v>
      </c>
      <c r="OQ94" s="1" t="s">
        <v>778</v>
      </c>
      <c r="OR94" s="1" t="s">
        <v>778</v>
      </c>
      <c r="PA94" s="1" t="s">
        <v>778</v>
      </c>
      <c r="PC94" s="1" t="s">
        <v>778</v>
      </c>
      <c r="PD94" s="1" t="s">
        <v>778</v>
      </c>
      <c r="PU94" s="1" t="s">
        <v>778</v>
      </c>
      <c r="PV94" s="1" t="s">
        <v>778</v>
      </c>
      <c r="PW94" s="1" t="s">
        <v>778</v>
      </c>
      <c r="PX94" s="1" t="s">
        <v>778</v>
      </c>
      <c r="PY94" s="1" t="s">
        <v>778</v>
      </c>
      <c r="PZ94" s="1" t="s">
        <v>778</v>
      </c>
      <c r="QA94" s="1" t="s">
        <v>778</v>
      </c>
      <c r="QB94" s="1" t="s">
        <v>778</v>
      </c>
    </row>
    <row r="95" spans="1:685" ht="145" hidden="1" x14ac:dyDescent="0.35">
      <c r="A95" s="1" t="s">
        <v>859</v>
      </c>
      <c r="B95" s="14" t="s">
        <v>21</v>
      </c>
      <c r="C95" s="1" t="str" cm="1">
        <f t="array" ref="C95">GetURL(B95)</f>
        <v>https://explore-education-statistics.service.gov.uk/find-statistics/16-18-destination-measures</v>
      </c>
      <c r="D95" s="1" t="s">
        <v>874</v>
      </c>
      <c r="E95" s="1" t="s">
        <v>778</v>
      </c>
      <c r="F95" s="1" t="s">
        <v>778</v>
      </c>
      <c r="G95" s="1" t="s">
        <v>778</v>
      </c>
      <c r="H95" s="1" t="s">
        <v>778</v>
      </c>
      <c r="I95" s="1" t="s">
        <v>778</v>
      </c>
      <c r="AE95" s="1" t="s">
        <v>778</v>
      </c>
      <c r="AG95" s="1" t="s">
        <v>778</v>
      </c>
      <c r="IX95" s="1" t="s">
        <v>778</v>
      </c>
      <c r="IY95" s="1" t="s">
        <v>778</v>
      </c>
      <c r="IZ95" s="1" t="s">
        <v>778</v>
      </c>
      <c r="JJ95" s="1" t="s">
        <v>778</v>
      </c>
      <c r="JK95" s="1" t="s">
        <v>778</v>
      </c>
      <c r="NI95" s="1" t="s">
        <v>778</v>
      </c>
      <c r="NJ95" s="1" t="s">
        <v>778</v>
      </c>
      <c r="NK95" s="1" t="s">
        <v>778</v>
      </c>
      <c r="NO95" s="1" t="s">
        <v>778</v>
      </c>
      <c r="NS95" s="1" t="s">
        <v>778</v>
      </c>
      <c r="NT95" s="1" t="s">
        <v>778</v>
      </c>
      <c r="NU95" s="1" t="s">
        <v>778</v>
      </c>
      <c r="NV95" s="1" t="s">
        <v>778</v>
      </c>
      <c r="NW95" s="1" t="s">
        <v>778</v>
      </c>
      <c r="OH95" s="1" t="s">
        <v>778</v>
      </c>
      <c r="OI95" s="1" t="s">
        <v>778</v>
      </c>
      <c r="OK95" s="1" t="s">
        <v>778</v>
      </c>
      <c r="OL95" s="1" t="s">
        <v>778</v>
      </c>
      <c r="OO95" s="1" t="s">
        <v>778</v>
      </c>
      <c r="OQ95" s="1" t="s">
        <v>778</v>
      </c>
      <c r="OR95" s="1" t="s">
        <v>778</v>
      </c>
      <c r="PA95" s="1" t="s">
        <v>778</v>
      </c>
      <c r="PB95" s="1" t="s">
        <v>778</v>
      </c>
      <c r="PC95" s="1" t="s">
        <v>778</v>
      </c>
      <c r="PD95" s="1" t="s">
        <v>778</v>
      </c>
      <c r="PU95" s="1" t="s">
        <v>778</v>
      </c>
      <c r="PV95" s="1" t="s">
        <v>778</v>
      </c>
      <c r="PW95" s="1" t="s">
        <v>778</v>
      </c>
      <c r="PX95" s="1" t="s">
        <v>778</v>
      </c>
      <c r="PY95" s="1" t="s">
        <v>778</v>
      </c>
      <c r="PZ95" s="1" t="s">
        <v>778</v>
      </c>
      <c r="QA95" s="1" t="s">
        <v>778</v>
      </c>
      <c r="QB95" s="1" t="s">
        <v>778</v>
      </c>
      <c r="QD95" s="1" t="s">
        <v>778</v>
      </c>
    </row>
    <row r="96" spans="1:685" ht="145" hidden="1" x14ac:dyDescent="0.35">
      <c r="A96" s="1" t="s">
        <v>859</v>
      </c>
      <c r="B96" s="14" t="s">
        <v>21</v>
      </c>
      <c r="C96" s="1" t="str" cm="1">
        <f t="array" ref="C96">GetURL(B96)</f>
        <v>https://explore-education-statistics.service.gov.uk/find-statistics/16-18-destination-measures</v>
      </c>
      <c r="D96" s="1" t="s">
        <v>875</v>
      </c>
      <c r="E96" s="1" t="s">
        <v>778</v>
      </c>
      <c r="F96" s="1" t="s">
        <v>778</v>
      </c>
      <c r="G96" s="1" t="s">
        <v>778</v>
      </c>
      <c r="H96" s="1" t="s">
        <v>778</v>
      </c>
      <c r="I96" s="1" t="s">
        <v>778</v>
      </c>
      <c r="J96" s="1" t="s">
        <v>778</v>
      </c>
      <c r="K96" s="1" t="s">
        <v>778</v>
      </c>
      <c r="L96" s="1" t="s">
        <v>778</v>
      </c>
      <c r="M96" s="1" t="s">
        <v>778</v>
      </c>
      <c r="N96" s="1" t="s">
        <v>778</v>
      </c>
      <c r="O96" s="1" t="s">
        <v>778</v>
      </c>
      <c r="P96" s="1" t="s">
        <v>778</v>
      </c>
      <c r="Q96" s="1" t="s">
        <v>778</v>
      </c>
      <c r="R96" s="1" t="s">
        <v>778</v>
      </c>
      <c r="W96" s="1" t="s">
        <v>778</v>
      </c>
      <c r="X96" s="1" t="s">
        <v>778</v>
      </c>
      <c r="AE96" s="1" t="s">
        <v>778</v>
      </c>
      <c r="AG96" s="1" t="s">
        <v>778</v>
      </c>
      <c r="IX96" s="1" t="s">
        <v>778</v>
      </c>
      <c r="IY96" s="1" t="s">
        <v>778</v>
      </c>
      <c r="IZ96" s="1" t="s">
        <v>778</v>
      </c>
      <c r="JJ96" s="1" t="s">
        <v>778</v>
      </c>
      <c r="JK96" s="1" t="s">
        <v>778</v>
      </c>
      <c r="NI96" s="1" t="s">
        <v>778</v>
      </c>
      <c r="NJ96" s="1" t="s">
        <v>778</v>
      </c>
      <c r="NO96" s="1" t="s">
        <v>778</v>
      </c>
      <c r="NS96" s="1" t="s">
        <v>778</v>
      </c>
      <c r="NT96" s="1" t="s">
        <v>778</v>
      </c>
      <c r="NU96" s="1" t="s">
        <v>778</v>
      </c>
      <c r="NV96" s="1" t="s">
        <v>778</v>
      </c>
      <c r="NW96" s="1" t="s">
        <v>778</v>
      </c>
      <c r="OK96" s="1" t="s">
        <v>778</v>
      </c>
      <c r="OR96" s="1" t="s">
        <v>778</v>
      </c>
      <c r="PA96" s="1" t="s">
        <v>778</v>
      </c>
      <c r="PB96" s="1" t="s">
        <v>778</v>
      </c>
      <c r="PC96" s="1" t="s">
        <v>778</v>
      </c>
      <c r="PD96" s="1" t="s">
        <v>778</v>
      </c>
      <c r="PU96" s="1" t="s">
        <v>778</v>
      </c>
      <c r="PV96" s="1" t="s">
        <v>778</v>
      </c>
      <c r="PZ96" s="1" t="s">
        <v>778</v>
      </c>
      <c r="QC96" s="1" t="s">
        <v>778</v>
      </c>
    </row>
    <row r="97" spans="1:447" ht="145" hidden="1" x14ac:dyDescent="0.35">
      <c r="A97" s="1" t="s">
        <v>859</v>
      </c>
      <c r="B97" s="14" t="s">
        <v>21</v>
      </c>
      <c r="C97" s="1" t="str" cm="1">
        <f t="array" ref="C97">GetURL(B97)</f>
        <v>https://explore-education-statistics.service.gov.uk/find-statistics/16-18-destination-measures</v>
      </c>
      <c r="D97" s="1" t="s">
        <v>876</v>
      </c>
      <c r="E97" s="1" t="s">
        <v>778</v>
      </c>
      <c r="F97" s="1" t="s">
        <v>778</v>
      </c>
      <c r="G97" s="1" t="s">
        <v>778</v>
      </c>
      <c r="H97" s="1" t="s">
        <v>778</v>
      </c>
      <c r="I97" s="1" t="s">
        <v>778</v>
      </c>
      <c r="IX97" s="1" t="s">
        <v>778</v>
      </c>
      <c r="JK97" s="1" t="s">
        <v>778</v>
      </c>
      <c r="NJ97" s="1" t="s">
        <v>778</v>
      </c>
      <c r="NK97" s="1" t="s">
        <v>778</v>
      </c>
      <c r="NO97" s="1" t="s">
        <v>778</v>
      </c>
      <c r="NS97" s="1" t="s">
        <v>778</v>
      </c>
      <c r="NT97" s="1" t="s">
        <v>778</v>
      </c>
      <c r="NU97" s="1" t="s">
        <v>778</v>
      </c>
      <c r="NV97" s="1" t="s">
        <v>778</v>
      </c>
      <c r="NW97" s="1" t="s">
        <v>778</v>
      </c>
      <c r="OH97" s="1" t="s">
        <v>778</v>
      </c>
      <c r="OI97" s="1" t="s">
        <v>778</v>
      </c>
      <c r="OK97" s="1" t="s">
        <v>778</v>
      </c>
      <c r="OL97" s="1" t="s">
        <v>778</v>
      </c>
      <c r="OO97" s="1" t="s">
        <v>778</v>
      </c>
      <c r="OQ97" s="1" t="s">
        <v>778</v>
      </c>
      <c r="OR97" s="1" t="s">
        <v>778</v>
      </c>
      <c r="PA97" s="1" t="s">
        <v>778</v>
      </c>
      <c r="PB97" s="1" t="s">
        <v>778</v>
      </c>
      <c r="PC97" s="1" t="s">
        <v>778</v>
      </c>
      <c r="PD97" s="1" t="s">
        <v>778</v>
      </c>
      <c r="PU97" s="1" t="s">
        <v>778</v>
      </c>
      <c r="PV97" s="1" t="s">
        <v>778</v>
      </c>
      <c r="PW97" s="1" t="s">
        <v>778</v>
      </c>
      <c r="PY97" s="1" t="s">
        <v>778</v>
      </c>
      <c r="PZ97" s="1" t="s">
        <v>778</v>
      </c>
      <c r="QA97" s="1" t="s">
        <v>778</v>
      </c>
      <c r="QB97" s="1" t="s">
        <v>778</v>
      </c>
      <c r="QD97" s="1" t="s">
        <v>778</v>
      </c>
    </row>
    <row r="98" spans="1:447" ht="188.5" hidden="1" x14ac:dyDescent="0.35">
      <c r="A98" s="1" t="s">
        <v>859</v>
      </c>
      <c r="B98" s="14" t="s">
        <v>52</v>
      </c>
      <c r="C98" s="1" t="str" cm="1">
        <f t="array" ref="C98">GetURL(B98)</f>
        <v>https://explore-education-statistics.service.gov.uk/find-statistics/further-education-outcome-based-success-measures</v>
      </c>
      <c r="D98" s="1" t="s">
        <v>877</v>
      </c>
      <c r="E98" s="1" t="s">
        <v>778</v>
      </c>
      <c r="F98" s="1" t="s">
        <v>778</v>
      </c>
      <c r="G98" s="1" t="s">
        <v>778</v>
      </c>
      <c r="H98" s="1" t="s">
        <v>778</v>
      </c>
      <c r="I98" s="1" t="s">
        <v>778</v>
      </c>
      <c r="AR98" s="1" t="s">
        <v>778</v>
      </c>
      <c r="AT98" s="1" t="s">
        <v>778</v>
      </c>
      <c r="AY98" s="1" t="s">
        <v>778</v>
      </c>
      <c r="BM98" s="1" t="s">
        <v>778</v>
      </c>
      <c r="BP98" s="1" t="s">
        <v>778</v>
      </c>
      <c r="BQ98" s="1" t="s">
        <v>778</v>
      </c>
      <c r="BR98" s="1" t="s">
        <v>778</v>
      </c>
      <c r="BW98" s="1" t="s">
        <v>778</v>
      </c>
      <c r="EQ98" s="1" t="s">
        <v>778</v>
      </c>
      <c r="ET98" s="1" t="s">
        <v>778</v>
      </c>
      <c r="FI98" s="1" t="s">
        <v>778</v>
      </c>
      <c r="FN98" s="1" t="s">
        <v>778</v>
      </c>
      <c r="FO98" s="1" t="s">
        <v>778</v>
      </c>
      <c r="FP98" s="1" t="s">
        <v>778</v>
      </c>
      <c r="FQ98" s="1" t="s">
        <v>778</v>
      </c>
      <c r="GX98" s="1" t="s">
        <v>778</v>
      </c>
      <c r="GY98" s="1" t="s">
        <v>778</v>
      </c>
      <c r="NN98" s="1" t="s">
        <v>778</v>
      </c>
      <c r="NY98" s="1" t="s">
        <v>778</v>
      </c>
      <c r="NZ98" s="1" t="s">
        <v>778</v>
      </c>
      <c r="OA98" s="1" t="s">
        <v>778</v>
      </c>
      <c r="OB98" s="1" t="s">
        <v>778</v>
      </c>
      <c r="OC98" s="1" t="s">
        <v>778</v>
      </c>
      <c r="OD98" s="1" t="s">
        <v>778</v>
      </c>
      <c r="OE98" s="1" t="s">
        <v>778</v>
      </c>
      <c r="OF98" s="1" t="s">
        <v>778</v>
      </c>
      <c r="OG98" s="1" t="s">
        <v>778</v>
      </c>
      <c r="OW98" s="1" t="s">
        <v>778</v>
      </c>
      <c r="OY98" s="1" t="s">
        <v>778</v>
      </c>
      <c r="OZ98" s="1" t="s">
        <v>778</v>
      </c>
      <c r="PE98" s="1" t="s">
        <v>778</v>
      </c>
      <c r="PH98" s="1" t="s">
        <v>778</v>
      </c>
      <c r="PI98" s="1" t="s">
        <v>778</v>
      </c>
      <c r="PJ98" s="1" t="s">
        <v>778</v>
      </c>
      <c r="PL98" s="1" t="s">
        <v>778</v>
      </c>
      <c r="PM98" s="1" t="s">
        <v>778</v>
      </c>
      <c r="PN98" s="1" t="s">
        <v>778</v>
      </c>
      <c r="PO98" s="1" t="s">
        <v>778</v>
      </c>
      <c r="PP98" s="1" t="s">
        <v>778</v>
      </c>
      <c r="PQ98" s="1" t="s">
        <v>778</v>
      </c>
      <c r="PR98" s="1" t="s">
        <v>778</v>
      </c>
      <c r="PS98" s="1" t="s">
        <v>778</v>
      </c>
      <c r="PT98" s="1" t="s">
        <v>778</v>
      </c>
    </row>
    <row r="99" spans="1:447" ht="188.5" hidden="1" x14ac:dyDescent="0.35">
      <c r="A99" s="1" t="s">
        <v>859</v>
      </c>
      <c r="B99" s="14" t="s">
        <v>52</v>
      </c>
      <c r="C99" s="1" t="str" cm="1">
        <f t="array" ref="C99">GetURL(B99)</f>
        <v>https://explore-education-statistics.service.gov.uk/find-statistics/further-education-outcome-based-success-measures</v>
      </c>
      <c r="D99" s="1" t="s">
        <v>878</v>
      </c>
      <c r="E99" s="1" t="s">
        <v>778</v>
      </c>
      <c r="F99" s="1" t="s">
        <v>778</v>
      </c>
      <c r="G99" s="1" t="s">
        <v>778</v>
      </c>
      <c r="H99" s="1" t="s">
        <v>778</v>
      </c>
      <c r="I99" s="1" t="s">
        <v>778</v>
      </c>
      <c r="AT99" s="1" t="s">
        <v>778</v>
      </c>
      <c r="AY99" s="1" t="s">
        <v>778</v>
      </c>
      <c r="BM99" s="1" t="s">
        <v>778</v>
      </c>
      <c r="BP99" s="1" t="s">
        <v>778</v>
      </c>
      <c r="BQ99" s="1" t="s">
        <v>778</v>
      </c>
      <c r="BR99" s="1" t="s">
        <v>778</v>
      </c>
      <c r="BW99" s="1" t="s">
        <v>778</v>
      </c>
      <c r="EQ99" s="1" t="s">
        <v>778</v>
      </c>
      <c r="ET99" s="1" t="s">
        <v>778</v>
      </c>
      <c r="EU99" s="1" t="s">
        <v>778</v>
      </c>
      <c r="EW99" s="1" t="s">
        <v>778</v>
      </c>
      <c r="FI99" s="1" t="s">
        <v>778</v>
      </c>
      <c r="FN99" s="1" t="s">
        <v>778</v>
      </c>
      <c r="FO99" s="1" t="s">
        <v>778</v>
      </c>
      <c r="FP99" s="1" t="s">
        <v>778</v>
      </c>
      <c r="FQ99" s="1" t="s">
        <v>778</v>
      </c>
      <c r="NN99" s="1" t="s">
        <v>778</v>
      </c>
      <c r="NY99" s="1" t="s">
        <v>778</v>
      </c>
      <c r="NZ99" s="1" t="s">
        <v>778</v>
      </c>
      <c r="OA99" s="1" t="s">
        <v>778</v>
      </c>
      <c r="OB99" s="1" t="s">
        <v>778</v>
      </c>
      <c r="OC99" s="1" t="s">
        <v>778</v>
      </c>
      <c r="OD99" s="1" t="s">
        <v>778</v>
      </c>
      <c r="OE99" s="1" t="s">
        <v>778</v>
      </c>
      <c r="OF99" s="1" t="s">
        <v>778</v>
      </c>
      <c r="OG99" s="1" t="s">
        <v>778</v>
      </c>
      <c r="OW99" s="1" t="s">
        <v>778</v>
      </c>
      <c r="OY99" s="1" t="s">
        <v>778</v>
      </c>
      <c r="PE99" s="1" t="s">
        <v>778</v>
      </c>
      <c r="PH99" s="1" t="s">
        <v>778</v>
      </c>
      <c r="PI99" s="1" t="s">
        <v>778</v>
      </c>
      <c r="PL99" s="1" t="s">
        <v>778</v>
      </c>
      <c r="PM99" s="1" t="s">
        <v>778</v>
      </c>
      <c r="PN99" s="1" t="s">
        <v>778</v>
      </c>
      <c r="PO99" s="1" t="s">
        <v>778</v>
      </c>
      <c r="PP99" s="1" t="s">
        <v>778</v>
      </c>
    </row>
    <row r="100" spans="1:447" ht="129.65" hidden="1" customHeight="1" x14ac:dyDescent="0.35">
      <c r="A100" s="1" t="s">
        <v>859</v>
      </c>
      <c r="B100" s="14" t="s">
        <v>52</v>
      </c>
      <c r="C100" s="1" t="str" cm="1">
        <f t="array" ref="C100">GetURL(B100)</f>
        <v>https://explore-education-statistics.service.gov.uk/find-statistics/further-education-outcome-based-success-measures</v>
      </c>
      <c r="D100" s="1" t="s">
        <v>1156</v>
      </c>
      <c r="E100" s="1" t="s">
        <v>778</v>
      </c>
      <c r="F100" s="1" t="s">
        <v>778</v>
      </c>
      <c r="G100" s="1" t="s">
        <v>778</v>
      </c>
      <c r="H100" s="1" t="s">
        <v>778</v>
      </c>
      <c r="I100" s="1" t="s">
        <v>778</v>
      </c>
      <c r="AT100" s="1" t="s">
        <v>778</v>
      </c>
      <c r="AY100" s="1" t="s">
        <v>778</v>
      </c>
      <c r="BM100" s="1" t="s">
        <v>778</v>
      </c>
      <c r="BP100" s="1" t="s">
        <v>778</v>
      </c>
      <c r="BQ100" s="1" t="s">
        <v>778</v>
      </c>
      <c r="BR100" s="1" t="s">
        <v>778</v>
      </c>
      <c r="BW100" s="1" t="s">
        <v>778</v>
      </c>
      <c r="BX100" s="1" t="s">
        <v>778</v>
      </c>
      <c r="EQ100" s="1" t="s">
        <v>778</v>
      </c>
      <c r="ET100" s="1" t="s">
        <v>778</v>
      </c>
      <c r="EY100" s="1" t="s">
        <v>778</v>
      </c>
      <c r="FI100" s="1" t="s">
        <v>778</v>
      </c>
      <c r="GH100" s="1" t="s">
        <v>778</v>
      </c>
      <c r="GX100" s="1" t="s">
        <v>778</v>
      </c>
      <c r="GY100" s="1" t="s">
        <v>778</v>
      </c>
      <c r="NY100" s="1" t="s">
        <v>778</v>
      </c>
      <c r="NZ100" s="1" t="s">
        <v>778</v>
      </c>
      <c r="OA100" s="1" t="s">
        <v>778</v>
      </c>
      <c r="OB100" s="1" t="s">
        <v>778</v>
      </c>
      <c r="OC100" s="1" t="s">
        <v>778</v>
      </c>
      <c r="OD100" s="1" t="s">
        <v>778</v>
      </c>
      <c r="OE100" s="1" t="s">
        <v>778</v>
      </c>
      <c r="OF100" s="1" t="s">
        <v>778</v>
      </c>
      <c r="OG100" s="1" t="s">
        <v>778</v>
      </c>
      <c r="OW100" s="1" t="s">
        <v>778</v>
      </c>
      <c r="PE100" s="1" t="s">
        <v>778</v>
      </c>
      <c r="PF100" s="1" t="s">
        <v>778</v>
      </c>
      <c r="PG100" s="1" t="s">
        <v>778</v>
      </c>
      <c r="PJ100" s="1" t="s">
        <v>778</v>
      </c>
      <c r="PK100" s="1" t="s">
        <v>778</v>
      </c>
    </row>
    <row r="101" spans="1:447" ht="188.5" hidden="1" x14ac:dyDescent="0.35">
      <c r="A101" s="1" t="s">
        <v>859</v>
      </c>
      <c r="B101" s="14" t="s">
        <v>52</v>
      </c>
      <c r="C101" s="1" t="str" cm="1">
        <f t="array" ref="C101">GetURL(B101)</f>
        <v>https://explore-education-statistics.service.gov.uk/find-statistics/further-education-outcome-based-success-measures</v>
      </c>
      <c r="D101" s="1" t="s">
        <v>1157</v>
      </c>
      <c r="E101" s="9" t="s">
        <v>778</v>
      </c>
      <c r="F101" s="9" t="s">
        <v>778</v>
      </c>
      <c r="G101" s="9" t="s">
        <v>778</v>
      </c>
      <c r="H101" s="9" t="s">
        <v>778</v>
      </c>
      <c r="I101" s="9" t="s">
        <v>778</v>
      </c>
      <c r="J101" s="9" t="s">
        <v>778</v>
      </c>
      <c r="K101" s="9" t="s">
        <v>778</v>
      </c>
      <c r="BP101" s="1" t="s">
        <v>778</v>
      </c>
      <c r="EQ101" s="1" t="s">
        <v>778</v>
      </c>
      <c r="ET101" s="1" t="s">
        <v>778</v>
      </c>
      <c r="EU101" s="1" t="s">
        <v>778</v>
      </c>
      <c r="EW101" s="1" t="s">
        <v>778</v>
      </c>
      <c r="FF101" s="1" t="s">
        <v>778</v>
      </c>
      <c r="FG101" s="1" t="s">
        <v>778</v>
      </c>
      <c r="FH101" s="1" t="s">
        <v>778</v>
      </c>
      <c r="FI101" s="1" t="s">
        <v>778</v>
      </c>
      <c r="FN101" s="1" t="s">
        <v>778</v>
      </c>
      <c r="FO101" s="1" t="s">
        <v>778</v>
      </c>
      <c r="FP101" s="1" t="s">
        <v>778</v>
      </c>
      <c r="FQ101" s="1" t="s">
        <v>778</v>
      </c>
      <c r="NN101" s="1" t="s">
        <v>778</v>
      </c>
      <c r="NY101" s="1" t="s">
        <v>778</v>
      </c>
      <c r="NZ101" s="1" t="s">
        <v>778</v>
      </c>
      <c r="OA101" s="1" t="s">
        <v>778</v>
      </c>
      <c r="OB101" s="1" t="s">
        <v>778</v>
      </c>
      <c r="OC101" s="1" t="s">
        <v>778</v>
      </c>
      <c r="OD101" s="1" t="s">
        <v>778</v>
      </c>
      <c r="OE101" s="1" t="s">
        <v>778</v>
      </c>
      <c r="OF101" s="1" t="s">
        <v>778</v>
      </c>
      <c r="OG101" s="1" t="s">
        <v>778</v>
      </c>
      <c r="OW101" s="1" t="s">
        <v>778</v>
      </c>
      <c r="OY101" s="1" t="s">
        <v>778</v>
      </c>
      <c r="PE101" s="1" t="s">
        <v>778</v>
      </c>
      <c r="PF101" s="1" t="s">
        <v>778</v>
      </c>
      <c r="PI101" s="1" t="s">
        <v>778</v>
      </c>
      <c r="PJ101" s="1" t="s">
        <v>778</v>
      </c>
      <c r="PL101" s="1" t="s">
        <v>778</v>
      </c>
      <c r="PM101" s="1" t="s">
        <v>778</v>
      </c>
      <c r="PN101" s="1" t="s">
        <v>778</v>
      </c>
      <c r="PO101" s="1" t="s">
        <v>778</v>
      </c>
      <c r="PP101" s="1" t="s">
        <v>778</v>
      </c>
    </row>
    <row r="102" spans="1:447" ht="188.5" hidden="1" x14ac:dyDescent="0.35">
      <c r="A102" s="1" t="s">
        <v>859</v>
      </c>
      <c r="B102" s="14" t="s">
        <v>52</v>
      </c>
      <c r="C102" s="1" t="str" cm="1">
        <f t="array" ref="C102">GetURL(B102)</f>
        <v>https://explore-education-statistics.service.gov.uk/find-statistics/further-education-outcome-based-success-measures</v>
      </c>
      <c r="D102" s="1" t="s">
        <v>1158</v>
      </c>
      <c r="E102" s="1" t="s">
        <v>778</v>
      </c>
      <c r="F102" s="1" t="s">
        <v>778</v>
      </c>
      <c r="G102" s="1" t="s">
        <v>778</v>
      </c>
      <c r="H102" s="1" t="s">
        <v>778</v>
      </c>
      <c r="I102" s="1" t="s">
        <v>778</v>
      </c>
      <c r="J102" s="1" t="s">
        <v>778</v>
      </c>
      <c r="K102" s="1" t="s">
        <v>778</v>
      </c>
      <c r="AR102" s="1" t="s">
        <v>778</v>
      </c>
      <c r="AT102" s="1" t="s">
        <v>778</v>
      </c>
      <c r="AY102" s="1" t="s">
        <v>778</v>
      </c>
      <c r="BM102" s="1" t="s">
        <v>778</v>
      </c>
      <c r="EQ102" s="1" t="s">
        <v>778</v>
      </c>
      <c r="ET102" s="1" t="s">
        <v>778</v>
      </c>
      <c r="EU102" s="1" t="s">
        <v>778</v>
      </c>
      <c r="EW102" s="1" t="s">
        <v>778</v>
      </c>
      <c r="FF102" s="1" t="s">
        <v>778</v>
      </c>
      <c r="FG102" s="1" t="s">
        <v>778</v>
      </c>
      <c r="FH102" s="1" t="s">
        <v>778</v>
      </c>
      <c r="FN102" s="1" t="s">
        <v>778</v>
      </c>
      <c r="FO102" s="1" t="s">
        <v>778</v>
      </c>
      <c r="FP102" s="1" t="s">
        <v>778</v>
      </c>
      <c r="FQ102" s="1" t="s">
        <v>778</v>
      </c>
      <c r="GX102" s="1" t="s">
        <v>778</v>
      </c>
      <c r="GY102" s="1" t="s">
        <v>778</v>
      </c>
      <c r="NN102" s="1" t="s">
        <v>778</v>
      </c>
      <c r="NY102" s="1" t="s">
        <v>778</v>
      </c>
      <c r="NZ102" s="1" t="s">
        <v>778</v>
      </c>
      <c r="OA102" s="1" t="s">
        <v>778</v>
      </c>
      <c r="OB102" s="1" t="s">
        <v>778</v>
      </c>
      <c r="OC102" s="1" t="s">
        <v>778</v>
      </c>
      <c r="OD102" s="1" t="s">
        <v>778</v>
      </c>
      <c r="OE102" s="1" t="s">
        <v>778</v>
      </c>
      <c r="OF102" s="1" t="s">
        <v>778</v>
      </c>
      <c r="OG102" s="1" t="s">
        <v>778</v>
      </c>
      <c r="OW102" s="1" t="s">
        <v>778</v>
      </c>
      <c r="OY102" s="1" t="s">
        <v>778</v>
      </c>
      <c r="PE102" s="1" t="s">
        <v>778</v>
      </c>
      <c r="PH102" s="1" t="s">
        <v>778</v>
      </c>
      <c r="PI102" s="1" t="s">
        <v>778</v>
      </c>
      <c r="PJ102" s="1" t="s">
        <v>778</v>
      </c>
      <c r="PL102" s="1" t="s">
        <v>778</v>
      </c>
      <c r="PM102" s="1" t="s">
        <v>778</v>
      </c>
      <c r="PN102" s="1" t="s">
        <v>778</v>
      </c>
      <c r="PO102" s="1" t="s">
        <v>778</v>
      </c>
      <c r="PP102" s="1" t="s">
        <v>778</v>
      </c>
    </row>
    <row r="103" spans="1:447" ht="188.5" hidden="1" x14ac:dyDescent="0.35">
      <c r="A103" s="1" t="s">
        <v>859</v>
      </c>
      <c r="B103" s="14" t="s">
        <v>52</v>
      </c>
      <c r="C103" s="1" t="str" cm="1">
        <f t="array" ref="C103">GetURL(B103)</f>
        <v>https://explore-education-statistics.service.gov.uk/find-statistics/further-education-outcome-based-success-measures</v>
      </c>
      <c r="D103" s="1" t="s">
        <v>882</v>
      </c>
      <c r="E103" s="1" t="s">
        <v>778</v>
      </c>
      <c r="F103" s="1" t="s">
        <v>778</v>
      </c>
      <c r="G103" s="1" t="s">
        <v>778</v>
      </c>
      <c r="H103" s="1" t="s">
        <v>778</v>
      </c>
      <c r="I103" s="1" t="s">
        <v>778</v>
      </c>
      <c r="J103" s="1" t="s">
        <v>778</v>
      </c>
      <c r="K103" s="1" t="s">
        <v>778</v>
      </c>
      <c r="AT103" s="1" t="s">
        <v>778</v>
      </c>
      <c r="BP103" s="1" t="s">
        <v>778</v>
      </c>
      <c r="EQ103" s="1" t="s">
        <v>778</v>
      </c>
      <c r="ET103" s="1" t="s">
        <v>778</v>
      </c>
      <c r="EU103" s="1" t="s">
        <v>778</v>
      </c>
      <c r="EW103" s="1" t="s">
        <v>778</v>
      </c>
      <c r="FG103" s="1" t="s">
        <v>778</v>
      </c>
      <c r="FH103" s="1" t="s">
        <v>778</v>
      </c>
      <c r="FI103" s="1" t="s">
        <v>778</v>
      </c>
      <c r="FN103" s="1" t="s">
        <v>778</v>
      </c>
      <c r="FO103" s="1" t="s">
        <v>778</v>
      </c>
      <c r="FP103" s="1" t="s">
        <v>778</v>
      </c>
      <c r="FQ103" s="1" t="s">
        <v>778</v>
      </c>
      <c r="NN103" s="1" t="s">
        <v>778</v>
      </c>
      <c r="NY103" s="1" t="s">
        <v>778</v>
      </c>
      <c r="NZ103" s="1" t="s">
        <v>778</v>
      </c>
      <c r="OA103" s="1" t="s">
        <v>778</v>
      </c>
      <c r="OB103" s="1" t="s">
        <v>778</v>
      </c>
      <c r="OC103" s="1" t="s">
        <v>778</v>
      </c>
      <c r="OD103" s="1" t="s">
        <v>778</v>
      </c>
      <c r="OE103" s="1" t="s">
        <v>778</v>
      </c>
      <c r="OF103" s="1" t="s">
        <v>778</v>
      </c>
      <c r="OG103" s="1" t="s">
        <v>778</v>
      </c>
      <c r="OW103" s="1" t="s">
        <v>778</v>
      </c>
      <c r="OY103" s="1" t="s">
        <v>778</v>
      </c>
      <c r="PE103" s="1" t="s">
        <v>778</v>
      </c>
      <c r="PF103" s="1" t="s">
        <v>778</v>
      </c>
      <c r="PI103" s="1" t="s">
        <v>778</v>
      </c>
      <c r="PL103" s="1" t="s">
        <v>778</v>
      </c>
      <c r="PM103" s="1" t="s">
        <v>778</v>
      </c>
      <c r="PN103" s="1" t="s">
        <v>778</v>
      </c>
      <c r="PO103" s="1" t="s">
        <v>778</v>
      </c>
      <c r="PP103" s="1" t="s">
        <v>778</v>
      </c>
    </row>
    <row r="104" spans="1:447" ht="188.5" hidden="1" x14ac:dyDescent="0.35">
      <c r="A104" s="1" t="s">
        <v>859</v>
      </c>
      <c r="B104" s="14" t="s">
        <v>52</v>
      </c>
      <c r="C104" s="1" t="str" cm="1">
        <f t="array" ref="C104">GetURL(B104)</f>
        <v>https://explore-education-statistics.service.gov.uk/find-statistics/further-education-outcome-based-success-measures</v>
      </c>
      <c r="D104" s="1" t="s">
        <v>884</v>
      </c>
      <c r="E104" s="1" t="s">
        <v>778</v>
      </c>
      <c r="F104" s="1" t="s">
        <v>778</v>
      </c>
      <c r="G104" s="1" t="s">
        <v>778</v>
      </c>
      <c r="H104" s="1" t="s">
        <v>778</v>
      </c>
      <c r="I104" s="1" t="s">
        <v>778</v>
      </c>
      <c r="J104" s="1" t="s">
        <v>778</v>
      </c>
      <c r="K104" s="1" t="s">
        <v>778</v>
      </c>
      <c r="BD104" s="1" t="s">
        <v>778</v>
      </c>
      <c r="BE104" s="1" t="s">
        <v>778</v>
      </c>
      <c r="EQ104" s="1" t="s">
        <v>778</v>
      </c>
      <c r="ET104" s="1" t="s">
        <v>778</v>
      </c>
      <c r="EU104" s="1" t="s">
        <v>778</v>
      </c>
      <c r="EW104" s="1" t="s">
        <v>778</v>
      </c>
      <c r="FF104" s="1" t="s">
        <v>778</v>
      </c>
      <c r="FG104" s="1" t="s">
        <v>778</v>
      </c>
      <c r="FH104" s="1" t="s">
        <v>778</v>
      </c>
      <c r="FI104" s="1" t="s">
        <v>778</v>
      </c>
      <c r="FN104" s="1" t="s">
        <v>778</v>
      </c>
      <c r="FO104" s="1" t="s">
        <v>778</v>
      </c>
      <c r="FP104" s="1" t="s">
        <v>778</v>
      </c>
      <c r="FQ104" s="1" t="s">
        <v>778</v>
      </c>
      <c r="GY104" s="1" t="s">
        <v>778</v>
      </c>
      <c r="NN104" s="1" t="s">
        <v>778</v>
      </c>
      <c r="NY104" s="1" t="s">
        <v>778</v>
      </c>
      <c r="NZ104" s="1" t="s">
        <v>778</v>
      </c>
      <c r="OA104" s="1" t="s">
        <v>778</v>
      </c>
      <c r="OB104" s="1" t="s">
        <v>778</v>
      </c>
      <c r="OC104" s="1" t="s">
        <v>778</v>
      </c>
      <c r="OD104" s="1" t="s">
        <v>778</v>
      </c>
      <c r="OE104" s="1" t="s">
        <v>778</v>
      </c>
      <c r="OF104" s="1" t="s">
        <v>778</v>
      </c>
      <c r="OG104" s="1" t="s">
        <v>778</v>
      </c>
      <c r="OW104" s="1" t="s">
        <v>778</v>
      </c>
      <c r="OY104" s="1" t="s">
        <v>778</v>
      </c>
      <c r="PE104" s="1" t="s">
        <v>778</v>
      </c>
      <c r="PH104" s="1" t="s">
        <v>778</v>
      </c>
      <c r="PI104" s="1" t="s">
        <v>778</v>
      </c>
      <c r="PJ104" s="1" t="s">
        <v>778</v>
      </c>
      <c r="PL104" s="1" t="s">
        <v>778</v>
      </c>
      <c r="PM104" s="1" t="s">
        <v>778</v>
      </c>
      <c r="PN104" s="1" t="s">
        <v>778</v>
      </c>
      <c r="PO104" s="1" t="s">
        <v>778</v>
      </c>
      <c r="PP104" s="1" t="s">
        <v>778</v>
      </c>
    </row>
    <row r="105" spans="1:447" ht="188.5" hidden="1" x14ac:dyDescent="0.35">
      <c r="A105" s="1" t="s">
        <v>859</v>
      </c>
      <c r="B105" s="14" t="s">
        <v>52</v>
      </c>
      <c r="C105" s="1" t="str" cm="1">
        <f t="array" ref="C105">GetURL(B105)</f>
        <v>https://explore-education-statistics.service.gov.uk/find-statistics/further-education-outcome-based-success-measures</v>
      </c>
      <c r="D105" s="1" t="s">
        <v>1159</v>
      </c>
      <c r="E105" s="1" t="s">
        <v>778</v>
      </c>
      <c r="F105" s="1" t="s">
        <v>778</v>
      </c>
      <c r="G105" s="1" t="s">
        <v>778</v>
      </c>
      <c r="H105" s="1" t="s">
        <v>778</v>
      </c>
      <c r="I105" s="1" t="s">
        <v>778</v>
      </c>
      <c r="J105" s="1" t="s">
        <v>778</v>
      </c>
      <c r="K105" s="1" t="s">
        <v>778</v>
      </c>
      <c r="AT105" s="1" t="s">
        <v>778</v>
      </c>
      <c r="BM105" s="1" t="s">
        <v>778</v>
      </c>
      <c r="BP105" s="1" t="s">
        <v>778</v>
      </c>
      <c r="EQ105" s="1" t="s">
        <v>778</v>
      </c>
      <c r="ET105" s="1" t="s">
        <v>778</v>
      </c>
      <c r="EX105" s="1" t="s">
        <v>778</v>
      </c>
      <c r="EY105" s="1" t="s">
        <v>778</v>
      </c>
      <c r="FF105" s="1" t="s">
        <v>778</v>
      </c>
      <c r="FG105" s="1" t="s">
        <v>778</v>
      </c>
      <c r="FH105" s="1" t="s">
        <v>778</v>
      </c>
      <c r="FI105" s="1" t="s">
        <v>778</v>
      </c>
      <c r="GX105" s="1" t="s">
        <v>778</v>
      </c>
      <c r="GY105" s="1" t="s">
        <v>778</v>
      </c>
      <c r="NY105" s="1" t="s">
        <v>778</v>
      </c>
      <c r="NZ105" s="1" t="s">
        <v>778</v>
      </c>
      <c r="OA105" s="1" t="s">
        <v>778</v>
      </c>
      <c r="OB105" s="1" t="s">
        <v>778</v>
      </c>
      <c r="OC105" s="1" t="s">
        <v>778</v>
      </c>
      <c r="OD105" s="1" t="s">
        <v>778</v>
      </c>
      <c r="OE105" s="1" t="s">
        <v>778</v>
      </c>
      <c r="OF105" s="1" t="s">
        <v>778</v>
      </c>
      <c r="OG105" s="1" t="s">
        <v>778</v>
      </c>
      <c r="OW105" s="1" t="s">
        <v>778</v>
      </c>
      <c r="PE105" s="1" t="s">
        <v>778</v>
      </c>
      <c r="PF105" s="1" t="s">
        <v>778</v>
      </c>
      <c r="PG105" s="1" t="s">
        <v>778</v>
      </c>
      <c r="PJ105" s="1" t="s">
        <v>778</v>
      </c>
      <c r="PK105" s="1" t="s">
        <v>778</v>
      </c>
    </row>
    <row r="106" spans="1:447" ht="188.5" hidden="1" x14ac:dyDescent="0.35">
      <c r="A106" s="1" t="s">
        <v>859</v>
      </c>
      <c r="B106" s="14" t="s">
        <v>52</v>
      </c>
      <c r="C106" s="1" t="str" cm="1">
        <f t="array" ref="C106">GetURL(B106)</f>
        <v>https://explore-education-statistics.service.gov.uk/find-statistics/further-education-outcome-based-success-measures</v>
      </c>
      <c r="D106" s="1" t="s">
        <v>1160</v>
      </c>
      <c r="E106" s="9" t="s">
        <v>778</v>
      </c>
      <c r="F106" s="9" t="s">
        <v>778</v>
      </c>
      <c r="G106" s="9" t="s">
        <v>778</v>
      </c>
      <c r="H106" s="9" t="s">
        <v>778</v>
      </c>
      <c r="I106" s="9" t="s">
        <v>778</v>
      </c>
      <c r="AR106" s="9" t="s">
        <v>778</v>
      </c>
      <c r="AT106" s="9" t="s">
        <v>778</v>
      </c>
      <c r="BD106" s="9" t="s">
        <v>778</v>
      </c>
      <c r="BE106" s="9" t="s">
        <v>778</v>
      </c>
      <c r="EQ106" s="1" t="s">
        <v>778</v>
      </c>
      <c r="ET106" s="1" t="s">
        <v>778</v>
      </c>
      <c r="EU106" s="1" t="s">
        <v>778</v>
      </c>
      <c r="EW106" s="1" t="s">
        <v>778</v>
      </c>
      <c r="FI106" s="1" t="s">
        <v>778</v>
      </c>
      <c r="FN106" s="1" t="s">
        <v>778</v>
      </c>
      <c r="FO106" s="1" t="s">
        <v>778</v>
      </c>
      <c r="FP106" s="1" t="s">
        <v>778</v>
      </c>
      <c r="FQ106" s="1" t="s">
        <v>778</v>
      </c>
      <c r="GT106" s="1" t="s">
        <v>778</v>
      </c>
      <c r="GX106" s="1" t="s">
        <v>778</v>
      </c>
      <c r="GY106" s="1" t="s">
        <v>778</v>
      </c>
      <c r="NN106" s="1" t="s">
        <v>778</v>
      </c>
      <c r="NY106" s="1" t="s">
        <v>778</v>
      </c>
      <c r="NZ106" s="1" t="s">
        <v>778</v>
      </c>
      <c r="OA106" s="1" t="s">
        <v>778</v>
      </c>
      <c r="OB106" s="1" t="s">
        <v>778</v>
      </c>
      <c r="OC106" s="1" t="s">
        <v>778</v>
      </c>
      <c r="OD106" s="1" t="s">
        <v>778</v>
      </c>
      <c r="OE106" s="1" t="s">
        <v>778</v>
      </c>
      <c r="OF106" s="1" t="s">
        <v>778</v>
      </c>
      <c r="OG106" s="1" t="s">
        <v>778</v>
      </c>
      <c r="OW106" s="1" t="s">
        <v>778</v>
      </c>
      <c r="OX106" s="1" t="s">
        <v>778</v>
      </c>
      <c r="OY106" s="1" t="s">
        <v>778</v>
      </c>
      <c r="OZ106" s="1" t="s">
        <v>778</v>
      </c>
      <c r="PE106" s="1" t="s">
        <v>778</v>
      </c>
      <c r="PH106" s="1" t="s">
        <v>778</v>
      </c>
      <c r="PI106" s="1" t="s">
        <v>778</v>
      </c>
      <c r="PJ106" s="1" t="s">
        <v>778</v>
      </c>
      <c r="PL106" s="1" t="s">
        <v>778</v>
      </c>
      <c r="PM106" s="1" t="s">
        <v>778</v>
      </c>
      <c r="PN106" s="1" t="s">
        <v>778</v>
      </c>
      <c r="PO106" s="1" t="s">
        <v>778</v>
      </c>
      <c r="PP106" s="1" t="s">
        <v>778</v>
      </c>
      <c r="PQ106" s="1" t="s">
        <v>778</v>
      </c>
      <c r="PR106" s="1" t="s">
        <v>778</v>
      </c>
      <c r="PS106" s="1" t="s">
        <v>778</v>
      </c>
      <c r="PT106" s="1" t="s">
        <v>778</v>
      </c>
      <c r="QE106" s="1">
        <f>SUM(E106:QD106)</f>
        <v>0</v>
      </c>
    </row>
    <row r="107" spans="1:447" ht="188.5" hidden="1" x14ac:dyDescent="0.35">
      <c r="A107" s="1" t="s">
        <v>859</v>
      </c>
      <c r="B107" s="14" t="s">
        <v>52</v>
      </c>
      <c r="C107" s="1" t="str" cm="1">
        <f t="array" ref="C107">GetURL(B107)</f>
        <v>https://explore-education-statistics.service.gov.uk/find-statistics/further-education-outcome-based-success-measures</v>
      </c>
      <c r="D107" s="1" t="s">
        <v>1161</v>
      </c>
      <c r="E107" s="9" t="s">
        <v>778</v>
      </c>
      <c r="F107" s="9" t="s">
        <v>778</v>
      </c>
      <c r="G107" s="9" t="s">
        <v>778</v>
      </c>
      <c r="H107" s="9" t="s">
        <v>778</v>
      </c>
      <c r="I107" s="9" t="s">
        <v>778</v>
      </c>
      <c r="AR107" s="9" t="s">
        <v>778</v>
      </c>
      <c r="AT107" s="1" t="s">
        <v>778</v>
      </c>
      <c r="AX107" s="9"/>
      <c r="BD107" s="9" t="s">
        <v>778</v>
      </c>
      <c r="BE107" s="9" t="s">
        <v>778</v>
      </c>
      <c r="EQ107" s="1" t="s">
        <v>778</v>
      </c>
      <c r="ET107" s="1" t="s">
        <v>778</v>
      </c>
      <c r="EU107" s="1" t="s">
        <v>778</v>
      </c>
      <c r="EW107" s="1" t="s">
        <v>778</v>
      </c>
      <c r="FI107" s="1" t="s">
        <v>778</v>
      </c>
      <c r="FN107" s="1" t="s">
        <v>778</v>
      </c>
      <c r="FO107" s="1" t="s">
        <v>778</v>
      </c>
      <c r="FP107" s="1" t="s">
        <v>778</v>
      </c>
      <c r="FQ107" s="1" t="s">
        <v>778</v>
      </c>
      <c r="GT107" s="1" t="s">
        <v>778</v>
      </c>
      <c r="GX107" s="1" t="s">
        <v>778</v>
      </c>
      <c r="GY107" s="1" t="s">
        <v>778</v>
      </c>
      <c r="NN107" s="1" t="s">
        <v>778</v>
      </c>
      <c r="NY107" s="1" t="s">
        <v>778</v>
      </c>
      <c r="NZ107" s="1" t="s">
        <v>778</v>
      </c>
      <c r="OA107" s="1" t="s">
        <v>778</v>
      </c>
      <c r="OB107" s="1" t="s">
        <v>778</v>
      </c>
      <c r="OC107" s="1" t="s">
        <v>778</v>
      </c>
      <c r="OD107" s="1" t="s">
        <v>778</v>
      </c>
      <c r="OE107" s="1" t="s">
        <v>778</v>
      </c>
      <c r="OF107" s="1" t="s">
        <v>778</v>
      </c>
      <c r="OG107" s="1" t="s">
        <v>778</v>
      </c>
      <c r="OW107" s="1" t="s">
        <v>778</v>
      </c>
      <c r="OX107" s="1" t="s">
        <v>778</v>
      </c>
      <c r="OY107" s="1" t="s">
        <v>778</v>
      </c>
      <c r="OZ107" s="1" t="s">
        <v>778</v>
      </c>
      <c r="PE107" s="1" t="s">
        <v>778</v>
      </c>
      <c r="PH107" s="1" t="s">
        <v>778</v>
      </c>
      <c r="PI107" s="1" t="s">
        <v>778</v>
      </c>
      <c r="PJ107" s="1" t="s">
        <v>778</v>
      </c>
      <c r="PL107" s="1" t="s">
        <v>778</v>
      </c>
      <c r="PM107" s="1" t="s">
        <v>778</v>
      </c>
      <c r="PN107" s="1" t="s">
        <v>778</v>
      </c>
      <c r="PO107" s="1" t="s">
        <v>778</v>
      </c>
      <c r="PP107" s="1" t="s">
        <v>778</v>
      </c>
      <c r="PQ107" s="1" t="s">
        <v>778</v>
      </c>
      <c r="PR107" s="1" t="s">
        <v>778</v>
      </c>
      <c r="PS107" s="1" t="s">
        <v>778</v>
      </c>
      <c r="PT107" s="1" t="s">
        <v>778</v>
      </c>
      <c r="QE107" s="1">
        <f>SUM(E107:QD107)</f>
        <v>0</v>
      </c>
    </row>
    <row r="108" spans="1:447" ht="188.5" hidden="1" x14ac:dyDescent="0.35">
      <c r="A108" s="1" t="s">
        <v>859</v>
      </c>
      <c r="B108" s="14" t="s">
        <v>52</v>
      </c>
      <c r="C108" s="1" t="str" cm="1">
        <f t="array" ref="C108">GetURL(B108)</f>
        <v>https://explore-education-statistics.service.gov.uk/find-statistics/further-education-outcome-based-success-measures</v>
      </c>
      <c r="D108" s="1" t="s">
        <v>1162</v>
      </c>
      <c r="E108" s="1" t="s">
        <v>778</v>
      </c>
      <c r="F108" s="1" t="s">
        <v>778</v>
      </c>
      <c r="G108" s="1" t="s">
        <v>778</v>
      </c>
      <c r="H108" s="1" t="s">
        <v>778</v>
      </c>
      <c r="I108" s="1" t="s">
        <v>778</v>
      </c>
      <c r="AT108" s="1" t="s">
        <v>778</v>
      </c>
      <c r="BD108" s="1" t="s">
        <v>778</v>
      </c>
      <c r="BE108" s="1" t="s">
        <v>778</v>
      </c>
      <c r="BX108" s="1" t="s">
        <v>778</v>
      </c>
      <c r="EQ108" s="1" t="s">
        <v>778</v>
      </c>
      <c r="ET108" s="1" t="s">
        <v>778</v>
      </c>
      <c r="EY108" s="1" t="s">
        <v>778</v>
      </c>
      <c r="FI108" s="1" t="s">
        <v>778</v>
      </c>
      <c r="GH108" s="1" t="s">
        <v>778</v>
      </c>
      <c r="GT108" s="1" t="s">
        <v>778</v>
      </c>
      <c r="GX108" s="1" t="s">
        <v>778</v>
      </c>
      <c r="GY108" s="1" t="s">
        <v>778</v>
      </c>
      <c r="NY108" s="1" t="s">
        <v>778</v>
      </c>
      <c r="NZ108" s="1" t="s">
        <v>778</v>
      </c>
      <c r="OA108" s="1" t="s">
        <v>778</v>
      </c>
      <c r="OB108" s="1" t="s">
        <v>778</v>
      </c>
      <c r="OC108" s="1" t="s">
        <v>778</v>
      </c>
      <c r="OD108" s="1" t="s">
        <v>778</v>
      </c>
      <c r="OE108" s="1" t="s">
        <v>778</v>
      </c>
      <c r="OF108" s="1" t="s">
        <v>778</v>
      </c>
      <c r="OG108" s="1" t="s">
        <v>778</v>
      </c>
      <c r="OW108" s="1" t="s">
        <v>778</v>
      </c>
      <c r="PE108" s="1" t="s">
        <v>778</v>
      </c>
      <c r="PF108" s="1" t="s">
        <v>778</v>
      </c>
      <c r="PG108" s="1" t="s">
        <v>778</v>
      </c>
      <c r="PJ108" s="1" t="s">
        <v>778</v>
      </c>
      <c r="PK108" s="1" t="s">
        <v>778</v>
      </c>
      <c r="QE108" s="1">
        <f>SUM(E108:QD108)</f>
        <v>0</v>
      </c>
    </row>
    <row r="109" spans="1:447" ht="188.5" hidden="1" x14ac:dyDescent="0.35">
      <c r="A109" s="1" t="s">
        <v>859</v>
      </c>
      <c r="B109" s="14" t="s">
        <v>52</v>
      </c>
      <c r="C109" s="1" t="str" cm="1">
        <f t="array" ref="C109">GetURL(B109)</f>
        <v>https://explore-education-statistics.service.gov.uk/find-statistics/further-education-outcome-based-success-measures</v>
      </c>
      <c r="D109" s="1" t="s">
        <v>886</v>
      </c>
      <c r="E109" s="1" t="s">
        <v>778</v>
      </c>
      <c r="F109" s="1" t="s">
        <v>778</v>
      </c>
      <c r="G109" s="1" t="s">
        <v>778</v>
      </c>
      <c r="H109" s="1" t="s">
        <v>778</v>
      </c>
      <c r="I109" s="1" t="s">
        <v>778</v>
      </c>
      <c r="J109" s="1" t="s">
        <v>778</v>
      </c>
      <c r="K109" s="1" t="s">
        <v>778</v>
      </c>
      <c r="O109" s="1" t="s">
        <v>778</v>
      </c>
      <c r="P109" s="1" t="s">
        <v>778</v>
      </c>
      <c r="AR109" s="1" t="s">
        <v>778</v>
      </c>
      <c r="AT109" s="1" t="s">
        <v>778</v>
      </c>
      <c r="AY109" s="1" t="s">
        <v>778</v>
      </c>
      <c r="BM109" s="1" t="s">
        <v>778</v>
      </c>
      <c r="EQ109" s="1" t="s">
        <v>778</v>
      </c>
      <c r="ET109" s="1" t="s">
        <v>778</v>
      </c>
      <c r="EU109" s="1" t="s">
        <v>778</v>
      </c>
      <c r="EW109" s="1" t="s">
        <v>778</v>
      </c>
      <c r="FI109" s="1" t="s">
        <v>778</v>
      </c>
      <c r="FN109" s="1" t="s">
        <v>778</v>
      </c>
      <c r="FO109" s="1" t="s">
        <v>778</v>
      </c>
      <c r="FP109" s="1" t="s">
        <v>778</v>
      </c>
      <c r="FQ109" s="1" t="s">
        <v>778</v>
      </c>
      <c r="GX109" s="1" t="s">
        <v>778</v>
      </c>
      <c r="GY109" s="1" t="s">
        <v>778</v>
      </c>
      <c r="NN109" s="1" t="s">
        <v>778</v>
      </c>
      <c r="NY109" s="1" t="s">
        <v>778</v>
      </c>
      <c r="NZ109" s="1" t="s">
        <v>778</v>
      </c>
      <c r="OA109" s="1" t="s">
        <v>778</v>
      </c>
      <c r="OB109" s="1" t="s">
        <v>778</v>
      </c>
      <c r="OC109" s="1" t="s">
        <v>778</v>
      </c>
      <c r="OD109" s="1" t="s">
        <v>778</v>
      </c>
      <c r="OE109" s="1" t="s">
        <v>778</v>
      </c>
      <c r="OF109" s="1" t="s">
        <v>778</v>
      </c>
      <c r="OG109" s="1" t="s">
        <v>778</v>
      </c>
      <c r="OW109" s="1" t="s">
        <v>778</v>
      </c>
      <c r="OY109" s="1" t="s">
        <v>778</v>
      </c>
      <c r="PE109" s="1" t="s">
        <v>778</v>
      </c>
      <c r="PH109" s="1" t="s">
        <v>778</v>
      </c>
      <c r="PI109" s="1" t="s">
        <v>778</v>
      </c>
      <c r="PJ109" s="1" t="s">
        <v>778</v>
      </c>
      <c r="PL109" s="1" t="s">
        <v>778</v>
      </c>
      <c r="PM109" s="1" t="s">
        <v>778</v>
      </c>
      <c r="PN109" s="1" t="s">
        <v>778</v>
      </c>
      <c r="PO109" s="1" t="s">
        <v>778</v>
      </c>
      <c r="PP109" s="1" t="s">
        <v>778</v>
      </c>
      <c r="PQ109" s="1" t="s">
        <v>778</v>
      </c>
      <c r="PR109" s="1" t="s">
        <v>778</v>
      </c>
      <c r="PS109" s="1" t="s">
        <v>778</v>
      </c>
      <c r="PT109" s="1" t="s">
        <v>778</v>
      </c>
      <c r="QE109" s="1">
        <f t="shared" ref="QE109:QE112" si="13">SUM(E109:QD109)</f>
        <v>0</v>
      </c>
    </row>
    <row r="110" spans="1:447" ht="188.5" hidden="1" x14ac:dyDescent="0.35">
      <c r="A110" s="1" t="s">
        <v>859</v>
      </c>
      <c r="B110" s="14" t="s">
        <v>52</v>
      </c>
      <c r="C110" s="1" t="str" cm="1">
        <f t="array" ref="C110">GetURL(B110)</f>
        <v>https://explore-education-statistics.service.gov.uk/find-statistics/further-education-outcome-based-success-measures</v>
      </c>
      <c r="D110" s="1" t="s">
        <v>887</v>
      </c>
      <c r="E110" s="1" t="s">
        <v>778</v>
      </c>
      <c r="F110" s="1" t="s">
        <v>778</v>
      </c>
      <c r="G110" s="1" t="s">
        <v>778</v>
      </c>
      <c r="H110" s="1" t="s">
        <v>778</v>
      </c>
      <c r="I110" s="1" t="s">
        <v>778</v>
      </c>
      <c r="J110" s="1" t="s">
        <v>778</v>
      </c>
      <c r="K110" s="1" t="s">
        <v>778</v>
      </c>
      <c r="O110" s="1" t="s">
        <v>778</v>
      </c>
      <c r="P110" s="1" t="s">
        <v>778</v>
      </c>
      <c r="AR110" s="1" t="s">
        <v>778</v>
      </c>
      <c r="AT110" s="1" t="s">
        <v>778</v>
      </c>
      <c r="AY110" s="1" t="s">
        <v>778</v>
      </c>
      <c r="BM110" s="1" t="s">
        <v>778</v>
      </c>
      <c r="EQ110" s="1" t="s">
        <v>778</v>
      </c>
      <c r="ET110" s="1" t="s">
        <v>778</v>
      </c>
      <c r="EU110" s="1" t="s">
        <v>778</v>
      </c>
      <c r="EW110" s="1" t="s">
        <v>778</v>
      </c>
      <c r="FI110" s="1" t="s">
        <v>778</v>
      </c>
      <c r="FN110" s="1" t="s">
        <v>778</v>
      </c>
      <c r="FO110" s="1" t="s">
        <v>778</v>
      </c>
      <c r="FP110" s="1" t="s">
        <v>778</v>
      </c>
      <c r="FQ110" s="1" t="s">
        <v>778</v>
      </c>
      <c r="GX110" s="1" t="s">
        <v>778</v>
      </c>
      <c r="GY110" s="1" t="s">
        <v>778</v>
      </c>
      <c r="NN110" s="1" t="s">
        <v>778</v>
      </c>
      <c r="NY110" s="1" t="s">
        <v>778</v>
      </c>
      <c r="NZ110" s="1" t="s">
        <v>778</v>
      </c>
      <c r="OA110" s="1" t="s">
        <v>778</v>
      </c>
      <c r="OB110" s="1" t="s">
        <v>778</v>
      </c>
      <c r="OC110" s="1" t="s">
        <v>778</v>
      </c>
      <c r="OD110" s="1" t="s">
        <v>778</v>
      </c>
      <c r="OE110" s="1" t="s">
        <v>778</v>
      </c>
      <c r="OF110" s="1" t="s">
        <v>778</v>
      </c>
      <c r="OG110" s="1" t="s">
        <v>778</v>
      </c>
      <c r="OW110" s="1" t="s">
        <v>778</v>
      </c>
      <c r="OY110" s="1" t="s">
        <v>778</v>
      </c>
      <c r="PE110" s="1" t="s">
        <v>778</v>
      </c>
      <c r="PH110" s="1" t="s">
        <v>778</v>
      </c>
      <c r="PI110" s="1" t="s">
        <v>778</v>
      </c>
      <c r="PJ110" s="1" t="s">
        <v>778</v>
      </c>
      <c r="PL110" s="1" t="s">
        <v>778</v>
      </c>
      <c r="PM110" s="1" t="s">
        <v>778</v>
      </c>
      <c r="PN110" s="1" t="s">
        <v>778</v>
      </c>
      <c r="PO110" s="1" t="s">
        <v>778</v>
      </c>
      <c r="PP110" s="1" t="s">
        <v>778</v>
      </c>
      <c r="PQ110" s="1" t="s">
        <v>778</v>
      </c>
      <c r="PR110" s="1" t="s">
        <v>778</v>
      </c>
      <c r="PS110" s="1" t="s">
        <v>778</v>
      </c>
      <c r="PT110" s="1" t="s">
        <v>778</v>
      </c>
      <c r="QE110" s="1">
        <f t="shared" si="13"/>
        <v>0</v>
      </c>
    </row>
    <row r="111" spans="1:447" ht="188.5" hidden="1" x14ac:dyDescent="0.35">
      <c r="A111" s="1" t="s">
        <v>859</v>
      </c>
      <c r="B111" s="14" t="s">
        <v>52</v>
      </c>
      <c r="C111" s="1" t="str" cm="1">
        <f t="array" ref="C111">GetURL(B111)</f>
        <v>https://explore-education-statistics.service.gov.uk/find-statistics/further-education-outcome-based-success-measures</v>
      </c>
      <c r="D111" s="1" t="s">
        <v>888</v>
      </c>
      <c r="E111" s="1" t="s">
        <v>778</v>
      </c>
      <c r="F111" s="1" t="s">
        <v>778</v>
      </c>
      <c r="G111" s="1" t="s">
        <v>778</v>
      </c>
      <c r="H111" s="1" t="s">
        <v>778</v>
      </c>
      <c r="I111" s="1" t="s">
        <v>778</v>
      </c>
      <c r="J111" s="1" t="s">
        <v>778</v>
      </c>
      <c r="K111" s="1" t="s">
        <v>778</v>
      </c>
      <c r="O111" s="1" t="s">
        <v>778</v>
      </c>
      <c r="P111" s="1" t="s">
        <v>778</v>
      </c>
      <c r="BD111" s="1" t="s">
        <v>778</v>
      </c>
      <c r="BE111" s="1" t="s">
        <v>778</v>
      </c>
      <c r="EQ111" s="1" t="s">
        <v>778</v>
      </c>
      <c r="ET111" s="1" t="s">
        <v>778</v>
      </c>
      <c r="EU111" s="1" t="s">
        <v>778</v>
      </c>
      <c r="EW111" s="1" t="s">
        <v>778</v>
      </c>
      <c r="FI111" s="1" t="s">
        <v>778</v>
      </c>
      <c r="FN111" s="1" t="s">
        <v>778</v>
      </c>
      <c r="FO111" s="1" t="s">
        <v>778</v>
      </c>
      <c r="FP111" s="1" t="s">
        <v>778</v>
      </c>
      <c r="FQ111" s="1" t="s">
        <v>778</v>
      </c>
      <c r="GX111" s="1" t="s">
        <v>778</v>
      </c>
      <c r="GY111" s="1" t="s">
        <v>778</v>
      </c>
      <c r="NN111" s="1" t="s">
        <v>778</v>
      </c>
      <c r="NY111" s="1" t="s">
        <v>778</v>
      </c>
      <c r="NZ111" s="1" t="s">
        <v>778</v>
      </c>
      <c r="OA111" s="1" t="s">
        <v>778</v>
      </c>
      <c r="OB111" s="1" t="s">
        <v>778</v>
      </c>
      <c r="OC111" s="1" t="s">
        <v>778</v>
      </c>
      <c r="OD111" s="1" t="s">
        <v>778</v>
      </c>
      <c r="OE111" s="1" t="s">
        <v>778</v>
      </c>
      <c r="OF111" s="1" t="s">
        <v>778</v>
      </c>
      <c r="OG111" s="1" t="s">
        <v>778</v>
      </c>
      <c r="OW111" s="1" t="s">
        <v>778</v>
      </c>
      <c r="OY111" s="1" t="s">
        <v>778</v>
      </c>
      <c r="PE111" s="1" t="s">
        <v>778</v>
      </c>
      <c r="PH111" s="1" t="s">
        <v>778</v>
      </c>
      <c r="PI111" s="1" t="s">
        <v>778</v>
      </c>
      <c r="PJ111" s="1" t="s">
        <v>778</v>
      </c>
      <c r="PL111" s="1" t="s">
        <v>778</v>
      </c>
      <c r="PM111" s="1" t="s">
        <v>778</v>
      </c>
      <c r="PN111" s="1" t="s">
        <v>778</v>
      </c>
      <c r="PO111" s="1" t="s">
        <v>778</v>
      </c>
      <c r="PP111" s="1" t="s">
        <v>778</v>
      </c>
      <c r="PQ111" s="1" t="s">
        <v>778</v>
      </c>
      <c r="PR111" s="1" t="s">
        <v>778</v>
      </c>
      <c r="PS111" s="1" t="s">
        <v>778</v>
      </c>
      <c r="PT111" s="1" t="s">
        <v>778</v>
      </c>
      <c r="QE111" s="1">
        <f t="shared" si="13"/>
        <v>0</v>
      </c>
    </row>
    <row r="112" spans="1:447" ht="188.5" hidden="1" x14ac:dyDescent="0.35">
      <c r="A112" s="1" t="s">
        <v>859</v>
      </c>
      <c r="B112" s="14" t="s">
        <v>52</v>
      </c>
      <c r="C112" s="1" t="str" cm="1">
        <f t="array" ref="C112">GetURL(B112)</f>
        <v>https://explore-education-statistics.service.gov.uk/find-statistics/further-education-outcome-based-success-measures</v>
      </c>
      <c r="D112" s="1" t="s">
        <v>889</v>
      </c>
      <c r="E112" s="1" t="s">
        <v>778</v>
      </c>
      <c r="F112" s="1" t="s">
        <v>778</v>
      </c>
      <c r="G112" s="1" t="s">
        <v>778</v>
      </c>
      <c r="H112" s="1" t="s">
        <v>778</v>
      </c>
      <c r="I112" s="1" t="s">
        <v>778</v>
      </c>
      <c r="J112" s="1" t="s">
        <v>778</v>
      </c>
      <c r="K112" s="1" t="s">
        <v>778</v>
      </c>
      <c r="L112" s="1" t="s">
        <v>778</v>
      </c>
      <c r="M112" s="1" t="s">
        <v>778</v>
      </c>
      <c r="N112" s="1" t="s">
        <v>778</v>
      </c>
      <c r="AR112" s="1" t="s">
        <v>778</v>
      </c>
      <c r="AT112" s="1" t="s">
        <v>778</v>
      </c>
      <c r="AY112" s="1" t="s">
        <v>778</v>
      </c>
      <c r="BM112" s="1" t="s">
        <v>778</v>
      </c>
      <c r="EQ112" s="1" t="s">
        <v>778</v>
      </c>
      <c r="ET112" s="1" t="s">
        <v>778</v>
      </c>
      <c r="EU112" s="1" t="s">
        <v>778</v>
      </c>
      <c r="EW112" s="1" t="s">
        <v>778</v>
      </c>
      <c r="FI112" s="1" t="s">
        <v>778</v>
      </c>
      <c r="FN112" s="1" t="s">
        <v>778</v>
      </c>
      <c r="FO112" s="1" t="s">
        <v>778</v>
      </c>
      <c r="FP112" s="1" t="s">
        <v>778</v>
      </c>
      <c r="FQ112" s="1" t="s">
        <v>778</v>
      </c>
      <c r="GX112" s="1" t="s">
        <v>778</v>
      </c>
      <c r="GY112" s="1" t="s">
        <v>778</v>
      </c>
      <c r="NN112" s="1" t="s">
        <v>778</v>
      </c>
      <c r="NY112" s="1" t="s">
        <v>778</v>
      </c>
      <c r="NZ112" s="1" t="s">
        <v>778</v>
      </c>
      <c r="OA112" s="1" t="s">
        <v>778</v>
      </c>
      <c r="OB112" s="1" t="s">
        <v>778</v>
      </c>
      <c r="OC112" s="1" t="s">
        <v>778</v>
      </c>
      <c r="OD112" s="1" t="s">
        <v>778</v>
      </c>
      <c r="OE112" s="1" t="s">
        <v>778</v>
      </c>
      <c r="OF112" s="1" t="s">
        <v>778</v>
      </c>
      <c r="OG112" s="1" t="s">
        <v>778</v>
      </c>
      <c r="OW112" s="1" t="s">
        <v>778</v>
      </c>
      <c r="OY112" s="1" t="s">
        <v>778</v>
      </c>
      <c r="PE112" s="1" t="s">
        <v>778</v>
      </c>
      <c r="PH112" s="1" t="s">
        <v>778</v>
      </c>
      <c r="PI112" s="1" t="s">
        <v>778</v>
      </c>
      <c r="PJ112" s="1" t="s">
        <v>778</v>
      </c>
      <c r="PL112" s="1" t="s">
        <v>778</v>
      </c>
      <c r="PM112" s="1" t="s">
        <v>778</v>
      </c>
      <c r="PN112" s="1" t="s">
        <v>778</v>
      </c>
      <c r="PO112" s="1" t="s">
        <v>778</v>
      </c>
      <c r="PP112" s="1" t="s">
        <v>778</v>
      </c>
      <c r="PQ112" s="1" t="s">
        <v>778</v>
      </c>
      <c r="PR112" s="1" t="s">
        <v>778</v>
      </c>
      <c r="PS112" s="1" t="s">
        <v>778</v>
      </c>
      <c r="PT112" s="1" t="s">
        <v>778</v>
      </c>
      <c r="QE112" s="1">
        <f t="shared" si="13"/>
        <v>0</v>
      </c>
    </row>
    <row r="113" spans="1:471" ht="188.5" hidden="1" x14ac:dyDescent="0.35">
      <c r="A113" s="1" t="s">
        <v>859</v>
      </c>
      <c r="B113" s="14" t="s">
        <v>52</v>
      </c>
      <c r="C113" s="1" t="str" cm="1">
        <f t="array" ref="C113">GetURL(B113)</f>
        <v>https://explore-education-statistics.service.gov.uk/find-statistics/further-education-outcome-based-success-measures</v>
      </c>
      <c r="D113" s="1" t="s">
        <v>890</v>
      </c>
      <c r="E113" s="1" t="s">
        <v>778</v>
      </c>
      <c r="F113" s="1" t="s">
        <v>778</v>
      </c>
      <c r="G113" s="1" t="s">
        <v>778</v>
      </c>
      <c r="H113" s="1" t="s">
        <v>778</v>
      </c>
      <c r="I113" s="1" t="s">
        <v>778</v>
      </c>
      <c r="J113" s="1" t="s">
        <v>778</v>
      </c>
      <c r="K113" s="1" t="s">
        <v>778</v>
      </c>
      <c r="L113" s="1" t="s">
        <v>778</v>
      </c>
      <c r="M113" s="1" t="s">
        <v>778</v>
      </c>
      <c r="N113" s="1" t="s">
        <v>778</v>
      </c>
      <c r="BD113" s="1" t="s">
        <v>778</v>
      </c>
      <c r="BE113" s="1" t="s">
        <v>778</v>
      </c>
      <c r="EQ113" s="1" t="s">
        <v>778</v>
      </c>
      <c r="ET113" s="1" t="s">
        <v>778</v>
      </c>
      <c r="EU113" s="1" t="s">
        <v>778</v>
      </c>
      <c r="EW113" s="1" t="s">
        <v>778</v>
      </c>
      <c r="FI113" s="1" t="s">
        <v>778</v>
      </c>
      <c r="FN113" s="1" t="s">
        <v>778</v>
      </c>
      <c r="FO113" s="1" t="s">
        <v>778</v>
      </c>
      <c r="FP113" s="1" t="s">
        <v>778</v>
      </c>
      <c r="FQ113" s="1" t="s">
        <v>778</v>
      </c>
      <c r="GX113" s="1" t="s">
        <v>778</v>
      </c>
      <c r="GY113" s="1" t="s">
        <v>778</v>
      </c>
      <c r="NN113" s="1" t="s">
        <v>778</v>
      </c>
      <c r="NY113" s="1" t="s">
        <v>778</v>
      </c>
      <c r="NZ113" s="1" t="s">
        <v>778</v>
      </c>
      <c r="OA113" s="1" t="s">
        <v>778</v>
      </c>
      <c r="OB113" s="1" t="s">
        <v>778</v>
      </c>
      <c r="OC113" s="1" t="s">
        <v>778</v>
      </c>
      <c r="OD113" s="1" t="s">
        <v>778</v>
      </c>
      <c r="OE113" s="1" t="s">
        <v>778</v>
      </c>
      <c r="OF113" s="1" t="s">
        <v>778</v>
      </c>
      <c r="OG113" s="1" t="s">
        <v>778</v>
      </c>
      <c r="OW113" s="1" t="s">
        <v>778</v>
      </c>
      <c r="OY113" s="1" t="s">
        <v>778</v>
      </c>
      <c r="PE113" s="1" t="s">
        <v>778</v>
      </c>
      <c r="PH113" s="1" t="s">
        <v>778</v>
      </c>
      <c r="PI113" s="1" t="s">
        <v>778</v>
      </c>
      <c r="PJ113" s="1" t="s">
        <v>778</v>
      </c>
      <c r="PL113" s="1" t="s">
        <v>778</v>
      </c>
      <c r="PM113" s="1" t="s">
        <v>778</v>
      </c>
      <c r="PN113" s="1" t="s">
        <v>778</v>
      </c>
      <c r="PO113" s="1" t="s">
        <v>778</v>
      </c>
      <c r="PP113" s="1" t="s">
        <v>778</v>
      </c>
      <c r="PQ113" s="1" t="s">
        <v>778</v>
      </c>
      <c r="PR113" s="1" t="s">
        <v>778</v>
      </c>
      <c r="PS113" s="1" t="s">
        <v>778</v>
      </c>
      <c r="PT113" s="1" t="s">
        <v>778</v>
      </c>
      <c r="QE113" s="1">
        <v>0</v>
      </c>
    </row>
    <row r="114" spans="1:471" ht="188.5" hidden="1" x14ac:dyDescent="0.35">
      <c r="A114" s="1" t="s">
        <v>859</v>
      </c>
      <c r="B114" s="14" t="s">
        <v>52</v>
      </c>
      <c r="C114" s="1" t="str" cm="1">
        <f t="array" ref="C114">GetURL(B114)</f>
        <v>https://explore-education-statistics.service.gov.uk/find-statistics/further-education-outcome-based-success-measures</v>
      </c>
      <c r="D114" s="1" t="s">
        <v>891</v>
      </c>
      <c r="E114" s="1" t="s">
        <v>778</v>
      </c>
      <c r="F114" s="1" t="s">
        <v>778</v>
      </c>
      <c r="G114" s="1" t="s">
        <v>778</v>
      </c>
      <c r="H114" s="1" t="s">
        <v>778</v>
      </c>
      <c r="I114" s="1" t="s">
        <v>778</v>
      </c>
      <c r="J114" s="1" t="s">
        <v>778</v>
      </c>
      <c r="K114" s="1" t="s">
        <v>778</v>
      </c>
      <c r="AA114" s="1" t="s">
        <v>778</v>
      </c>
      <c r="AB114" s="1" t="s">
        <v>778</v>
      </c>
      <c r="AR114" s="1" t="s">
        <v>778</v>
      </c>
      <c r="AT114" s="1" t="s">
        <v>778</v>
      </c>
      <c r="AY114" s="1" t="s">
        <v>778</v>
      </c>
      <c r="BM114" s="1" t="s">
        <v>778</v>
      </c>
      <c r="EQ114" s="1" t="s">
        <v>778</v>
      </c>
      <c r="ET114" s="1" t="s">
        <v>778</v>
      </c>
      <c r="EU114" s="1" t="s">
        <v>778</v>
      </c>
      <c r="EW114" s="1" t="s">
        <v>778</v>
      </c>
      <c r="FI114" s="1" t="s">
        <v>778</v>
      </c>
      <c r="FN114" s="1" t="s">
        <v>778</v>
      </c>
      <c r="FO114" s="1" t="s">
        <v>778</v>
      </c>
      <c r="FP114" s="1" t="s">
        <v>778</v>
      </c>
      <c r="FQ114" s="1" t="s">
        <v>778</v>
      </c>
      <c r="GX114" s="1" t="s">
        <v>778</v>
      </c>
      <c r="GY114" s="1" t="s">
        <v>778</v>
      </c>
      <c r="NN114" s="1" t="s">
        <v>778</v>
      </c>
      <c r="NY114" s="1" t="s">
        <v>778</v>
      </c>
      <c r="NZ114" s="1" t="s">
        <v>778</v>
      </c>
      <c r="OA114" s="1" t="s">
        <v>778</v>
      </c>
      <c r="OB114" s="1" t="s">
        <v>778</v>
      </c>
      <c r="OC114" s="1" t="s">
        <v>778</v>
      </c>
      <c r="OD114" s="1" t="s">
        <v>778</v>
      </c>
      <c r="OE114" s="1" t="s">
        <v>778</v>
      </c>
      <c r="OF114" s="1" t="s">
        <v>778</v>
      </c>
      <c r="OG114" s="1" t="s">
        <v>778</v>
      </c>
      <c r="OW114" s="1" t="s">
        <v>778</v>
      </c>
      <c r="OY114" s="1" t="s">
        <v>778</v>
      </c>
      <c r="PE114" s="1" t="s">
        <v>778</v>
      </c>
      <c r="PH114" s="1" t="s">
        <v>778</v>
      </c>
      <c r="PI114" s="1" t="s">
        <v>778</v>
      </c>
      <c r="PJ114" s="1" t="s">
        <v>778</v>
      </c>
      <c r="PL114" s="1" t="s">
        <v>778</v>
      </c>
      <c r="PM114" s="1" t="s">
        <v>778</v>
      </c>
      <c r="PN114" s="1" t="s">
        <v>778</v>
      </c>
      <c r="PO114" s="1" t="s">
        <v>778</v>
      </c>
      <c r="PP114" s="1" t="s">
        <v>778</v>
      </c>
      <c r="PQ114" s="1" t="s">
        <v>778</v>
      </c>
      <c r="PR114" s="1" t="s">
        <v>778</v>
      </c>
      <c r="PS114" s="1" t="s">
        <v>778</v>
      </c>
      <c r="PT114" s="1" t="s">
        <v>778</v>
      </c>
      <c r="QE114" s="1">
        <v>0</v>
      </c>
    </row>
    <row r="115" spans="1:471" ht="188.5" hidden="1" x14ac:dyDescent="0.35">
      <c r="A115" s="1" t="s">
        <v>859</v>
      </c>
      <c r="B115" s="14" t="s">
        <v>52</v>
      </c>
      <c r="C115" s="1" t="str" cm="1">
        <f t="array" ref="C115">GetURL(B115)</f>
        <v>https://explore-education-statistics.service.gov.uk/find-statistics/further-education-outcome-based-success-measures</v>
      </c>
      <c r="D115" s="1" t="s">
        <v>892</v>
      </c>
      <c r="E115" s="1" t="s">
        <v>778</v>
      </c>
      <c r="F115" s="1" t="s">
        <v>778</v>
      </c>
      <c r="G115" s="1" t="s">
        <v>778</v>
      </c>
      <c r="H115" s="1" t="s">
        <v>778</v>
      </c>
      <c r="I115" s="1" t="s">
        <v>778</v>
      </c>
      <c r="J115" s="1" t="s">
        <v>778</v>
      </c>
      <c r="K115" s="1" t="s">
        <v>778</v>
      </c>
      <c r="AA115" s="1" t="s">
        <v>778</v>
      </c>
      <c r="AB115" s="1" t="s">
        <v>778</v>
      </c>
      <c r="BD115" s="1" t="s">
        <v>778</v>
      </c>
      <c r="BE115" s="1" t="s">
        <v>778</v>
      </c>
      <c r="EQ115" s="1" t="s">
        <v>778</v>
      </c>
      <c r="ET115" s="1" t="s">
        <v>778</v>
      </c>
      <c r="EU115" s="1" t="s">
        <v>778</v>
      </c>
      <c r="EW115" s="1" t="s">
        <v>778</v>
      </c>
      <c r="FI115" s="1" t="s">
        <v>778</v>
      </c>
      <c r="FN115" s="1" t="s">
        <v>778</v>
      </c>
      <c r="FO115" s="1" t="s">
        <v>778</v>
      </c>
      <c r="FP115" s="1" t="s">
        <v>778</v>
      </c>
      <c r="FQ115" s="1" t="s">
        <v>778</v>
      </c>
      <c r="GX115" s="1" t="s">
        <v>778</v>
      </c>
      <c r="GY115" s="1" t="s">
        <v>778</v>
      </c>
      <c r="NN115" s="1" t="s">
        <v>778</v>
      </c>
      <c r="NY115" s="1" t="s">
        <v>778</v>
      </c>
      <c r="NZ115" s="1" t="s">
        <v>778</v>
      </c>
      <c r="OA115" s="1" t="s">
        <v>778</v>
      </c>
      <c r="OB115" s="1" t="s">
        <v>778</v>
      </c>
      <c r="OC115" s="1" t="s">
        <v>778</v>
      </c>
      <c r="OD115" s="1" t="s">
        <v>778</v>
      </c>
      <c r="OE115" s="1" t="s">
        <v>778</v>
      </c>
      <c r="OF115" s="1" t="s">
        <v>778</v>
      </c>
      <c r="OG115" s="1" t="s">
        <v>778</v>
      </c>
      <c r="OW115" s="1" t="s">
        <v>778</v>
      </c>
      <c r="OY115" s="1" t="s">
        <v>778</v>
      </c>
      <c r="PE115" s="1" t="s">
        <v>778</v>
      </c>
      <c r="PH115" s="1" t="s">
        <v>778</v>
      </c>
      <c r="PI115" s="1" t="s">
        <v>778</v>
      </c>
      <c r="PJ115" s="1" t="s">
        <v>778</v>
      </c>
      <c r="PL115" s="1" t="s">
        <v>778</v>
      </c>
      <c r="PM115" s="1" t="s">
        <v>778</v>
      </c>
      <c r="PN115" s="1" t="s">
        <v>778</v>
      </c>
      <c r="PO115" s="1" t="s">
        <v>778</v>
      </c>
      <c r="PP115" s="1" t="s">
        <v>778</v>
      </c>
      <c r="PQ115" s="1" t="s">
        <v>778</v>
      </c>
      <c r="PR115" s="1" t="s">
        <v>778</v>
      </c>
      <c r="PS115" s="1" t="s">
        <v>778</v>
      </c>
      <c r="PT115" s="1" t="s">
        <v>778</v>
      </c>
      <c r="QE115" s="1">
        <v>0</v>
      </c>
    </row>
    <row r="116" spans="1:471" ht="188.5" hidden="1" x14ac:dyDescent="0.35">
      <c r="A116" s="1" t="s">
        <v>859</v>
      </c>
      <c r="B116" s="14" t="s">
        <v>52</v>
      </c>
      <c r="C116" s="1" t="str" cm="1">
        <f t="array" ref="C116">GetURL(B116)</f>
        <v>https://explore-education-statistics.service.gov.uk/find-statistics/further-education-outcome-based-success-measures</v>
      </c>
      <c r="D116" s="1" t="s">
        <v>893</v>
      </c>
      <c r="E116" s="1" t="s">
        <v>778</v>
      </c>
      <c r="F116" s="1" t="s">
        <v>778</v>
      </c>
      <c r="G116" s="1" t="s">
        <v>778</v>
      </c>
      <c r="H116" s="1" t="s">
        <v>778</v>
      </c>
      <c r="I116" s="1" t="s">
        <v>778</v>
      </c>
      <c r="J116" s="1" t="s">
        <v>778</v>
      </c>
      <c r="K116" s="1" t="s">
        <v>778</v>
      </c>
      <c r="Y116" s="1" t="s">
        <v>778</v>
      </c>
      <c r="Z116" s="1" t="s">
        <v>778</v>
      </c>
      <c r="BD116" s="1" t="s">
        <v>778</v>
      </c>
      <c r="BE116" s="1" t="s">
        <v>778</v>
      </c>
      <c r="EQ116" s="1" t="s">
        <v>778</v>
      </c>
      <c r="ET116" s="1" t="s">
        <v>778</v>
      </c>
      <c r="EU116" s="1" t="s">
        <v>778</v>
      </c>
      <c r="EW116" s="1" t="s">
        <v>778</v>
      </c>
      <c r="FI116" s="1" t="s">
        <v>778</v>
      </c>
      <c r="FN116" s="1" t="s">
        <v>778</v>
      </c>
      <c r="FO116" s="1" t="s">
        <v>778</v>
      </c>
      <c r="FP116" s="1" t="s">
        <v>778</v>
      </c>
      <c r="FQ116" s="1" t="s">
        <v>778</v>
      </c>
      <c r="GX116" s="1" t="s">
        <v>778</v>
      </c>
      <c r="GY116" s="1" t="s">
        <v>778</v>
      </c>
      <c r="NN116" s="1" t="s">
        <v>778</v>
      </c>
      <c r="NY116" s="1" t="s">
        <v>778</v>
      </c>
      <c r="NZ116" s="1" t="s">
        <v>778</v>
      </c>
      <c r="OA116" s="1" t="s">
        <v>778</v>
      </c>
      <c r="OB116" s="1" t="s">
        <v>778</v>
      </c>
      <c r="OC116" s="1" t="s">
        <v>778</v>
      </c>
      <c r="OD116" s="1" t="s">
        <v>778</v>
      </c>
      <c r="OE116" s="1" t="s">
        <v>778</v>
      </c>
      <c r="OF116" s="1" t="s">
        <v>778</v>
      </c>
      <c r="OG116" s="1" t="s">
        <v>778</v>
      </c>
      <c r="OW116" s="1" t="s">
        <v>778</v>
      </c>
      <c r="OY116" s="1" t="s">
        <v>778</v>
      </c>
      <c r="PE116" s="1" t="s">
        <v>778</v>
      </c>
      <c r="PH116" s="1" t="s">
        <v>778</v>
      </c>
      <c r="PI116" s="1" t="s">
        <v>778</v>
      </c>
      <c r="PJ116" s="1" t="s">
        <v>778</v>
      </c>
      <c r="PL116" s="1" t="s">
        <v>778</v>
      </c>
      <c r="PM116" s="1" t="s">
        <v>778</v>
      </c>
      <c r="PN116" s="1" t="s">
        <v>778</v>
      </c>
      <c r="PO116" s="1" t="s">
        <v>778</v>
      </c>
      <c r="PP116" s="1" t="s">
        <v>778</v>
      </c>
      <c r="PQ116" s="1" t="s">
        <v>778</v>
      </c>
      <c r="PR116" s="1" t="s">
        <v>778</v>
      </c>
      <c r="PS116" s="1" t="s">
        <v>778</v>
      </c>
      <c r="PT116" s="1" t="s">
        <v>778</v>
      </c>
      <c r="QE116" s="1">
        <f>SUM(E116:QD116)</f>
        <v>0</v>
      </c>
    </row>
    <row r="117" spans="1:471" ht="188.5" hidden="1" x14ac:dyDescent="0.35">
      <c r="A117" s="1" t="s">
        <v>859</v>
      </c>
      <c r="B117" s="14" t="s">
        <v>52</v>
      </c>
      <c r="C117" s="1" t="str" cm="1">
        <f t="array" ref="C117">GetURL(B117)</f>
        <v>https://explore-education-statistics.service.gov.uk/find-statistics/further-education-outcome-based-success-measures</v>
      </c>
      <c r="D117" s="1" t="s">
        <v>894</v>
      </c>
      <c r="E117" s="1" t="s">
        <v>778</v>
      </c>
      <c r="F117" s="1" t="s">
        <v>778</v>
      </c>
      <c r="G117" s="1" t="s">
        <v>778</v>
      </c>
      <c r="H117" s="1" t="s">
        <v>778</v>
      </c>
      <c r="I117" s="1" t="s">
        <v>778</v>
      </c>
      <c r="AY117" s="1" t="s">
        <v>778</v>
      </c>
      <c r="BD117" s="1" t="s">
        <v>778</v>
      </c>
      <c r="BE117" s="1" t="s">
        <v>778</v>
      </c>
      <c r="BQ117" s="1" t="s">
        <v>778</v>
      </c>
      <c r="EQ117" s="1" t="s">
        <v>778</v>
      </c>
      <c r="EV117" s="1" t="s">
        <v>778</v>
      </c>
      <c r="FI117" s="1" t="s">
        <v>778</v>
      </c>
      <c r="GT117" s="1" t="s">
        <v>778</v>
      </c>
      <c r="GY117" s="1" t="s">
        <v>778</v>
      </c>
      <c r="PR117" s="1" t="s">
        <v>778</v>
      </c>
      <c r="PS117" s="1" t="s">
        <v>778</v>
      </c>
      <c r="PT117" s="1" t="s">
        <v>778</v>
      </c>
      <c r="QE117" s="1">
        <f>SUM(E117:QD117)</f>
        <v>0</v>
      </c>
    </row>
    <row r="118" spans="1:471" ht="188.5" hidden="1" x14ac:dyDescent="0.35">
      <c r="A118" s="1" t="s">
        <v>859</v>
      </c>
      <c r="B118" s="14" t="s">
        <v>52</v>
      </c>
      <c r="C118" s="1" t="str" cm="1">
        <f t="array" ref="C118">GetURL(B118)</f>
        <v>https://explore-education-statistics.service.gov.uk/find-statistics/further-education-outcome-based-success-measures</v>
      </c>
      <c r="D118" s="1" t="s">
        <v>895</v>
      </c>
      <c r="E118" s="1" t="s">
        <v>778</v>
      </c>
      <c r="F118" s="1" t="s">
        <v>778</v>
      </c>
      <c r="G118" s="1" t="s">
        <v>778</v>
      </c>
      <c r="H118" s="1" t="s">
        <v>778</v>
      </c>
      <c r="I118" s="1" t="s">
        <v>778</v>
      </c>
      <c r="AT118" s="1" t="s">
        <v>778</v>
      </c>
      <c r="AY118" s="1" t="s">
        <v>778</v>
      </c>
      <c r="BA118" s="1" t="s">
        <v>778</v>
      </c>
      <c r="BD118" s="1" t="s">
        <v>778</v>
      </c>
      <c r="BE118" s="1" t="s">
        <v>778</v>
      </c>
      <c r="BQ118" s="1" t="s">
        <v>778</v>
      </c>
      <c r="FI118" s="1" t="s">
        <v>778</v>
      </c>
      <c r="GX118" s="1" t="s">
        <v>778</v>
      </c>
      <c r="NL118" s="1" t="s">
        <v>778</v>
      </c>
      <c r="NM118" s="1" t="s">
        <v>778</v>
      </c>
      <c r="OZ118" s="1" t="s">
        <v>778</v>
      </c>
      <c r="QE118" s="1">
        <f>SUM(E118:QD118)</f>
        <v>0</v>
      </c>
    </row>
    <row r="119" spans="1:471" ht="188.5" hidden="1" x14ac:dyDescent="0.35">
      <c r="A119" s="1" t="s">
        <v>859</v>
      </c>
      <c r="B119" s="14" t="s">
        <v>52</v>
      </c>
      <c r="C119" s="1" t="str" cm="1">
        <f t="array" ref="C119">GetURL(B119)</f>
        <v>https://explore-education-statistics.service.gov.uk/find-statistics/further-education-outcome-based-success-measures</v>
      </c>
      <c r="D119" s="1" t="s">
        <v>896</v>
      </c>
      <c r="E119" s="1" t="s">
        <v>778</v>
      </c>
      <c r="F119" s="1" t="s">
        <v>778</v>
      </c>
      <c r="G119" s="1" t="s">
        <v>778</v>
      </c>
      <c r="H119" s="1" t="s">
        <v>778</v>
      </c>
      <c r="I119" s="1" t="s">
        <v>778</v>
      </c>
      <c r="J119" s="1" t="s">
        <v>778</v>
      </c>
      <c r="K119" s="1" t="s">
        <v>778</v>
      </c>
      <c r="BA119" s="1" t="s">
        <v>778</v>
      </c>
      <c r="BD119" s="1" t="s">
        <v>778</v>
      </c>
      <c r="BE119" s="1" t="s">
        <v>778</v>
      </c>
      <c r="FI119" s="1" t="s">
        <v>778</v>
      </c>
      <c r="GX119" s="1" t="s">
        <v>778</v>
      </c>
      <c r="NL119" s="1" t="s">
        <v>778</v>
      </c>
      <c r="NM119" s="1" t="s">
        <v>778</v>
      </c>
      <c r="OZ119" s="1" t="s">
        <v>778</v>
      </c>
      <c r="QE119" s="1">
        <f>SUM(E119:QD119)</f>
        <v>0</v>
      </c>
    </row>
    <row r="120" spans="1:471" ht="159.5" hidden="1" x14ac:dyDescent="0.35">
      <c r="A120" s="1" t="s">
        <v>859</v>
      </c>
      <c r="B120" s="14" t="s">
        <v>89</v>
      </c>
      <c r="C120" s="1" t="str" cm="1">
        <f t="array" ref="C120">GetURL(B120)</f>
        <v>https://explore-education-statistics.service.gov.uk/find-statistics/progression-to-higher-education-or-training</v>
      </c>
      <c r="D120" s="1" t="s">
        <v>897</v>
      </c>
      <c r="E120" s="1" t="s">
        <v>778</v>
      </c>
      <c r="F120" s="1" t="s">
        <v>778</v>
      </c>
      <c r="G120" s="1" t="s">
        <v>778</v>
      </c>
      <c r="H120" s="1" t="s">
        <v>778</v>
      </c>
      <c r="I120" s="1" t="s">
        <v>778</v>
      </c>
      <c r="AE120" s="1" t="s">
        <v>778</v>
      </c>
      <c r="AG120" s="1" t="s">
        <v>778</v>
      </c>
      <c r="IX120" s="1" t="s">
        <v>778</v>
      </c>
      <c r="JJ120" s="1" t="s">
        <v>778</v>
      </c>
      <c r="JK120" s="1" t="s">
        <v>778</v>
      </c>
      <c r="NI120" s="1" t="s">
        <v>778</v>
      </c>
      <c r="QE120" s="1" t="s">
        <v>778</v>
      </c>
      <c r="QF120" s="1" t="s">
        <v>778</v>
      </c>
      <c r="QG120" s="1" t="s">
        <v>778</v>
      </c>
      <c r="QH120" s="1" t="s">
        <v>778</v>
      </c>
      <c r="QJ120" s="1" t="s">
        <v>778</v>
      </c>
      <c r="QK120" s="1" t="s">
        <v>778</v>
      </c>
      <c r="QL120" s="1" t="s">
        <v>778</v>
      </c>
      <c r="QM120" s="1" t="s">
        <v>778</v>
      </c>
      <c r="QN120" s="1" t="s">
        <v>778</v>
      </c>
      <c r="QO120" s="1" t="s">
        <v>778</v>
      </c>
      <c r="QP120" s="1" t="s">
        <v>778</v>
      </c>
      <c r="QQ120" s="1" t="s">
        <v>778</v>
      </c>
      <c r="QR120" s="1" t="s">
        <v>778</v>
      </c>
      <c r="QS120" s="1" t="s">
        <v>778</v>
      </c>
      <c r="QT120" s="1" t="s">
        <v>778</v>
      </c>
      <c r="QU120" s="1" t="s">
        <v>778</v>
      </c>
      <c r="QV120" s="1" t="s">
        <v>778</v>
      </c>
      <c r="QW120" s="1" t="s">
        <v>778</v>
      </c>
      <c r="QX120" s="1" t="s">
        <v>778</v>
      </c>
      <c r="QY120" s="1" t="s">
        <v>778</v>
      </c>
      <c r="QZ120" s="1" t="s">
        <v>778</v>
      </c>
    </row>
    <row r="121" spans="1:471" ht="159.5" hidden="1" x14ac:dyDescent="0.35">
      <c r="A121" s="1" t="s">
        <v>859</v>
      </c>
      <c r="B121" s="14" t="s">
        <v>89</v>
      </c>
      <c r="C121" s="1" t="str" cm="1">
        <f t="array" ref="C121">GetURL(B121)</f>
        <v>https://explore-education-statistics.service.gov.uk/find-statistics/progression-to-higher-education-or-training</v>
      </c>
      <c r="D121" s="1" t="s">
        <v>898</v>
      </c>
      <c r="E121" s="1" t="s">
        <v>778</v>
      </c>
      <c r="F121" s="1" t="s">
        <v>778</v>
      </c>
      <c r="G121" s="1" t="s">
        <v>778</v>
      </c>
      <c r="H121" s="1" t="s">
        <v>778</v>
      </c>
      <c r="I121" s="1" t="s">
        <v>778</v>
      </c>
      <c r="AE121" s="1" t="s">
        <v>778</v>
      </c>
      <c r="AG121" s="1" t="s">
        <v>778</v>
      </c>
      <c r="JJ121" s="1" t="s">
        <v>778</v>
      </c>
      <c r="JK121" s="1" t="s">
        <v>778</v>
      </c>
      <c r="NI121" s="1" t="s">
        <v>778</v>
      </c>
      <c r="QE121" s="1" t="s">
        <v>778</v>
      </c>
    </row>
    <row r="122" spans="1:471" ht="159.5" hidden="1" x14ac:dyDescent="0.35">
      <c r="A122" s="1" t="s">
        <v>859</v>
      </c>
      <c r="B122" s="14" t="s">
        <v>89</v>
      </c>
      <c r="C122" s="1" t="str" cm="1">
        <f t="array" ref="C122">GetURL(B122)</f>
        <v>https://explore-education-statistics.service.gov.uk/find-statistics/progression-to-higher-education-or-training</v>
      </c>
      <c r="D122" s="1" t="s">
        <v>899</v>
      </c>
      <c r="E122" s="1" t="s">
        <v>778</v>
      </c>
      <c r="F122" s="1" t="s">
        <v>778</v>
      </c>
      <c r="G122" s="1" t="s">
        <v>778</v>
      </c>
      <c r="H122" s="1" t="s">
        <v>778</v>
      </c>
      <c r="I122" s="1" t="s">
        <v>778</v>
      </c>
      <c r="J122" s="1" t="s">
        <v>778</v>
      </c>
      <c r="K122" s="1" t="s">
        <v>778</v>
      </c>
      <c r="L122" s="1" t="s">
        <v>778</v>
      </c>
      <c r="M122" s="1" t="s">
        <v>778</v>
      </c>
      <c r="N122" s="1" t="s">
        <v>778</v>
      </c>
      <c r="Q122" s="1" t="s">
        <v>778</v>
      </c>
      <c r="R122" s="1" t="s">
        <v>778</v>
      </c>
      <c r="AE122" s="1" t="s">
        <v>778</v>
      </c>
      <c r="AG122" s="1" t="s">
        <v>778</v>
      </c>
      <c r="IX122" s="1" t="s">
        <v>778</v>
      </c>
      <c r="JJ122" s="1" t="s">
        <v>778</v>
      </c>
      <c r="JK122" s="1" t="s">
        <v>778</v>
      </c>
      <c r="NI122" s="1" t="s">
        <v>778</v>
      </c>
      <c r="QC122" s="1" t="s">
        <v>778</v>
      </c>
      <c r="QE122" s="1" t="s">
        <v>778</v>
      </c>
      <c r="QF122" s="1" t="s">
        <v>778</v>
      </c>
      <c r="QG122" s="1" t="s">
        <v>778</v>
      </c>
      <c r="QH122" s="1" t="s">
        <v>778</v>
      </c>
      <c r="QJ122" s="1" t="s">
        <v>778</v>
      </c>
      <c r="QK122" s="1" t="s">
        <v>778</v>
      </c>
      <c r="QL122" s="1" t="s">
        <v>778</v>
      </c>
      <c r="QM122" s="1" t="s">
        <v>778</v>
      </c>
      <c r="QN122" s="1" t="s">
        <v>778</v>
      </c>
      <c r="QO122" s="1" t="s">
        <v>778</v>
      </c>
      <c r="QP122" s="1" t="s">
        <v>778</v>
      </c>
      <c r="QQ122" s="1" t="s">
        <v>778</v>
      </c>
      <c r="QR122" s="1" t="s">
        <v>778</v>
      </c>
      <c r="QS122" s="1" t="s">
        <v>778</v>
      </c>
      <c r="QT122" s="1" t="s">
        <v>778</v>
      </c>
      <c r="QU122" s="1" t="s">
        <v>778</v>
      </c>
      <c r="QV122" s="1" t="s">
        <v>778</v>
      </c>
      <c r="QW122" s="1" t="s">
        <v>778</v>
      </c>
      <c r="QX122" s="1" t="s">
        <v>778</v>
      </c>
      <c r="QY122" s="1" t="s">
        <v>778</v>
      </c>
      <c r="QZ122" s="1" t="s">
        <v>778</v>
      </c>
    </row>
    <row r="123" spans="1:471" ht="130.5" hidden="1" x14ac:dyDescent="0.35">
      <c r="A123" s="1" t="s">
        <v>859</v>
      </c>
      <c r="B123" s="14" t="s">
        <v>71</v>
      </c>
      <c r="C123" s="1" t="str" cm="1">
        <f t="array" ref="C123">GetURL(B123)</f>
        <v>https://explore-education-statistics.service.gov.uk/find-statistics/longer-term-destinations</v>
      </c>
      <c r="D123" s="1" t="s">
        <v>900</v>
      </c>
      <c r="E123" s="1" t="s">
        <v>778</v>
      </c>
      <c r="F123" s="1" t="s">
        <v>778</v>
      </c>
      <c r="G123" s="1" t="s">
        <v>778</v>
      </c>
      <c r="H123" s="1" t="s">
        <v>778</v>
      </c>
      <c r="I123" s="1" t="s">
        <v>778</v>
      </c>
      <c r="NJ123" s="1" t="s">
        <v>778</v>
      </c>
      <c r="NP123" s="1" t="s">
        <v>778</v>
      </c>
      <c r="NQ123" s="1" t="s">
        <v>778</v>
      </c>
      <c r="NR123" s="1" t="s">
        <v>778</v>
      </c>
    </row>
    <row r="124" spans="1:471" ht="130.5" hidden="1" x14ac:dyDescent="0.35">
      <c r="A124" s="1" t="s">
        <v>859</v>
      </c>
      <c r="B124" s="14" t="s">
        <v>71</v>
      </c>
      <c r="C124" s="1" t="str" cm="1">
        <f t="array" ref="C124">GetURL(B124)</f>
        <v>https://explore-education-statistics.service.gov.uk/find-statistics/longer-term-destinations</v>
      </c>
      <c r="D124" s="1" t="s">
        <v>901</v>
      </c>
      <c r="E124" s="1" t="s">
        <v>778</v>
      </c>
      <c r="F124" s="1" t="s">
        <v>778</v>
      </c>
      <c r="G124" s="1" t="s">
        <v>778</v>
      </c>
      <c r="H124" s="1" t="s">
        <v>778</v>
      </c>
      <c r="I124" s="1" t="s">
        <v>778</v>
      </c>
      <c r="J124" s="1" t="s">
        <v>778</v>
      </c>
      <c r="K124" s="1" t="s">
        <v>778</v>
      </c>
      <c r="L124" s="1" t="s">
        <v>778</v>
      </c>
      <c r="M124" s="1" t="s">
        <v>778</v>
      </c>
      <c r="N124" s="1" t="s">
        <v>778</v>
      </c>
      <c r="AE124" s="1" t="s">
        <v>778</v>
      </c>
      <c r="GG124" s="1" t="s">
        <v>778</v>
      </c>
      <c r="IX124" s="1" t="s">
        <v>778</v>
      </c>
      <c r="JJ124" s="1" t="s">
        <v>778</v>
      </c>
      <c r="NI124" s="1" t="s">
        <v>778</v>
      </c>
      <c r="NJ124" s="1" t="s">
        <v>778</v>
      </c>
      <c r="NO124" s="1" t="s">
        <v>778</v>
      </c>
      <c r="NS124" s="1" t="s">
        <v>778</v>
      </c>
      <c r="NT124" s="1" t="s">
        <v>778</v>
      </c>
      <c r="NU124" s="1" t="s">
        <v>778</v>
      </c>
      <c r="NV124" s="1" t="s">
        <v>778</v>
      </c>
      <c r="NX124" s="1" t="s">
        <v>778</v>
      </c>
      <c r="OJ124" s="1" t="s">
        <v>778</v>
      </c>
      <c r="OK124" s="1" t="s">
        <v>778</v>
      </c>
      <c r="OR124" s="1" t="s">
        <v>778</v>
      </c>
      <c r="OT124" s="1" t="s">
        <v>778</v>
      </c>
      <c r="OU124" s="1" t="s">
        <v>778</v>
      </c>
      <c r="OV124" s="1" t="s">
        <v>778</v>
      </c>
      <c r="PA124" s="1" t="s">
        <v>778</v>
      </c>
      <c r="PB124" s="1" t="s">
        <v>778</v>
      </c>
      <c r="PC124" s="1" t="s">
        <v>778</v>
      </c>
      <c r="PD124" s="1" t="s">
        <v>778</v>
      </c>
      <c r="PU124" s="1" t="s">
        <v>778</v>
      </c>
      <c r="PV124" s="1" t="s">
        <v>778</v>
      </c>
      <c r="PZ124" s="1" t="s">
        <v>778</v>
      </c>
      <c r="RA124" s="1" t="s">
        <v>778</v>
      </c>
      <c r="RB124" s="1" t="s">
        <v>778</v>
      </c>
      <c r="RC124" s="1" t="s">
        <v>778</v>
      </c>
    </row>
    <row r="125" spans="1:471" ht="130.5" hidden="1" x14ac:dyDescent="0.35">
      <c r="A125" s="1" t="s">
        <v>859</v>
      </c>
      <c r="B125" s="14" t="s">
        <v>71</v>
      </c>
      <c r="C125" s="1" t="str" cm="1">
        <f t="array" ref="C125">GetURL(B125)</f>
        <v>https://explore-education-statistics.service.gov.uk/find-statistics/longer-term-destinations</v>
      </c>
      <c r="D125" s="1" t="s">
        <v>902</v>
      </c>
      <c r="E125" s="1" t="s">
        <v>778</v>
      </c>
      <c r="F125" s="1" t="s">
        <v>778</v>
      </c>
      <c r="G125" s="1" t="s">
        <v>778</v>
      </c>
      <c r="H125" s="1" t="s">
        <v>778</v>
      </c>
      <c r="I125" s="1" t="s">
        <v>778</v>
      </c>
      <c r="J125" s="1" t="s">
        <v>778</v>
      </c>
      <c r="K125" s="1" t="s">
        <v>778</v>
      </c>
      <c r="L125" s="1" t="s">
        <v>778</v>
      </c>
      <c r="M125" s="1" t="s">
        <v>778</v>
      </c>
      <c r="N125" s="1" t="s">
        <v>778</v>
      </c>
      <c r="AE125" s="1" t="s">
        <v>778</v>
      </c>
      <c r="AG125" s="1" t="s">
        <v>778</v>
      </c>
      <c r="GG125" s="1" t="s">
        <v>778</v>
      </c>
      <c r="IX125" s="1" t="s">
        <v>778</v>
      </c>
      <c r="JJ125" s="1" t="s">
        <v>778</v>
      </c>
      <c r="JK125" s="1" t="s">
        <v>778</v>
      </c>
      <c r="NI125" s="1" t="s">
        <v>778</v>
      </c>
      <c r="NJ125" s="1" t="s">
        <v>778</v>
      </c>
      <c r="NO125" s="1" t="s">
        <v>778</v>
      </c>
      <c r="NS125" s="1" t="s">
        <v>778</v>
      </c>
      <c r="NT125" s="1" t="s">
        <v>778</v>
      </c>
      <c r="NU125" s="1" t="s">
        <v>778</v>
      </c>
      <c r="NV125" s="1" t="s">
        <v>778</v>
      </c>
      <c r="NX125" s="1" t="s">
        <v>778</v>
      </c>
      <c r="OJ125" s="1" t="s">
        <v>778</v>
      </c>
      <c r="OK125" s="1" t="s">
        <v>778</v>
      </c>
      <c r="OR125" s="1" t="s">
        <v>778</v>
      </c>
      <c r="OT125" s="1" t="s">
        <v>778</v>
      </c>
      <c r="OU125" s="1" t="s">
        <v>778</v>
      </c>
      <c r="OV125" s="1" t="s">
        <v>778</v>
      </c>
      <c r="PA125" s="1" t="s">
        <v>778</v>
      </c>
      <c r="PB125" s="1" t="s">
        <v>778</v>
      </c>
      <c r="PC125" s="1" t="s">
        <v>778</v>
      </c>
      <c r="PD125" s="1" t="s">
        <v>778</v>
      </c>
      <c r="PU125" s="1" t="s">
        <v>778</v>
      </c>
      <c r="PV125" s="1" t="s">
        <v>778</v>
      </c>
      <c r="PZ125" s="1" t="s">
        <v>778</v>
      </c>
    </row>
    <row r="126" spans="1:471" ht="130.5" hidden="1" x14ac:dyDescent="0.35">
      <c r="A126" s="1" t="s">
        <v>859</v>
      </c>
      <c r="B126" s="14" t="s">
        <v>71</v>
      </c>
      <c r="C126" s="1" t="str" cm="1">
        <f t="array" ref="C126">GetURL(B126)</f>
        <v>https://explore-education-statistics.service.gov.uk/find-statistics/longer-term-destinations</v>
      </c>
      <c r="D126" s="1" t="s">
        <v>903</v>
      </c>
      <c r="E126" s="1" t="s">
        <v>778</v>
      </c>
      <c r="F126" s="1" t="s">
        <v>778</v>
      </c>
      <c r="G126" s="1" t="s">
        <v>778</v>
      </c>
      <c r="H126" s="1" t="s">
        <v>778</v>
      </c>
      <c r="I126" s="1" t="s">
        <v>778</v>
      </c>
      <c r="AE126" s="1" t="s">
        <v>778</v>
      </c>
      <c r="AG126" s="1" t="s">
        <v>778</v>
      </c>
      <c r="GG126" s="1" t="s">
        <v>778</v>
      </c>
      <c r="IX126" s="1" t="s">
        <v>778</v>
      </c>
      <c r="JJ126" s="1" t="s">
        <v>778</v>
      </c>
      <c r="JK126" s="1" t="s">
        <v>778</v>
      </c>
      <c r="NI126" s="1" t="s">
        <v>778</v>
      </c>
      <c r="NJ126" s="1" t="s">
        <v>778</v>
      </c>
      <c r="NO126" s="1" t="s">
        <v>778</v>
      </c>
      <c r="NS126" s="1" t="s">
        <v>778</v>
      </c>
      <c r="NT126" s="1" t="s">
        <v>778</v>
      </c>
      <c r="NU126" s="1" t="s">
        <v>778</v>
      </c>
      <c r="NV126" s="1" t="s">
        <v>778</v>
      </c>
      <c r="NX126" s="1" t="s">
        <v>778</v>
      </c>
      <c r="OJ126" s="1" t="s">
        <v>778</v>
      </c>
      <c r="OK126" s="1" t="s">
        <v>778</v>
      </c>
      <c r="OR126" s="1" t="s">
        <v>778</v>
      </c>
      <c r="OT126" s="1" t="s">
        <v>778</v>
      </c>
      <c r="OU126" s="1" t="s">
        <v>778</v>
      </c>
      <c r="OV126" s="1" t="s">
        <v>778</v>
      </c>
      <c r="PA126" s="1" t="s">
        <v>778</v>
      </c>
      <c r="PB126" s="1" t="s">
        <v>778</v>
      </c>
      <c r="PC126" s="1" t="s">
        <v>778</v>
      </c>
      <c r="PD126" s="1" t="s">
        <v>778</v>
      </c>
      <c r="PU126" s="1" t="s">
        <v>778</v>
      </c>
      <c r="PV126" s="1" t="s">
        <v>778</v>
      </c>
      <c r="PZ126" s="1" t="s">
        <v>778</v>
      </c>
    </row>
    <row r="127" spans="1:471" ht="203" hidden="1" x14ac:dyDescent="0.35">
      <c r="A127" s="1" t="s">
        <v>859</v>
      </c>
      <c r="B127" s="14" t="s">
        <v>82</v>
      </c>
      <c r="C127" s="1" t="str" cm="1">
        <f t="array" ref="C127">GetURL(B127)</f>
        <v>https://explore-education-statistics.service.gov.uk/find-statistics/participation-in-education-and-training-and-employment</v>
      </c>
      <c r="D127" s="1" t="s">
        <v>904</v>
      </c>
      <c r="E127" s="1" t="s">
        <v>778</v>
      </c>
      <c r="F127" s="1" t="s">
        <v>778</v>
      </c>
      <c r="G127" s="1" t="s">
        <v>778</v>
      </c>
      <c r="H127" s="1" t="s">
        <v>778</v>
      </c>
      <c r="I127" s="1" t="s">
        <v>778</v>
      </c>
      <c r="AS127" s="1" t="s">
        <v>778</v>
      </c>
      <c r="AY127" s="1" t="s">
        <v>778</v>
      </c>
      <c r="DT127" s="1" t="s">
        <v>778</v>
      </c>
      <c r="DU127" s="1" t="s">
        <v>778</v>
      </c>
      <c r="JN127" s="1" t="s">
        <v>778</v>
      </c>
      <c r="JO127" s="1" t="s">
        <v>778</v>
      </c>
      <c r="JP127" s="1" t="s">
        <v>778</v>
      </c>
    </row>
    <row r="128" spans="1:471" ht="203" hidden="1" x14ac:dyDescent="0.35">
      <c r="A128" s="1" t="s">
        <v>859</v>
      </c>
      <c r="B128" s="14" t="s">
        <v>82</v>
      </c>
      <c r="C128" s="1" t="str" cm="1">
        <f t="array" ref="C128">GetURL(B128)</f>
        <v>https://explore-education-statistics.service.gov.uk/find-statistics/participation-in-education-and-training-and-employment</v>
      </c>
      <c r="D128" s="1" t="s">
        <v>1163</v>
      </c>
      <c r="E128" s="1" t="s">
        <v>778</v>
      </c>
      <c r="F128" s="1" t="s">
        <v>778</v>
      </c>
      <c r="G128" s="1" t="s">
        <v>778</v>
      </c>
      <c r="H128" s="1" t="s">
        <v>778</v>
      </c>
      <c r="I128" s="1" t="s">
        <v>778</v>
      </c>
      <c r="AS128" s="1" t="s">
        <v>778</v>
      </c>
      <c r="AY128" s="1" t="s">
        <v>778</v>
      </c>
      <c r="DT128" s="1" t="s">
        <v>778</v>
      </c>
      <c r="DU128" s="1" t="s">
        <v>778</v>
      </c>
      <c r="GP128" s="1" t="s">
        <v>778</v>
      </c>
      <c r="GQ128" s="1" t="s">
        <v>778</v>
      </c>
      <c r="JL128" s="1" t="s">
        <v>778</v>
      </c>
      <c r="JM128" s="1" t="s">
        <v>778</v>
      </c>
      <c r="JQ128" s="1" t="s">
        <v>778</v>
      </c>
    </row>
    <row r="129" spans="1:533" ht="159.5" hidden="1" x14ac:dyDescent="0.35">
      <c r="A129" s="1" t="s">
        <v>543</v>
      </c>
      <c r="B129" s="14" t="s">
        <v>87</v>
      </c>
      <c r="C129" s="1" t="str" cm="1">
        <f t="array" ref="C129">GetURL(B129)</f>
        <v>https://explore-education-statistics.service.gov.uk/find-statistics/participation-measures-in-higher-education</v>
      </c>
      <c r="D129" s="2" t="s">
        <v>905</v>
      </c>
      <c r="E129" s="1" t="s">
        <v>778</v>
      </c>
      <c r="F129" s="1" t="s">
        <v>778</v>
      </c>
      <c r="G129" s="1" t="s">
        <v>778</v>
      </c>
      <c r="H129" s="1" t="s">
        <v>778</v>
      </c>
      <c r="I129" s="1" t="s">
        <v>778</v>
      </c>
      <c r="RM129" s="1" t="s">
        <v>778</v>
      </c>
      <c r="RN129" s="1" t="s">
        <v>778</v>
      </c>
      <c r="RO129" s="1" t="s">
        <v>778</v>
      </c>
      <c r="RP129" s="1" t="s">
        <v>778</v>
      </c>
      <c r="RQ129" s="1" t="s">
        <v>778</v>
      </c>
      <c r="RR129" s="1" t="s">
        <v>778</v>
      </c>
    </row>
    <row r="130" spans="1:533" ht="159.5" hidden="1" x14ac:dyDescent="0.35">
      <c r="A130" s="1" t="s">
        <v>543</v>
      </c>
      <c r="B130" s="14" t="s">
        <v>87</v>
      </c>
      <c r="C130" s="1" t="str" cm="1">
        <f t="array" ref="C130">GetURL(B130)</f>
        <v>https://explore-education-statistics.service.gov.uk/find-statistics/participation-measures-in-higher-education</v>
      </c>
      <c r="D130" s="1" t="s">
        <v>906</v>
      </c>
      <c r="E130" s="1" t="s">
        <v>778</v>
      </c>
      <c r="F130" s="1" t="s">
        <v>778</v>
      </c>
      <c r="G130" s="1" t="s">
        <v>778</v>
      </c>
      <c r="H130" s="1" t="s">
        <v>778</v>
      </c>
      <c r="I130" s="1" t="s">
        <v>778</v>
      </c>
      <c r="RS130" s="1" t="s">
        <v>778</v>
      </c>
      <c r="RT130" s="1" t="s">
        <v>778</v>
      </c>
      <c r="RU130" s="1" t="s">
        <v>778</v>
      </c>
    </row>
    <row r="131" spans="1:533" ht="159.5" hidden="1" x14ac:dyDescent="0.35">
      <c r="A131" s="1" t="s">
        <v>543</v>
      </c>
      <c r="B131" s="14" t="s">
        <v>87</v>
      </c>
      <c r="C131" s="1" t="str" cm="1">
        <f t="array" ref="C131">GetURL(B131)</f>
        <v>https://explore-education-statistics.service.gov.uk/find-statistics/participation-measures-in-higher-education</v>
      </c>
      <c r="D131" s="1" t="s">
        <v>907</v>
      </c>
      <c r="E131" s="1" t="s">
        <v>778</v>
      </c>
      <c r="F131" s="1" t="s">
        <v>778</v>
      </c>
      <c r="G131" s="1" t="s">
        <v>778</v>
      </c>
      <c r="H131" s="1" t="s">
        <v>778</v>
      </c>
      <c r="I131" s="1" t="s">
        <v>778</v>
      </c>
      <c r="RT131" s="1" t="s">
        <v>778</v>
      </c>
      <c r="RU131" s="1" t="s">
        <v>778</v>
      </c>
      <c r="RV131" s="1" t="s">
        <v>778</v>
      </c>
      <c r="RW131" s="1" t="s">
        <v>778</v>
      </c>
    </row>
    <row r="132" spans="1:533" ht="159.5" hidden="1" x14ac:dyDescent="0.35">
      <c r="A132" s="1" t="s">
        <v>543</v>
      </c>
      <c r="B132" s="14" t="s">
        <v>87</v>
      </c>
      <c r="C132" s="1" t="str" cm="1">
        <f t="array" ref="C132">GetURL(B132)</f>
        <v>https://explore-education-statistics.service.gov.uk/find-statistics/participation-measures-in-higher-education</v>
      </c>
      <c r="D132" s="1" t="s">
        <v>908</v>
      </c>
      <c r="E132" s="1" t="s">
        <v>778</v>
      </c>
      <c r="F132" s="1" t="s">
        <v>778</v>
      </c>
      <c r="G132" s="1" t="s">
        <v>778</v>
      </c>
      <c r="H132" s="1" t="s">
        <v>778</v>
      </c>
      <c r="I132" s="1" t="s">
        <v>778</v>
      </c>
      <c r="AY132" s="1" t="s">
        <v>778</v>
      </c>
      <c r="RS132" s="1" t="s">
        <v>778</v>
      </c>
      <c r="RT132" s="1" t="s">
        <v>778</v>
      </c>
      <c r="RU132" s="1" t="s">
        <v>778</v>
      </c>
    </row>
    <row r="133" spans="1:533" ht="159.5" hidden="1" x14ac:dyDescent="0.35">
      <c r="A133" s="1" t="s">
        <v>543</v>
      </c>
      <c r="B133" s="14" t="s">
        <v>87</v>
      </c>
      <c r="C133" s="1" t="str" cm="1">
        <f t="array" ref="C133">GetURL(B133)</f>
        <v>https://explore-education-statistics.service.gov.uk/find-statistics/participation-measures-in-higher-education</v>
      </c>
      <c r="D133" s="1" t="s">
        <v>909</v>
      </c>
      <c r="E133" s="1" t="s">
        <v>778</v>
      </c>
      <c r="F133" s="1" t="s">
        <v>778</v>
      </c>
      <c r="G133" s="1" t="s">
        <v>778</v>
      </c>
      <c r="H133" s="1" t="s">
        <v>778</v>
      </c>
      <c r="I133" s="1" t="s">
        <v>778</v>
      </c>
      <c r="J133" s="1" t="s">
        <v>778</v>
      </c>
      <c r="K133" s="1" t="s">
        <v>778</v>
      </c>
      <c r="RS133" s="1" t="s">
        <v>778</v>
      </c>
      <c r="RT133" s="1" t="s">
        <v>778</v>
      </c>
      <c r="RU133" s="1" t="s">
        <v>778</v>
      </c>
    </row>
    <row r="134" spans="1:533" ht="159.5" hidden="1" x14ac:dyDescent="0.35">
      <c r="A134" s="1" t="s">
        <v>543</v>
      </c>
      <c r="B134" s="14" t="s">
        <v>87</v>
      </c>
      <c r="C134" s="1" t="str" cm="1">
        <f t="array" ref="C134">GetURL(B134)</f>
        <v>https://explore-education-statistics.service.gov.uk/find-statistics/participation-measures-in-higher-education</v>
      </c>
      <c r="D134" s="1" t="s">
        <v>910</v>
      </c>
      <c r="E134" s="1" t="s">
        <v>778</v>
      </c>
      <c r="F134" s="1" t="s">
        <v>778</v>
      </c>
      <c r="G134" s="1" t="s">
        <v>778</v>
      </c>
      <c r="H134" s="1" t="s">
        <v>778</v>
      </c>
      <c r="I134" s="1" t="s">
        <v>778</v>
      </c>
      <c r="AK134" s="1" t="s">
        <v>778</v>
      </c>
      <c r="RS134" s="1" t="s">
        <v>778</v>
      </c>
      <c r="RT134" s="1" t="s">
        <v>778</v>
      </c>
      <c r="RU134" s="1" t="s">
        <v>778</v>
      </c>
    </row>
    <row r="135" spans="1:533" ht="159.5" hidden="1" x14ac:dyDescent="0.35">
      <c r="A135" s="1" t="s">
        <v>543</v>
      </c>
      <c r="B135" s="14" t="s">
        <v>87</v>
      </c>
      <c r="C135" s="1" t="str" cm="1">
        <f t="array" ref="C135">GetURL(B135)</f>
        <v>https://explore-education-statistics.service.gov.uk/find-statistics/participation-measures-in-higher-education</v>
      </c>
      <c r="D135" s="1" t="s">
        <v>911</v>
      </c>
      <c r="E135" s="1" t="s">
        <v>778</v>
      </c>
      <c r="F135" s="1" t="s">
        <v>778</v>
      </c>
      <c r="G135" s="1" t="s">
        <v>778</v>
      </c>
      <c r="H135" s="1" t="s">
        <v>778</v>
      </c>
      <c r="I135" s="1" t="s">
        <v>778</v>
      </c>
      <c r="RS135" s="1" t="s">
        <v>778</v>
      </c>
      <c r="RT135" s="1" t="s">
        <v>778</v>
      </c>
      <c r="RU135" s="1" t="s">
        <v>778</v>
      </c>
      <c r="RX135" s="1" t="s">
        <v>778</v>
      </c>
    </row>
    <row r="136" spans="1:533" ht="159.5" hidden="1" x14ac:dyDescent="0.35">
      <c r="A136" s="1" t="s">
        <v>543</v>
      </c>
      <c r="B136" s="14" t="s">
        <v>87</v>
      </c>
      <c r="C136" s="1" t="str" cm="1">
        <f t="array" ref="C136">GetURL(B136)</f>
        <v>https://explore-education-statistics.service.gov.uk/find-statistics/participation-measures-in-higher-education</v>
      </c>
      <c r="D136" s="1" t="s">
        <v>912</v>
      </c>
      <c r="E136" s="1" t="s">
        <v>778</v>
      </c>
      <c r="F136" s="1" t="s">
        <v>778</v>
      </c>
      <c r="G136" s="1" t="s">
        <v>778</v>
      </c>
      <c r="H136" s="1" t="s">
        <v>778</v>
      </c>
      <c r="I136" s="1" t="s">
        <v>778</v>
      </c>
      <c r="RT136" s="1" t="s">
        <v>778</v>
      </c>
      <c r="RU136" s="1" t="s">
        <v>778</v>
      </c>
      <c r="RY136" s="1" t="s">
        <v>778</v>
      </c>
    </row>
    <row r="137" spans="1:533" ht="159.5" hidden="1" x14ac:dyDescent="0.35">
      <c r="A137" s="1" t="s">
        <v>543</v>
      </c>
      <c r="B137" s="14" t="s">
        <v>87</v>
      </c>
      <c r="C137" s="1" t="str" cm="1">
        <f t="array" ref="C137">GetURL(B137)</f>
        <v>https://explore-education-statistics.service.gov.uk/find-statistics/participation-measures-in-higher-education</v>
      </c>
      <c r="D137" s="1" t="s">
        <v>913</v>
      </c>
      <c r="E137" s="1" t="s">
        <v>778</v>
      </c>
      <c r="F137" s="1" t="s">
        <v>778</v>
      </c>
      <c r="G137" s="1" t="s">
        <v>778</v>
      </c>
      <c r="H137" s="1" t="s">
        <v>778</v>
      </c>
      <c r="I137" s="1" t="s">
        <v>778</v>
      </c>
      <c r="RZ137" s="1" t="s">
        <v>778</v>
      </c>
      <c r="SA137" s="1" t="s">
        <v>778</v>
      </c>
    </row>
    <row r="138" spans="1:533" ht="159.5" hidden="1" x14ac:dyDescent="0.35">
      <c r="A138" s="1" t="s">
        <v>543</v>
      </c>
      <c r="B138" s="14" t="s">
        <v>87</v>
      </c>
      <c r="C138" s="1" t="str" cm="1">
        <f t="array" ref="C138">GetURL(B138)</f>
        <v>https://explore-education-statistics.service.gov.uk/find-statistics/participation-measures-in-higher-education</v>
      </c>
      <c r="D138" s="6" t="s">
        <v>914</v>
      </c>
      <c r="E138" s="1" t="s">
        <v>778</v>
      </c>
      <c r="F138" s="1" t="s">
        <v>778</v>
      </c>
      <c r="G138" s="1" t="s">
        <v>778</v>
      </c>
      <c r="H138" s="1" t="s">
        <v>778</v>
      </c>
      <c r="I138" s="1" t="s">
        <v>778</v>
      </c>
      <c r="J138" s="1" t="s">
        <v>778</v>
      </c>
      <c r="K138" s="1" t="s">
        <v>778</v>
      </c>
      <c r="AY138" s="1" t="s">
        <v>778</v>
      </c>
      <c r="BX138" s="1" t="s">
        <v>778</v>
      </c>
      <c r="SB138" s="1" t="s">
        <v>778</v>
      </c>
      <c r="SC138" s="1" t="s">
        <v>778</v>
      </c>
      <c r="SD138" s="1" t="s">
        <v>778</v>
      </c>
      <c r="SE138" s="1" t="s">
        <v>778</v>
      </c>
      <c r="SF138" s="1" t="s">
        <v>778</v>
      </c>
      <c r="SG138" s="1" t="s">
        <v>778</v>
      </c>
      <c r="SH138" s="1" t="s">
        <v>778</v>
      </c>
      <c r="SI138" s="1" t="s">
        <v>778</v>
      </c>
      <c r="SJ138" s="1" t="s">
        <v>778</v>
      </c>
      <c r="SK138" s="1" t="s">
        <v>778</v>
      </c>
      <c r="SL138" s="1" t="s">
        <v>778</v>
      </c>
      <c r="SM138" s="1" t="s">
        <v>778</v>
      </c>
    </row>
    <row r="139" spans="1:533" ht="188.5" hidden="1" x14ac:dyDescent="0.35">
      <c r="A139" s="6" t="s">
        <v>543</v>
      </c>
      <c r="B139" s="14" t="s">
        <v>65</v>
      </c>
      <c r="C139" s="1" t="str" cm="1">
        <f t="array" ref="C139">GetURL(B139)</f>
        <v>https://explore-education-statistics.service.gov.uk/find-statistics/leo-graduate-and-postgraduate-outcomes/2019-20)</v>
      </c>
      <c r="D139" s="6" t="s">
        <v>915</v>
      </c>
      <c r="E139" s="1" t="s">
        <v>778</v>
      </c>
      <c r="F139" s="1" t="s">
        <v>778</v>
      </c>
      <c r="G139" s="1" t="s">
        <v>778</v>
      </c>
      <c r="H139" s="1" t="s">
        <v>778</v>
      </c>
      <c r="I139" s="1" t="s">
        <v>778</v>
      </c>
      <c r="AJ139" s="1" t="s">
        <v>778</v>
      </c>
      <c r="AY139" s="1" t="s">
        <v>778</v>
      </c>
      <c r="GR139" s="1" t="s">
        <v>778</v>
      </c>
      <c r="SB139" s="1" t="s">
        <v>778</v>
      </c>
      <c r="SH139" s="1" t="s">
        <v>778</v>
      </c>
      <c r="SI139" s="1" t="s">
        <v>778</v>
      </c>
      <c r="SJ139" s="1" t="s">
        <v>778</v>
      </c>
      <c r="SK139" s="1" t="s">
        <v>778</v>
      </c>
      <c r="SL139" s="1" t="s">
        <v>778</v>
      </c>
      <c r="SN139" s="1" t="s">
        <v>778</v>
      </c>
      <c r="SO139" s="1" t="s">
        <v>778</v>
      </c>
      <c r="SP139" s="1" t="s">
        <v>778</v>
      </c>
      <c r="SQ139" s="1" t="s">
        <v>778</v>
      </c>
      <c r="SR139" s="1" t="s">
        <v>778</v>
      </c>
      <c r="SS139" s="1" t="s">
        <v>778</v>
      </c>
      <c r="ST139" s="1" t="s">
        <v>778</v>
      </c>
      <c r="SU139" s="1" t="s">
        <v>778</v>
      </c>
      <c r="SV139" s="1" t="s">
        <v>778</v>
      </c>
      <c r="SW139" s="1" t="s">
        <v>778</v>
      </c>
      <c r="TA139" s="1" t="s">
        <v>778</v>
      </c>
      <c r="TB139" s="1" t="s">
        <v>778</v>
      </c>
    </row>
    <row r="140" spans="1:533" ht="138.5" hidden="1" x14ac:dyDescent="0.35">
      <c r="A140" s="6" t="s">
        <v>543</v>
      </c>
      <c r="B140" s="14" t="s">
        <v>65</v>
      </c>
      <c r="C140" s="1" cm="1">
        <f t="array" ref="C140">GetURL(B140)</f>
        <v>0</v>
      </c>
      <c r="D140" s="6" t="s">
        <v>916</v>
      </c>
      <c r="E140" s="1" t="s">
        <v>778</v>
      </c>
      <c r="F140" s="1" t="s">
        <v>778</v>
      </c>
      <c r="G140" s="1" t="s">
        <v>778</v>
      </c>
      <c r="H140" s="1" t="s">
        <v>778</v>
      </c>
      <c r="I140" s="1" t="s">
        <v>778</v>
      </c>
      <c r="AJ140" s="1" t="s">
        <v>778</v>
      </c>
      <c r="GR140" s="1" t="s">
        <v>778</v>
      </c>
      <c r="SB140" s="1" t="s">
        <v>778</v>
      </c>
      <c r="SH140" s="1" t="s">
        <v>778</v>
      </c>
      <c r="SI140" s="1" t="s">
        <v>778</v>
      </c>
      <c r="ST140" s="1" t="s">
        <v>778</v>
      </c>
      <c r="SU140" s="1" t="s">
        <v>778</v>
      </c>
      <c r="SV140" s="1" t="s">
        <v>778</v>
      </c>
      <c r="SW140" s="1" t="s">
        <v>778</v>
      </c>
      <c r="SX140" s="1" t="s">
        <v>778</v>
      </c>
      <c r="SY140" s="1" t="s">
        <v>778</v>
      </c>
      <c r="SZ140" s="1" t="s">
        <v>778</v>
      </c>
      <c r="TB140" s="1" t="s">
        <v>778</v>
      </c>
    </row>
    <row r="141" spans="1:533" ht="145" hidden="1" x14ac:dyDescent="0.35">
      <c r="A141" s="6" t="s">
        <v>543</v>
      </c>
      <c r="B141" s="14" t="s">
        <v>65</v>
      </c>
      <c r="C141" s="1" cm="1">
        <f t="array" ref="C141">GetURL(B141)</f>
        <v>0</v>
      </c>
      <c r="D141" s="1" t="s">
        <v>917</v>
      </c>
      <c r="E141" s="1" t="s">
        <v>778</v>
      </c>
      <c r="F141" s="1" t="s">
        <v>778</v>
      </c>
      <c r="G141" s="1" t="s">
        <v>778</v>
      </c>
      <c r="H141" s="1" t="s">
        <v>778</v>
      </c>
      <c r="I141" s="1" t="s">
        <v>778</v>
      </c>
      <c r="J141" s="1" t="s">
        <v>778</v>
      </c>
      <c r="K141" s="1" t="s">
        <v>778</v>
      </c>
      <c r="U141" s="1" t="s">
        <v>778</v>
      </c>
      <c r="V141" s="1" t="s">
        <v>778</v>
      </c>
      <c r="AJ141" s="1" t="s">
        <v>778</v>
      </c>
      <c r="AX141" s="1" t="s">
        <v>778</v>
      </c>
      <c r="AY141" s="1" t="s">
        <v>778</v>
      </c>
      <c r="BJ141" s="1" t="s">
        <v>778</v>
      </c>
      <c r="BQ141" s="1" t="s">
        <v>778</v>
      </c>
      <c r="BR141" s="1" t="s">
        <v>778</v>
      </c>
      <c r="BV141" s="1" t="s">
        <v>778</v>
      </c>
      <c r="BX141" s="1" t="s">
        <v>778</v>
      </c>
      <c r="GR141" s="1" t="s">
        <v>778</v>
      </c>
      <c r="IL141" s="1" t="s">
        <v>778</v>
      </c>
      <c r="JK141" s="1" t="s">
        <v>778</v>
      </c>
      <c r="JQ141" s="1" t="s">
        <v>778</v>
      </c>
      <c r="SB141" s="1" t="s">
        <v>778</v>
      </c>
      <c r="SE141" s="1" t="s">
        <v>778</v>
      </c>
      <c r="SH141" s="1" t="s">
        <v>778</v>
      </c>
      <c r="SI141" s="1" t="s">
        <v>778</v>
      </c>
      <c r="SJ141" s="1" t="s">
        <v>778</v>
      </c>
      <c r="SK141" s="1" t="s">
        <v>778</v>
      </c>
      <c r="SL141" s="1" t="s">
        <v>778</v>
      </c>
      <c r="SN141" s="1" t="s">
        <v>778</v>
      </c>
      <c r="SO141" s="1" t="s">
        <v>778</v>
      </c>
      <c r="SP141" s="1" t="s">
        <v>778</v>
      </c>
      <c r="SQ141" s="1" t="s">
        <v>778</v>
      </c>
      <c r="SR141" s="1" t="s">
        <v>778</v>
      </c>
      <c r="SS141" s="1" t="s">
        <v>778</v>
      </c>
      <c r="ST141" s="1" t="s">
        <v>778</v>
      </c>
      <c r="SU141" s="1" t="s">
        <v>778</v>
      </c>
      <c r="SV141" s="1" t="s">
        <v>778</v>
      </c>
      <c r="SW141" s="1" t="s">
        <v>778</v>
      </c>
      <c r="TB141" s="1" t="s">
        <v>778</v>
      </c>
    </row>
    <row r="142" spans="1:533" ht="116" hidden="1" x14ac:dyDescent="0.35">
      <c r="A142" s="6" t="s">
        <v>543</v>
      </c>
      <c r="B142" s="14" t="s">
        <v>65</v>
      </c>
      <c r="C142" s="1" cm="1">
        <f t="array" ref="C142">GetURL(B142)</f>
        <v>0</v>
      </c>
      <c r="D142" s="1" t="s">
        <v>918</v>
      </c>
      <c r="E142" s="1" t="s">
        <v>778</v>
      </c>
      <c r="F142" s="1" t="s">
        <v>778</v>
      </c>
      <c r="G142" s="1" t="s">
        <v>778</v>
      </c>
      <c r="H142" s="1" t="s">
        <v>778</v>
      </c>
      <c r="I142" s="1" t="s">
        <v>778</v>
      </c>
      <c r="TC142" s="1" t="s">
        <v>778</v>
      </c>
      <c r="TD142" s="1" t="s">
        <v>778</v>
      </c>
      <c r="TE142" s="1" t="s">
        <v>778</v>
      </c>
      <c r="TF142" s="1" t="s">
        <v>778</v>
      </c>
      <c r="TG142" s="1" t="s">
        <v>778</v>
      </c>
      <c r="TH142" s="1" t="s">
        <v>778</v>
      </c>
    </row>
    <row r="143" spans="1:533" ht="88.5" hidden="1" x14ac:dyDescent="0.35">
      <c r="A143" s="6" t="s">
        <v>543</v>
      </c>
      <c r="B143" s="14" t="s">
        <v>65</v>
      </c>
      <c r="C143" s="1" cm="1">
        <f t="array" ref="C143">GetURL(B143)</f>
        <v>0</v>
      </c>
      <c r="D143" s="6" t="s">
        <v>919</v>
      </c>
      <c r="E143" s="1" t="s">
        <v>778</v>
      </c>
      <c r="F143" s="1" t="s">
        <v>778</v>
      </c>
      <c r="G143" s="1" t="s">
        <v>778</v>
      </c>
      <c r="H143" s="1" t="s">
        <v>778</v>
      </c>
      <c r="I143" s="1" t="s">
        <v>778</v>
      </c>
      <c r="AY143" s="1" t="s">
        <v>778</v>
      </c>
      <c r="BJ143" s="1" t="s">
        <v>778</v>
      </c>
      <c r="TI143" s="1" t="s">
        <v>778</v>
      </c>
      <c r="TJ143" s="1" t="s">
        <v>778</v>
      </c>
      <c r="TL143" s="1" t="s">
        <v>778</v>
      </c>
      <c r="TM143" s="1" t="s">
        <v>778</v>
      </c>
    </row>
    <row r="144" spans="1:533" ht="88.5" hidden="1" x14ac:dyDescent="0.35">
      <c r="A144" s="6" t="s">
        <v>543</v>
      </c>
      <c r="B144" s="14" t="s">
        <v>65</v>
      </c>
      <c r="C144" s="1" cm="1">
        <f t="array" ref="C144">GetURL(B144)</f>
        <v>0</v>
      </c>
      <c r="D144" s="6" t="s">
        <v>920</v>
      </c>
      <c r="E144" s="1" t="s">
        <v>778</v>
      </c>
      <c r="F144" s="1" t="s">
        <v>778</v>
      </c>
      <c r="G144" s="1" t="s">
        <v>778</v>
      </c>
      <c r="H144" s="1" t="s">
        <v>778</v>
      </c>
      <c r="I144" s="1" t="s">
        <v>778</v>
      </c>
      <c r="AY144" s="1" t="s">
        <v>778</v>
      </c>
      <c r="BJ144" s="1" t="s">
        <v>778</v>
      </c>
      <c r="TJ144" s="1" t="s">
        <v>778</v>
      </c>
      <c r="TK144" s="1" t="s">
        <v>778</v>
      </c>
      <c r="TL144" s="1" t="s">
        <v>778</v>
      </c>
      <c r="TM144" s="1" t="s">
        <v>778</v>
      </c>
    </row>
    <row r="145" spans="1:587" ht="144.65" hidden="1" customHeight="1" x14ac:dyDescent="0.35">
      <c r="A145" s="6" t="s">
        <v>543</v>
      </c>
      <c r="B145" s="14" t="s">
        <v>65</v>
      </c>
      <c r="C145" s="1" cm="1">
        <f t="array" ref="C145">GetURL(B145)</f>
        <v>0</v>
      </c>
      <c r="D145" s="6" t="s">
        <v>921</v>
      </c>
      <c r="E145" s="1" t="s">
        <v>778</v>
      </c>
      <c r="F145" s="1" t="s">
        <v>778</v>
      </c>
      <c r="G145" s="1" t="s">
        <v>778</v>
      </c>
      <c r="H145" s="1" t="s">
        <v>778</v>
      </c>
      <c r="I145" s="1" t="s">
        <v>778</v>
      </c>
      <c r="J145" s="1" t="s">
        <v>778</v>
      </c>
      <c r="K145" s="1" t="s">
        <v>778</v>
      </c>
      <c r="BJ145" s="1" t="s">
        <v>778</v>
      </c>
      <c r="SB145" s="1" t="s">
        <v>778</v>
      </c>
      <c r="SV145" s="1" t="s">
        <v>778</v>
      </c>
      <c r="TL145" s="1" t="s">
        <v>778</v>
      </c>
      <c r="TN145" s="1" t="s">
        <v>778</v>
      </c>
      <c r="TO145" s="1" t="s">
        <v>778</v>
      </c>
      <c r="TP145" s="1" t="s">
        <v>778</v>
      </c>
      <c r="TQ145" s="1" t="s">
        <v>778</v>
      </c>
      <c r="TR145" s="1" t="s">
        <v>778</v>
      </c>
      <c r="TS145" s="1" t="s">
        <v>778</v>
      </c>
    </row>
    <row r="146" spans="1:587" ht="113.5" hidden="1" x14ac:dyDescent="0.35">
      <c r="A146" s="6" t="s">
        <v>543</v>
      </c>
      <c r="B146" s="14" t="s">
        <v>65</v>
      </c>
      <c r="C146" s="1" cm="1">
        <f t="array" ref="C146">GetURL(B146)</f>
        <v>0</v>
      </c>
      <c r="D146" s="6" t="s">
        <v>922</v>
      </c>
      <c r="E146" s="1" t="s">
        <v>778</v>
      </c>
      <c r="F146" s="1" t="s">
        <v>778</v>
      </c>
      <c r="G146" s="1" t="s">
        <v>778</v>
      </c>
      <c r="H146" s="1" t="s">
        <v>778</v>
      </c>
      <c r="I146" s="1" t="s">
        <v>778</v>
      </c>
      <c r="S146" s="1" t="s">
        <v>778</v>
      </c>
      <c r="T146" s="1" t="s">
        <v>778</v>
      </c>
      <c r="BJ146" s="1" t="s">
        <v>778</v>
      </c>
      <c r="SB146" s="1" t="s">
        <v>778</v>
      </c>
      <c r="TL146" s="1" t="s">
        <v>778</v>
      </c>
      <c r="TM146" s="1" t="s">
        <v>778</v>
      </c>
      <c r="TN146" s="1" t="s">
        <v>778</v>
      </c>
    </row>
    <row r="147" spans="1:587" ht="131.5" hidden="1" customHeight="1" x14ac:dyDescent="0.35">
      <c r="A147" s="6" t="s">
        <v>543</v>
      </c>
      <c r="B147" s="14" t="s">
        <v>65</v>
      </c>
      <c r="C147" s="1" cm="1">
        <f t="array" ref="C147">GetURL(B147)</f>
        <v>0</v>
      </c>
      <c r="D147" s="6" t="s">
        <v>923</v>
      </c>
      <c r="E147" s="1" t="s">
        <v>778</v>
      </c>
      <c r="F147" s="1" t="s">
        <v>778</v>
      </c>
      <c r="G147" s="1" t="s">
        <v>778</v>
      </c>
      <c r="H147" s="1" t="s">
        <v>778</v>
      </c>
      <c r="I147" s="1" t="s">
        <v>778</v>
      </c>
      <c r="T147" s="1" t="s">
        <v>778</v>
      </c>
      <c r="AY147" s="1" t="s">
        <v>778</v>
      </c>
      <c r="BJ147" s="1" t="s">
        <v>778</v>
      </c>
      <c r="BQ147" s="1" t="s">
        <v>778</v>
      </c>
      <c r="BX147" s="1" t="s">
        <v>778</v>
      </c>
      <c r="IL147" s="1" t="s">
        <v>778</v>
      </c>
      <c r="SB147" s="1" t="s">
        <v>778</v>
      </c>
      <c r="SV147" s="1" t="s">
        <v>778</v>
      </c>
      <c r="TL147" s="1" t="s">
        <v>778</v>
      </c>
      <c r="TM147" s="1" t="s">
        <v>778</v>
      </c>
      <c r="TN147" s="1" t="s">
        <v>778</v>
      </c>
      <c r="TT147" s="1" t="s">
        <v>778</v>
      </c>
    </row>
    <row r="148" spans="1:587" ht="113.5" hidden="1" x14ac:dyDescent="0.35">
      <c r="A148" s="6" t="s">
        <v>543</v>
      </c>
      <c r="B148" s="6" t="s">
        <v>68</v>
      </c>
      <c r="C148" s="1" cm="1">
        <f t="array" ref="C148">GetURL(B148)</f>
        <v>0</v>
      </c>
      <c r="D148" s="6" t="s">
        <v>924</v>
      </c>
      <c r="E148" s="1" t="s">
        <v>778</v>
      </c>
      <c r="F148" s="1" t="s">
        <v>778</v>
      </c>
      <c r="G148" s="1" t="s">
        <v>778</v>
      </c>
      <c r="H148" s="1" t="s">
        <v>778</v>
      </c>
      <c r="I148" s="1" t="s">
        <v>778</v>
      </c>
      <c r="J148" s="1" t="s">
        <v>778</v>
      </c>
      <c r="K148" s="1" t="s">
        <v>778</v>
      </c>
      <c r="S148" s="1" t="s">
        <v>778</v>
      </c>
      <c r="TU148" s="1" t="s">
        <v>778</v>
      </c>
      <c r="TV148" s="1" t="s">
        <v>778</v>
      </c>
    </row>
    <row r="149" spans="1:587" ht="113.5" hidden="1" x14ac:dyDescent="0.35">
      <c r="A149" s="6" t="s">
        <v>543</v>
      </c>
      <c r="B149" s="6" t="s">
        <v>68</v>
      </c>
      <c r="C149" s="1" cm="1">
        <f t="array" ref="C149">GetURL(B149)</f>
        <v>0</v>
      </c>
      <c r="D149" s="6" t="s">
        <v>925</v>
      </c>
      <c r="E149" s="1" t="s">
        <v>778</v>
      </c>
      <c r="F149" s="1" t="s">
        <v>778</v>
      </c>
      <c r="G149" s="1" t="s">
        <v>778</v>
      </c>
      <c r="H149" s="1" t="s">
        <v>778</v>
      </c>
      <c r="I149" s="1" t="s">
        <v>778</v>
      </c>
      <c r="BJ149" s="1" t="s">
        <v>778</v>
      </c>
      <c r="TU149" s="1" t="s">
        <v>778</v>
      </c>
      <c r="TW149" s="1" t="s">
        <v>778</v>
      </c>
      <c r="TX149" s="1" t="s">
        <v>778</v>
      </c>
      <c r="TY149" s="1" t="s">
        <v>778</v>
      </c>
      <c r="TZ149" s="1" t="s">
        <v>778</v>
      </c>
      <c r="UA149" s="1" t="s">
        <v>778</v>
      </c>
      <c r="UB149" s="1" t="s">
        <v>778</v>
      </c>
      <c r="UC149" s="1" t="s">
        <v>778</v>
      </c>
      <c r="UD149" s="1" t="s">
        <v>778</v>
      </c>
      <c r="UE149" s="1" t="s">
        <v>778</v>
      </c>
      <c r="UF149" s="1" t="s">
        <v>778</v>
      </c>
      <c r="UG149" s="1" t="s">
        <v>778</v>
      </c>
    </row>
    <row r="150" spans="1:587" ht="116" hidden="1" x14ac:dyDescent="0.35">
      <c r="A150" s="6" t="s">
        <v>543</v>
      </c>
      <c r="B150" s="6" t="s">
        <v>68</v>
      </c>
      <c r="C150" s="1" cm="1">
        <f t="array" ref="C150">GetURL(B150)</f>
        <v>0</v>
      </c>
      <c r="D150" s="1" t="s">
        <v>926</v>
      </c>
      <c r="E150" s="1" t="s">
        <v>778</v>
      </c>
      <c r="F150" s="1" t="s">
        <v>778</v>
      </c>
      <c r="G150" s="1" t="s">
        <v>778</v>
      </c>
      <c r="H150" s="1" t="s">
        <v>778</v>
      </c>
      <c r="I150" s="1" t="s">
        <v>778</v>
      </c>
      <c r="BJ150" s="1" t="s">
        <v>778</v>
      </c>
      <c r="SU150" s="1" t="s">
        <v>778</v>
      </c>
      <c r="SV150" s="1" t="s">
        <v>778</v>
      </c>
      <c r="SW150" s="1" t="s">
        <v>778</v>
      </c>
      <c r="UH150" s="1" t="s">
        <v>778</v>
      </c>
      <c r="UI150" s="1" t="s">
        <v>778</v>
      </c>
      <c r="UJ150" s="1" t="s">
        <v>778</v>
      </c>
      <c r="UK150" s="1" t="s">
        <v>778</v>
      </c>
      <c r="UL150" s="1" t="s">
        <v>778</v>
      </c>
    </row>
    <row r="151" spans="1:587" ht="113.5" hidden="1" x14ac:dyDescent="0.35">
      <c r="A151" s="6" t="s">
        <v>543</v>
      </c>
      <c r="B151" s="6" t="s">
        <v>68</v>
      </c>
      <c r="C151" s="1" cm="1">
        <f t="array" ref="C151">GetURL(B151)</f>
        <v>0</v>
      </c>
      <c r="D151" s="6" t="s">
        <v>927</v>
      </c>
      <c r="E151" s="1" t="s">
        <v>778</v>
      </c>
      <c r="F151" s="1" t="s">
        <v>778</v>
      </c>
      <c r="G151" s="1" t="s">
        <v>778</v>
      </c>
      <c r="H151" s="1" t="s">
        <v>778</v>
      </c>
      <c r="I151" s="1" t="s">
        <v>778</v>
      </c>
      <c r="T151" s="1" t="s">
        <v>778</v>
      </c>
      <c r="SU151" s="1" t="s">
        <v>778</v>
      </c>
      <c r="SV151" s="1" t="s">
        <v>778</v>
      </c>
      <c r="SW151" s="1" t="s">
        <v>778</v>
      </c>
      <c r="UI151" s="1" t="s">
        <v>778</v>
      </c>
      <c r="UL151" s="1" t="s">
        <v>778</v>
      </c>
      <c r="UM151" s="1" t="s">
        <v>778</v>
      </c>
      <c r="UN151" s="1" t="s">
        <v>778</v>
      </c>
    </row>
    <row r="152" spans="1:587" ht="126" hidden="1" x14ac:dyDescent="0.35">
      <c r="A152" s="6" t="s">
        <v>543</v>
      </c>
      <c r="B152" s="6" t="s">
        <v>68</v>
      </c>
      <c r="C152" s="1" cm="1">
        <f t="array" ref="C152">GetURL(B152)</f>
        <v>0</v>
      </c>
      <c r="D152" s="6" t="s">
        <v>928</v>
      </c>
      <c r="E152" s="1" t="s">
        <v>778</v>
      </c>
      <c r="F152" s="1" t="s">
        <v>778</v>
      </c>
      <c r="G152" s="1" t="s">
        <v>778</v>
      </c>
      <c r="H152" s="1" t="s">
        <v>778</v>
      </c>
      <c r="I152" s="1" t="s">
        <v>778</v>
      </c>
      <c r="S152" s="1" t="s">
        <v>778</v>
      </c>
      <c r="TU152" s="1" t="s">
        <v>778</v>
      </c>
      <c r="UO152" s="1" t="s">
        <v>778</v>
      </c>
      <c r="UP152" s="1" t="s">
        <v>778</v>
      </c>
      <c r="UQ152" s="1" t="s">
        <v>778</v>
      </c>
      <c r="UR152" s="1" t="s">
        <v>778</v>
      </c>
      <c r="US152" s="1" t="s">
        <v>778</v>
      </c>
    </row>
    <row r="153" spans="1:587" ht="101" hidden="1" x14ac:dyDescent="0.35">
      <c r="A153" s="6" t="s">
        <v>543</v>
      </c>
      <c r="B153" s="6" t="s">
        <v>68</v>
      </c>
      <c r="C153" s="1" cm="1">
        <f t="array" ref="C153">GetURL(B153)</f>
        <v>0</v>
      </c>
      <c r="D153" s="6" t="s">
        <v>929</v>
      </c>
      <c r="E153" s="1" t="s">
        <v>778</v>
      </c>
      <c r="F153" s="1" t="s">
        <v>778</v>
      </c>
      <c r="G153" s="1" t="s">
        <v>778</v>
      </c>
      <c r="H153" s="1" t="s">
        <v>778</v>
      </c>
      <c r="I153" s="1" t="s">
        <v>778</v>
      </c>
      <c r="BJ153" s="1" t="s">
        <v>778</v>
      </c>
      <c r="SU153" s="1" t="s">
        <v>778</v>
      </c>
      <c r="SV153" s="1" t="s">
        <v>778</v>
      </c>
      <c r="SW153" s="1" t="s">
        <v>778</v>
      </c>
      <c r="UI153" s="1" t="s">
        <v>778</v>
      </c>
      <c r="UL153" s="1" t="s">
        <v>778</v>
      </c>
      <c r="UM153" s="1" t="s">
        <v>778</v>
      </c>
      <c r="UN153" s="1" t="s">
        <v>778</v>
      </c>
      <c r="UT153" s="1" t="s">
        <v>778</v>
      </c>
      <c r="UU153" s="1" t="s">
        <v>778</v>
      </c>
      <c r="UV153" s="1" t="s">
        <v>778</v>
      </c>
      <c r="UW153" s="1" t="s">
        <v>778</v>
      </c>
      <c r="UX153" s="1" t="s">
        <v>778</v>
      </c>
      <c r="UY153" s="1" t="s">
        <v>778</v>
      </c>
      <c r="UZ153" s="1" t="s">
        <v>778</v>
      </c>
    </row>
    <row r="154" spans="1:587" ht="126" hidden="1" x14ac:dyDescent="0.35">
      <c r="A154" s="6" t="s">
        <v>543</v>
      </c>
      <c r="B154" s="6" t="s">
        <v>68</v>
      </c>
      <c r="C154" s="1" cm="1">
        <f t="array" ref="C154">GetURL(B154)</f>
        <v>0</v>
      </c>
      <c r="D154" s="2" t="s">
        <v>930</v>
      </c>
      <c r="E154" s="1" t="s">
        <v>778</v>
      </c>
      <c r="F154" s="1" t="s">
        <v>778</v>
      </c>
      <c r="G154" s="1" t="s">
        <v>778</v>
      </c>
      <c r="H154" s="1" t="s">
        <v>778</v>
      </c>
      <c r="I154" s="1" t="s">
        <v>778</v>
      </c>
      <c r="BJ154" s="1" t="s">
        <v>778</v>
      </c>
      <c r="VA154" s="1" t="s">
        <v>778</v>
      </c>
      <c r="VB154" s="1" t="s">
        <v>778</v>
      </c>
      <c r="VC154" s="1" t="s">
        <v>778</v>
      </c>
      <c r="VD154" s="1" t="s">
        <v>778</v>
      </c>
      <c r="VE154" s="1" t="s">
        <v>778</v>
      </c>
      <c r="VF154" s="1" t="s">
        <v>778</v>
      </c>
    </row>
    <row r="155" spans="1:587" ht="159.5" hidden="1" x14ac:dyDescent="0.35">
      <c r="A155" s="6" t="s">
        <v>543</v>
      </c>
      <c r="B155" s="14" t="s">
        <v>99</v>
      </c>
      <c r="C155" s="1" t="str" cm="1">
        <f t="array" ref="C155">GetURL(B155)</f>
        <v>https://explore-education-statistics.service.gov.uk/find-statistics/widening-participation-in-higher-education</v>
      </c>
      <c r="D155" s="6" t="s">
        <v>931</v>
      </c>
      <c r="E155" s="1" t="s">
        <v>778</v>
      </c>
      <c r="F155" s="1" t="s">
        <v>778</v>
      </c>
      <c r="G155" s="1" t="s">
        <v>778</v>
      </c>
      <c r="H155" s="1" t="s">
        <v>778</v>
      </c>
      <c r="I155" s="1" t="s">
        <v>778</v>
      </c>
      <c r="AE155" s="1" t="s">
        <v>778</v>
      </c>
      <c r="AH155" s="1" t="s">
        <v>778</v>
      </c>
      <c r="VG155" s="1" t="s">
        <v>778</v>
      </c>
      <c r="VJ155" s="1" t="s">
        <v>778</v>
      </c>
      <c r="VM155" s="1" t="s">
        <v>778</v>
      </c>
      <c r="VN155" s="1" t="s">
        <v>778</v>
      </c>
      <c r="VO155" s="1" t="s">
        <v>778</v>
      </c>
    </row>
    <row r="156" spans="1:587" ht="159.5" hidden="1" x14ac:dyDescent="0.35">
      <c r="A156" s="6" t="s">
        <v>543</v>
      </c>
      <c r="B156" s="14" t="s">
        <v>99</v>
      </c>
      <c r="C156" s="1" t="str" cm="1">
        <f t="array" ref="C156">GetURL(B156)</f>
        <v>https://explore-education-statistics.service.gov.uk/find-statistics/widening-participation-in-higher-education</v>
      </c>
      <c r="D156" s="6" t="s">
        <v>932</v>
      </c>
      <c r="E156" s="1" t="s">
        <v>778</v>
      </c>
      <c r="F156" s="1" t="s">
        <v>778</v>
      </c>
      <c r="G156" s="1" t="s">
        <v>778</v>
      </c>
      <c r="H156" s="1" t="s">
        <v>778</v>
      </c>
      <c r="I156" s="1" t="s">
        <v>778</v>
      </c>
      <c r="J156" s="1" t="s">
        <v>778</v>
      </c>
      <c r="K156" s="1" t="s">
        <v>778</v>
      </c>
      <c r="L156" s="1" t="s">
        <v>778</v>
      </c>
      <c r="M156" s="1" t="s">
        <v>778</v>
      </c>
      <c r="N156" s="1" t="s">
        <v>778</v>
      </c>
      <c r="BT156" s="1" t="s">
        <v>778</v>
      </c>
      <c r="BU156" s="1" t="s">
        <v>778</v>
      </c>
      <c r="VG156" s="1" t="s">
        <v>778</v>
      </c>
      <c r="VJ156" s="1" t="s">
        <v>778</v>
      </c>
      <c r="VM156" s="1" t="s">
        <v>778</v>
      </c>
      <c r="VN156" s="1" t="s">
        <v>778</v>
      </c>
      <c r="VO156" s="1" t="s">
        <v>778</v>
      </c>
    </row>
    <row r="157" spans="1:587" ht="159.5" hidden="1" x14ac:dyDescent="0.35">
      <c r="A157" s="6" t="s">
        <v>543</v>
      </c>
      <c r="B157" s="14" t="s">
        <v>99</v>
      </c>
      <c r="C157" s="1" t="str" cm="1">
        <f t="array" ref="C157">GetURL(B157)</f>
        <v>https://explore-education-statistics.service.gov.uk/find-statistics/widening-participation-in-higher-education</v>
      </c>
      <c r="D157" s="6" t="s">
        <v>933</v>
      </c>
      <c r="E157" s="1" t="s">
        <v>778</v>
      </c>
      <c r="F157" s="1" t="s">
        <v>778</v>
      </c>
      <c r="G157" s="1" t="s">
        <v>778</v>
      </c>
      <c r="H157" s="1" t="s">
        <v>778</v>
      </c>
      <c r="I157" s="1" t="s">
        <v>778</v>
      </c>
      <c r="J157" s="1" t="s">
        <v>778</v>
      </c>
      <c r="K157" s="1" t="s">
        <v>778</v>
      </c>
      <c r="L157" s="1" t="s">
        <v>778</v>
      </c>
      <c r="M157" s="1" t="s">
        <v>778</v>
      </c>
      <c r="N157" s="1" t="s">
        <v>778</v>
      </c>
      <c r="BX157" s="1" t="s">
        <v>778</v>
      </c>
      <c r="VG157" s="1" t="s">
        <v>778</v>
      </c>
      <c r="VJ157" s="1" t="s">
        <v>778</v>
      </c>
      <c r="VM157" s="1" t="s">
        <v>778</v>
      </c>
      <c r="VN157" s="1" t="s">
        <v>778</v>
      </c>
      <c r="VO157" s="1" t="s">
        <v>778</v>
      </c>
    </row>
    <row r="158" spans="1:587" ht="159.5" hidden="1" x14ac:dyDescent="0.35">
      <c r="A158" s="6" t="s">
        <v>543</v>
      </c>
      <c r="B158" s="14" t="s">
        <v>99</v>
      </c>
      <c r="C158" s="1" t="str" cm="1">
        <f t="array" ref="C158">GetURL(B158)</f>
        <v>https://explore-education-statistics.service.gov.uk/find-statistics/widening-participation-in-higher-education</v>
      </c>
      <c r="D158" s="1" t="s">
        <v>934</v>
      </c>
      <c r="E158" s="1" t="s">
        <v>778</v>
      </c>
      <c r="F158" s="1" t="s">
        <v>778</v>
      </c>
      <c r="G158" s="1" t="s">
        <v>778</v>
      </c>
      <c r="H158" s="1" t="s">
        <v>778</v>
      </c>
      <c r="I158" s="1" t="s">
        <v>778</v>
      </c>
      <c r="J158" s="1" t="s">
        <v>778</v>
      </c>
      <c r="K158" s="1" t="s">
        <v>778</v>
      </c>
      <c r="L158" s="1" t="s">
        <v>778</v>
      </c>
      <c r="M158" s="1" t="s">
        <v>778</v>
      </c>
      <c r="N158" s="1" t="s">
        <v>778</v>
      </c>
      <c r="BY158" s="1" t="s">
        <v>778</v>
      </c>
      <c r="BZ158" s="1" t="s">
        <v>778</v>
      </c>
      <c r="VG158" s="1" t="s">
        <v>778</v>
      </c>
      <c r="VH158" s="1" t="s">
        <v>778</v>
      </c>
      <c r="VI158" s="1" t="s">
        <v>778</v>
      </c>
      <c r="VJ158" s="1" t="s">
        <v>778</v>
      </c>
      <c r="VK158" s="1" t="s">
        <v>778</v>
      </c>
      <c r="VL158" s="1" t="s">
        <v>778</v>
      </c>
    </row>
    <row r="159" spans="1:587" ht="159.5" hidden="1" x14ac:dyDescent="0.35">
      <c r="A159" s="6" t="s">
        <v>543</v>
      </c>
      <c r="B159" s="14" t="s">
        <v>99</v>
      </c>
      <c r="C159" s="1" t="str" cm="1">
        <f t="array" ref="C159">GetURL(B159)</f>
        <v>https://explore-education-statistics.service.gov.uk/find-statistics/widening-participation-in-higher-education</v>
      </c>
      <c r="D159" s="6" t="s">
        <v>935</v>
      </c>
      <c r="E159" s="1" t="s">
        <v>778</v>
      </c>
      <c r="F159" s="1" t="s">
        <v>778</v>
      </c>
      <c r="G159" s="1" t="s">
        <v>778</v>
      </c>
      <c r="H159" s="1" t="s">
        <v>778</v>
      </c>
      <c r="I159" s="1" t="s">
        <v>778</v>
      </c>
      <c r="AY159" s="1" t="s">
        <v>778</v>
      </c>
      <c r="BT159" s="1" t="s">
        <v>778</v>
      </c>
      <c r="BU159" s="1" t="s">
        <v>778</v>
      </c>
      <c r="BX159" s="1" t="s">
        <v>778</v>
      </c>
      <c r="VG159" s="1" t="s">
        <v>778</v>
      </c>
      <c r="VJ159" s="1" t="s">
        <v>778</v>
      </c>
      <c r="VM159" s="1" t="s">
        <v>778</v>
      </c>
      <c r="VN159" s="1" t="s">
        <v>778</v>
      </c>
      <c r="VO159" s="1" t="s">
        <v>778</v>
      </c>
    </row>
    <row r="160" spans="1:587" ht="159.5" hidden="1" x14ac:dyDescent="0.35">
      <c r="A160" s="6" t="s">
        <v>543</v>
      </c>
      <c r="B160" s="14" t="s">
        <v>99</v>
      </c>
      <c r="C160" s="1" t="str" cm="1">
        <f t="array" ref="C160">GetURL(B160)</f>
        <v>https://explore-education-statistics.service.gov.uk/find-statistics/widening-participation-in-higher-education</v>
      </c>
      <c r="D160" s="6" t="s">
        <v>936</v>
      </c>
      <c r="E160" s="1" t="s">
        <v>778</v>
      </c>
      <c r="F160" s="1" t="s">
        <v>778</v>
      </c>
      <c r="G160" s="1" t="s">
        <v>778</v>
      </c>
      <c r="H160" s="1" t="s">
        <v>778</v>
      </c>
      <c r="I160" s="1" t="s">
        <v>778</v>
      </c>
      <c r="J160" s="1" t="s">
        <v>778</v>
      </c>
      <c r="K160" s="1" t="s">
        <v>778</v>
      </c>
      <c r="AY160" s="1" t="s">
        <v>778</v>
      </c>
      <c r="BT160" s="1" t="s">
        <v>778</v>
      </c>
      <c r="BX160" s="1" t="s">
        <v>778</v>
      </c>
      <c r="VG160" s="1" t="s">
        <v>778</v>
      </c>
      <c r="VJ160" s="1" t="s">
        <v>778</v>
      </c>
      <c r="VM160" s="1" t="s">
        <v>778</v>
      </c>
      <c r="VN160" s="1" t="s">
        <v>778</v>
      </c>
      <c r="VO160" s="1" t="s">
        <v>778</v>
      </c>
    </row>
    <row r="161" spans="1:615" ht="159.5" hidden="1" x14ac:dyDescent="0.35">
      <c r="A161" s="6" t="s">
        <v>543</v>
      </c>
      <c r="B161" s="14" t="s">
        <v>99</v>
      </c>
      <c r="C161" s="1" t="str" cm="1">
        <f t="array" ref="C161">GetURL(B161)</f>
        <v>https://explore-education-statistics.service.gov.uk/find-statistics/widening-participation-in-higher-education</v>
      </c>
      <c r="D161" s="6" t="s">
        <v>937</v>
      </c>
      <c r="E161" s="1" t="s">
        <v>778</v>
      </c>
      <c r="F161" s="1" t="s">
        <v>778</v>
      </c>
      <c r="G161" s="1" t="s">
        <v>778</v>
      </c>
      <c r="H161" s="1" t="s">
        <v>778</v>
      </c>
      <c r="I161" s="1" t="s">
        <v>778</v>
      </c>
      <c r="J161" s="1" t="s">
        <v>778</v>
      </c>
      <c r="K161" s="1" t="s">
        <v>778</v>
      </c>
      <c r="L161" s="1" t="s">
        <v>778</v>
      </c>
      <c r="M161" s="1" t="s">
        <v>778</v>
      </c>
      <c r="N161" s="1" t="s">
        <v>778</v>
      </c>
      <c r="AY161" s="1" t="s">
        <v>778</v>
      </c>
      <c r="VG161" s="1" t="s">
        <v>778</v>
      </c>
      <c r="VJ161" s="1" t="s">
        <v>778</v>
      </c>
      <c r="VM161" s="1" t="s">
        <v>778</v>
      </c>
      <c r="VN161" s="1" t="s">
        <v>778</v>
      </c>
      <c r="VO161" s="1" t="s">
        <v>778</v>
      </c>
    </row>
    <row r="162" spans="1:615" ht="159.5" hidden="1" x14ac:dyDescent="0.35">
      <c r="A162" s="6" t="s">
        <v>543</v>
      </c>
      <c r="B162" s="14" t="s">
        <v>99</v>
      </c>
      <c r="C162" s="1" t="str" cm="1">
        <f t="array" ref="C162">GetURL(B162)</f>
        <v>https://explore-education-statistics.service.gov.uk/find-statistics/widening-participation-in-higher-education</v>
      </c>
      <c r="D162" s="6" t="s">
        <v>938</v>
      </c>
      <c r="E162" s="1" t="s">
        <v>778</v>
      </c>
      <c r="F162" s="1" t="s">
        <v>778</v>
      </c>
      <c r="G162" s="1" t="s">
        <v>778</v>
      </c>
      <c r="H162" s="1" t="s">
        <v>778</v>
      </c>
      <c r="I162" s="1" t="s">
        <v>778</v>
      </c>
      <c r="BY162" s="1" t="s">
        <v>786</v>
      </c>
      <c r="VP162" s="1" t="s">
        <v>786</v>
      </c>
      <c r="VQ162" s="1" t="s">
        <v>786</v>
      </c>
      <c r="VR162" s="1" t="s">
        <v>786</v>
      </c>
      <c r="VS162" s="1" t="s">
        <v>786</v>
      </c>
      <c r="VT162" s="1" t="s">
        <v>786</v>
      </c>
    </row>
    <row r="163" spans="1:615" ht="159.5" hidden="1" x14ac:dyDescent="0.35">
      <c r="A163" s="6" t="s">
        <v>543</v>
      </c>
      <c r="B163" s="14" t="s">
        <v>99</v>
      </c>
      <c r="C163" s="1" t="str" cm="1">
        <f t="array" ref="C163">GetURL(B163)</f>
        <v>https://explore-education-statistics.service.gov.uk/find-statistics/widening-participation-in-higher-education</v>
      </c>
      <c r="D163" s="1" t="s">
        <v>939</v>
      </c>
      <c r="E163" s="1" t="s">
        <v>778</v>
      </c>
      <c r="F163" s="1" t="s">
        <v>778</v>
      </c>
      <c r="G163" s="1" t="s">
        <v>778</v>
      </c>
      <c r="H163" s="1" t="s">
        <v>778</v>
      </c>
      <c r="I163" s="1" t="s">
        <v>778</v>
      </c>
      <c r="RD163" s="1" t="s">
        <v>778</v>
      </c>
      <c r="RF163" s="1" t="s">
        <v>778</v>
      </c>
      <c r="VG163" s="1" t="s">
        <v>778</v>
      </c>
      <c r="VJ163" s="1" t="s">
        <v>778</v>
      </c>
      <c r="VM163" s="1" t="s">
        <v>778</v>
      </c>
      <c r="VN163" s="1" t="s">
        <v>778</v>
      </c>
      <c r="VO163" s="1" t="s">
        <v>778</v>
      </c>
    </row>
    <row r="164" spans="1:615" ht="159.5" hidden="1" x14ac:dyDescent="0.35">
      <c r="A164" s="6" t="s">
        <v>543</v>
      </c>
      <c r="B164" s="14" t="s">
        <v>99</v>
      </c>
      <c r="C164" s="1" t="str" cm="1">
        <f t="array" ref="C164">GetURL(B164)</f>
        <v>https://explore-education-statistics.service.gov.uk/find-statistics/widening-participation-in-higher-education</v>
      </c>
      <c r="D164" s="1" t="s">
        <v>940</v>
      </c>
      <c r="E164" s="1" t="s">
        <v>778</v>
      </c>
      <c r="F164" s="1" t="s">
        <v>778</v>
      </c>
      <c r="G164" s="1" t="s">
        <v>778</v>
      </c>
      <c r="H164" s="1" t="s">
        <v>778</v>
      </c>
      <c r="I164" s="1" t="s">
        <v>778</v>
      </c>
      <c r="RF164" s="1">
        <f>IF(ISERROR(HLOOKUP(RF1,[1]school_type_gap!$A$1:$L$1,1,FALSE)),0,1)</f>
        <v>1</v>
      </c>
      <c r="VK164" s="1" t="s">
        <v>778</v>
      </c>
      <c r="VL164" s="1" t="s">
        <v>778</v>
      </c>
      <c r="VU164" s="1" t="s">
        <v>778</v>
      </c>
      <c r="VV164" s="1" t="s">
        <v>778</v>
      </c>
      <c r="VW164" s="1" t="s">
        <v>778</v>
      </c>
      <c r="VX164" s="1" t="s">
        <v>778</v>
      </c>
    </row>
    <row r="165" spans="1:615" ht="159.5" hidden="1" x14ac:dyDescent="0.35">
      <c r="A165" s="6" t="s">
        <v>543</v>
      </c>
      <c r="B165" s="14" t="s">
        <v>99</v>
      </c>
      <c r="C165" s="1" t="str" cm="1">
        <f t="array" ref="C165">GetURL(B165)</f>
        <v>https://explore-education-statistics.service.gov.uk/find-statistics/widening-participation-in-higher-education</v>
      </c>
      <c r="D165" s="6" t="s">
        <v>941</v>
      </c>
      <c r="E165" s="1" t="s">
        <v>778</v>
      </c>
      <c r="F165" s="1" t="s">
        <v>778</v>
      </c>
      <c r="G165" s="1" t="s">
        <v>778</v>
      </c>
      <c r="H165" s="1" t="s">
        <v>778</v>
      </c>
      <c r="I165" s="1" t="s">
        <v>778</v>
      </c>
      <c r="J165" s="1" t="s">
        <v>778</v>
      </c>
      <c r="K165" s="1" t="s">
        <v>778</v>
      </c>
      <c r="L165" s="1" t="s">
        <v>778</v>
      </c>
      <c r="M165" s="1" t="s">
        <v>778</v>
      </c>
      <c r="N165" s="1" t="s">
        <v>778</v>
      </c>
      <c r="VG165" s="1" t="s">
        <v>778</v>
      </c>
      <c r="VJ165" s="1" t="s">
        <v>778</v>
      </c>
      <c r="VM165" s="1" t="s">
        <v>778</v>
      </c>
      <c r="VN165" s="1" t="s">
        <v>778</v>
      </c>
      <c r="VO165" s="1" t="s">
        <v>778</v>
      </c>
      <c r="VY165" s="1" t="s">
        <v>778</v>
      </c>
    </row>
    <row r="166" spans="1:615" ht="159.5" hidden="1" x14ac:dyDescent="0.35">
      <c r="A166" s="6" t="s">
        <v>543</v>
      </c>
      <c r="B166" s="14" t="s">
        <v>99</v>
      </c>
      <c r="C166" s="1" t="str" cm="1">
        <f t="array" ref="C166">GetURL(B166)</f>
        <v>https://explore-education-statistics.service.gov.uk/find-statistics/widening-participation-in-higher-education</v>
      </c>
      <c r="D166" s="6" t="s">
        <v>942</v>
      </c>
      <c r="E166" s="1" t="s">
        <v>778</v>
      </c>
      <c r="F166" s="1" t="s">
        <v>778</v>
      </c>
      <c r="G166" s="1" t="s">
        <v>778</v>
      </c>
      <c r="H166" s="1" t="s">
        <v>778</v>
      </c>
      <c r="I166" s="1" t="s">
        <v>778</v>
      </c>
      <c r="FG166" s="1" t="s">
        <v>778</v>
      </c>
      <c r="FH166" s="1" t="s">
        <v>778</v>
      </c>
      <c r="VZ166" s="1" t="s">
        <v>778</v>
      </c>
      <c r="WA166" s="1" t="s">
        <v>778</v>
      </c>
    </row>
    <row r="167" spans="1:615" ht="159.5" hidden="1" x14ac:dyDescent="0.35">
      <c r="A167" s="6" t="s">
        <v>543</v>
      </c>
      <c r="B167" s="14" t="s">
        <v>99</v>
      </c>
      <c r="C167" s="1" t="str" cm="1">
        <f t="array" ref="C167">GetURL(B167)</f>
        <v>https://explore-education-statistics.service.gov.uk/find-statistics/widening-participation-in-higher-education</v>
      </c>
      <c r="D167" s="6" t="s">
        <v>943</v>
      </c>
      <c r="E167" s="1" t="s">
        <v>778</v>
      </c>
      <c r="F167" s="1" t="s">
        <v>778</v>
      </c>
      <c r="G167" s="1" t="s">
        <v>778</v>
      </c>
      <c r="H167" s="1" t="s">
        <v>778</v>
      </c>
      <c r="I167" s="1" t="s">
        <v>778</v>
      </c>
      <c r="RD167" s="1" t="s">
        <v>778</v>
      </c>
      <c r="VG167" s="1" t="s">
        <v>778</v>
      </c>
      <c r="VM167" s="1" t="s">
        <v>778</v>
      </c>
      <c r="WB167" s="1" t="s">
        <v>778</v>
      </c>
      <c r="WC167" s="1" t="s">
        <v>778</v>
      </c>
    </row>
    <row r="168" spans="1:615" ht="38.5" hidden="1" x14ac:dyDescent="0.35">
      <c r="A168" s="6" t="s">
        <v>543</v>
      </c>
      <c r="B168" s="6" t="s">
        <v>60</v>
      </c>
      <c r="C168" s="1" cm="1">
        <f t="array" ref="C168">GetURL(B168)</f>
        <v>0</v>
      </c>
      <c r="D168" s="6" t="s">
        <v>944</v>
      </c>
      <c r="E168" s="1" t="s">
        <v>778</v>
      </c>
      <c r="F168" s="1" t="s">
        <v>778</v>
      </c>
      <c r="G168" s="1" t="s">
        <v>778</v>
      </c>
      <c r="H168" s="1" t="s">
        <v>778</v>
      </c>
      <c r="I168" s="1" t="s">
        <v>778</v>
      </c>
      <c r="WI168" s="1" t="s">
        <v>778</v>
      </c>
      <c r="WJ168" s="1" t="s">
        <v>778</v>
      </c>
      <c r="WK168" s="1" t="s">
        <v>778</v>
      </c>
      <c r="WL168" s="1" t="s">
        <v>778</v>
      </c>
      <c r="WM168" s="1" t="s">
        <v>778</v>
      </c>
      <c r="WN168" s="1" t="s">
        <v>778</v>
      </c>
    </row>
    <row r="169" spans="1:615" ht="72.5" hidden="1" x14ac:dyDescent="0.35">
      <c r="A169" s="6" t="s">
        <v>543</v>
      </c>
      <c r="B169" s="1" t="s">
        <v>60</v>
      </c>
      <c r="C169" s="1" cm="1">
        <f t="array" ref="C169">GetURL(B169)</f>
        <v>0</v>
      </c>
      <c r="D169" s="1" t="s">
        <v>945</v>
      </c>
      <c r="E169" s="1" t="s">
        <v>778</v>
      </c>
      <c r="F169" s="1" t="s">
        <v>778</v>
      </c>
      <c r="G169" s="1" t="s">
        <v>778</v>
      </c>
      <c r="H169" s="1" t="s">
        <v>778</v>
      </c>
      <c r="I169" s="1" t="s">
        <v>778</v>
      </c>
      <c r="AK169" s="1" t="s">
        <v>778</v>
      </c>
      <c r="AT169" s="1" t="s">
        <v>778</v>
      </c>
      <c r="JQ169" s="1" t="s">
        <v>778</v>
      </c>
      <c r="WD169" s="1" t="s">
        <v>778</v>
      </c>
      <c r="WE169" s="1" t="s">
        <v>778</v>
      </c>
      <c r="WF169" s="1" t="s">
        <v>778</v>
      </c>
    </row>
    <row r="170" spans="1:615" ht="51" hidden="1" x14ac:dyDescent="0.35">
      <c r="A170" s="6" t="s">
        <v>543</v>
      </c>
      <c r="B170" s="6" t="s">
        <v>60</v>
      </c>
      <c r="C170" s="1" cm="1">
        <f t="array" ref="C170">GetURL(B170)</f>
        <v>0</v>
      </c>
      <c r="D170" s="6" t="s">
        <v>946</v>
      </c>
      <c r="E170" s="1" t="s">
        <v>778</v>
      </c>
      <c r="F170" s="1" t="s">
        <v>778</v>
      </c>
      <c r="G170" s="1" t="s">
        <v>778</v>
      </c>
      <c r="H170" s="1" t="s">
        <v>778</v>
      </c>
      <c r="I170" s="1" t="s">
        <v>778</v>
      </c>
      <c r="AL170" s="1" t="s">
        <v>778</v>
      </c>
      <c r="BO170" s="1" t="s">
        <v>778</v>
      </c>
      <c r="WE170" s="1" t="s">
        <v>778</v>
      </c>
      <c r="WF170" s="1" t="s">
        <v>778</v>
      </c>
      <c r="WI170" s="1" t="s">
        <v>778</v>
      </c>
    </row>
    <row r="171" spans="1:615" ht="51" hidden="1" x14ac:dyDescent="0.35">
      <c r="A171" s="6" t="s">
        <v>543</v>
      </c>
      <c r="B171" s="6" t="s">
        <v>60</v>
      </c>
      <c r="C171" s="1" cm="1">
        <f t="array" ref="C171">GetURL(B171)</f>
        <v>0</v>
      </c>
      <c r="D171" s="6" t="s">
        <v>947</v>
      </c>
      <c r="E171" s="1" t="s">
        <v>778</v>
      </c>
      <c r="F171" s="1" t="s">
        <v>778</v>
      </c>
      <c r="G171" s="1" t="s">
        <v>778</v>
      </c>
      <c r="H171" s="1" t="s">
        <v>778</v>
      </c>
      <c r="I171" s="1" t="s">
        <v>778</v>
      </c>
      <c r="AK171" s="1" t="s">
        <v>778</v>
      </c>
      <c r="BQ171" s="1" t="s">
        <v>778</v>
      </c>
      <c r="WD171" s="1" t="s">
        <v>778</v>
      </c>
      <c r="WE171" s="1" t="s">
        <v>778</v>
      </c>
      <c r="WF171" s="1" t="s">
        <v>778</v>
      </c>
    </row>
    <row r="172" spans="1:615" ht="63.5" hidden="1" x14ac:dyDescent="0.35">
      <c r="A172" s="6" t="s">
        <v>543</v>
      </c>
      <c r="B172" s="6" t="s">
        <v>60</v>
      </c>
      <c r="C172" s="1" cm="1">
        <f t="array" ref="C172">GetURL(B172)</f>
        <v>0</v>
      </c>
      <c r="D172" s="6" t="s">
        <v>948</v>
      </c>
      <c r="E172" s="1" t="s">
        <v>778</v>
      </c>
      <c r="F172" s="1" t="s">
        <v>778</v>
      </c>
      <c r="G172" s="1" t="s">
        <v>778</v>
      </c>
      <c r="H172" s="1" t="s">
        <v>778</v>
      </c>
      <c r="I172" s="1" t="s">
        <v>778</v>
      </c>
      <c r="AK172" s="1" t="s">
        <v>778</v>
      </c>
      <c r="WD172" s="1" t="s">
        <v>778</v>
      </c>
      <c r="WE172" s="1" t="s">
        <v>778</v>
      </c>
      <c r="WF172" s="1" t="s">
        <v>778</v>
      </c>
      <c r="WO172" s="1" t="s">
        <v>778</v>
      </c>
    </row>
    <row r="173" spans="1:615" ht="51" hidden="1" x14ac:dyDescent="0.35">
      <c r="A173" s="6" t="s">
        <v>543</v>
      </c>
      <c r="B173" s="6" t="s">
        <v>60</v>
      </c>
      <c r="C173" s="1" cm="1">
        <f t="array" ref="C173">GetURL(B173)</f>
        <v>0</v>
      </c>
      <c r="D173" s="6" t="s">
        <v>949</v>
      </c>
      <c r="E173" s="1" t="s">
        <v>778</v>
      </c>
      <c r="F173" s="1" t="s">
        <v>778</v>
      </c>
      <c r="G173" s="1" t="s">
        <v>778</v>
      </c>
      <c r="H173" s="1" t="s">
        <v>778</v>
      </c>
      <c r="I173" s="1" t="s">
        <v>778</v>
      </c>
      <c r="AK173" s="1" t="s">
        <v>778</v>
      </c>
      <c r="JQ173" s="1" t="s">
        <v>778</v>
      </c>
      <c r="WD173" s="1" t="s">
        <v>778</v>
      </c>
      <c r="WE173" s="1" t="s">
        <v>778</v>
      </c>
      <c r="WF173" s="1" t="s">
        <v>778</v>
      </c>
    </row>
    <row r="174" spans="1:615" ht="63.5" hidden="1" x14ac:dyDescent="0.35">
      <c r="A174" s="6" t="s">
        <v>543</v>
      </c>
      <c r="B174" s="6" t="s">
        <v>60</v>
      </c>
      <c r="C174" s="1" cm="1">
        <f t="array" ref="C174">GetURL(B174)</f>
        <v>0</v>
      </c>
      <c r="D174" s="6" t="s">
        <v>950</v>
      </c>
      <c r="E174" s="1" t="s">
        <v>778</v>
      </c>
      <c r="F174" s="1" t="s">
        <v>778</v>
      </c>
      <c r="G174" s="1" t="s">
        <v>778</v>
      </c>
      <c r="H174" s="1" t="s">
        <v>778</v>
      </c>
      <c r="I174" s="1" t="s">
        <v>778</v>
      </c>
      <c r="AK174" s="1" t="s">
        <v>778</v>
      </c>
      <c r="JQ174" s="1" t="s">
        <v>778</v>
      </c>
      <c r="WD174" s="1" t="s">
        <v>778</v>
      </c>
      <c r="WE174" s="1" t="s">
        <v>778</v>
      </c>
      <c r="WF174" s="1" t="s">
        <v>778</v>
      </c>
      <c r="WP174" s="1" t="s">
        <v>778</v>
      </c>
    </row>
    <row r="175" spans="1:615" ht="63.5" hidden="1" x14ac:dyDescent="0.35">
      <c r="A175" s="6" t="s">
        <v>543</v>
      </c>
      <c r="B175" s="6" t="s">
        <v>60</v>
      </c>
      <c r="C175" s="1" cm="1">
        <f t="array" ref="C175">GetURL(B175)</f>
        <v>0</v>
      </c>
      <c r="D175" s="6" t="s">
        <v>951</v>
      </c>
      <c r="E175" s="1" t="s">
        <v>778</v>
      </c>
      <c r="F175" s="1" t="s">
        <v>778</v>
      </c>
      <c r="G175" s="1" t="s">
        <v>778</v>
      </c>
      <c r="H175" s="1" t="s">
        <v>778</v>
      </c>
      <c r="I175" s="1" t="s">
        <v>778</v>
      </c>
      <c r="AK175" s="1" t="s">
        <v>778</v>
      </c>
      <c r="WD175" s="1" t="s">
        <v>778</v>
      </c>
      <c r="WE175" s="1" t="s">
        <v>778</v>
      </c>
      <c r="WF175" s="1" t="s">
        <v>778</v>
      </c>
      <c r="WQ175" s="1" t="s">
        <v>778</v>
      </c>
    </row>
    <row r="176" spans="1:615" ht="51" hidden="1" x14ac:dyDescent="0.35">
      <c r="A176" s="6" t="s">
        <v>543</v>
      </c>
      <c r="B176" s="6" t="s">
        <v>60</v>
      </c>
      <c r="C176" s="1" cm="1">
        <f t="array" ref="C176">GetURL(B176)</f>
        <v>0</v>
      </c>
      <c r="D176" s="6" t="s">
        <v>952</v>
      </c>
      <c r="E176" s="1" t="s">
        <v>778</v>
      </c>
      <c r="F176" s="1" t="s">
        <v>778</v>
      </c>
      <c r="G176" s="1" t="s">
        <v>778</v>
      </c>
      <c r="H176" s="1" t="s">
        <v>778</v>
      </c>
      <c r="I176" s="1" t="s">
        <v>778</v>
      </c>
      <c r="J176" s="1" t="s">
        <v>778</v>
      </c>
      <c r="K176" s="1" t="s">
        <v>778</v>
      </c>
      <c r="AK176" s="1" t="s">
        <v>778</v>
      </c>
      <c r="WD176" s="1" t="s">
        <v>778</v>
      </c>
      <c r="WE176" s="1" t="s">
        <v>778</v>
      </c>
      <c r="WF176" s="1" t="s">
        <v>778</v>
      </c>
    </row>
    <row r="177" spans="1:618" ht="38.5" hidden="1" x14ac:dyDescent="0.35">
      <c r="A177" s="6" t="s">
        <v>543</v>
      </c>
      <c r="B177" s="6" t="s">
        <v>60</v>
      </c>
      <c r="C177" s="1" cm="1">
        <f t="array" ref="C177">GetURL(B177)</f>
        <v>0</v>
      </c>
      <c r="D177" s="6" t="s">
        <v>953</v>
      </c>
      <c r="E177" s="1" t="s">
        <v>778</v>
      </c>
      <c r="F177" s="1" t="s">
        <v>778</v>
      </c>
      <c r="G177" s="1" t="s">
        <v>778</v>
      </c>
      <c r="H177" s="1" t="s">
        <v>778</v>
      </c>
      <c r="I177" s="1" t="s">
        <v>778</v>
      </c>
      <c r="AK177" s="1" t="s">
        <v>778</v>
      </c>
      <c r="AY177" s="1" t="s">
        <v>778</v>
      </c>
      <c r="WD177" s="1" t="s">
        <v>778</v>
      </c>
      <c r="WE177" s="1" t="s">
        <v>778</v>
      </c>
      <c r="WF177" s="1" t="s">
        <v>778</v>
      </c>
    </row>
    <row r="178" spans="1:618" ht="76" hidden="1" x14ac:dyDescent="0.35">
      <c r="A178" s="6" t="s">
        <v>543</v>
      </c>
      <c r="B178" s="6" t="s">
        <v>60</v>
      </c>
      <c r="C178" s="1" cm="1">
        <f t="array" ref="C178">GetURL(B178)</f>
        <v>0</v>
      </c>
      <c r="D178" s="6" t="s">
        <v>954</v>
      </c>
      <c r="E178" s="1" t="s">
        <v>778</v>
      </c>
      <c r="F178" s="1" t="s">
        <v>778</v>
      </c>
      <c r="G178" s="1" t="s">
        <v>778</v>
      </c>
      <c r="H178" s="1" t="s">
        <v>778</v>
      </c>
      <c r="I178" s="1" t="s">
        <v>778</v>
      </c>
      <c r="AK178" s="1" t="s">
        <v>778</v>
      </c>
      <c r="WD178" s="1" t="s">
        <v>778</v>
      </c>
      <c r="WE178" s="1" t="s">
        <v>778</v>
      </c>
      <c r="WF178" s="1" t="s">
        <v>778</v>
      </c>
      <c r="WR178" s="1" t="s">
        <v>778</v>
      </c>
    </row>
    <row r="179" spans="1:618" ht="76" hidden="1" x14ac:dyDescent="0.35">
      <c r="A179" s="6" t="s">
        <v>543</v>
      </c>
      <c r="B179" s="6" t="s">
        <v>60</v>
      </c>
      <c r="C179" s="1" cm="1">
        <f t="array" ref="C179">GetURL(B179)</f>
        <v>0</v>
      </c>
      <c r="D179" s="6" t="s">
        <v>955</v>
      </c>
      <c r="E179" s="1" t="s">
        <v>778</v>
      </c>
      <c r="F179" s="1" t="s">
        <v>778</v>
      </c>
      <c r="G179" s="1" t="s">
        <v>778</v>
      </c>
      <c r="H179" s="1" t="s">
        <v>778</v>
      </c>
      <c r="I179" s="1" t="s">
        <v>778</v>
      </c>
      <c r="AK179" s="1" t="s">
        <v>778</v>
      </c>
      <c r="WD179" s="1" t="s">
        <v>778</v>
      </c>
      <c r="WE179" s="1" t="s">
        <v>778</v>
      </c>
      <c r="WF179" s="1" t="s">
        <v>778</v>
      </c>
      <c r="WS179" s="1" t="s">
        <v>778</v>
      </c>
    </row>
    <row r="180" spans="1:618" ht="101" hidden="1" x14ac:dyDescent="0.35">
      <c r="A180" s="6" t="s">
        <v>543</v>
      </c>
      <c r="B180" s="6" t="s">
        <v>60</v>
      </c>
      <c r="C180" s="1" cm="1">
        <f t="array" ref="C180">GetURL(B180)</f>
        <v>0</v>
      </c>
      <c r="D180" s="6" t="s">
        <v>956</v>
      </c>
      <c r="E180" s="1" t="s">
        <v>778</v>
      </c>
      <c r="F180" s="1" t="s">
        <v>778</v>
      </c>
      <c r="G180" s="1" t="s">
        <v>778</v>
      </c>
      <c r="H180" s="1" t="s">
        <v>778</v>
      </c>
      <c r="I180" s="1" t="s">
        <v>778</v>
      </c>
      <c r="AK180" s="1" t="s">
        <v>778</v>
      </c>
      <c r="WD180" s="1" t="s">
        <v>778</v>
      </c>
      <c r="WE180" s="1" t="s">
        <v>778</v>
      </c>
      <c r="WF180" s="1" t="s">
        <v>778</v>
      </c>
      <c r="WT180" s="1" t="s">
        <v>778</v>
      </c>
    </row>
    <row r="181" spans="1:618" ht="63.5" hidden="1" x14ac:dyDescent="0.35">
      <c r="A181" s="6" t="s">
        <v>543</v>
      </c>
      <c r="B181" s="6" t="s">
        <v>60</v>
      </c>
      <c r="C181" s="1" cm="1">
        <f t="array" ref="C181">GetURL(B181)</f>
        <v>0</v>
      </c>
      <c r="D181" s="6" t="s">
        <v>957</v>
      </c>
      <c r="E181" s="1" t="s">
        <v>778</v>
      </c>
      <c r="F181" s="1" t="s">
        <v>778</v>
      </c>
      <c r="G181" s="1" t="s">
        <v>778</v>
      </c>
      <c r="H181" s="1" t="s">
        <v>778</v>
      </c>
      <c r="I181" s="1" t="s">
        <v>778</v>
      </c>
      <c r="AK181" s="1" t="s">
        <v>778</v>
      </c>
      <c r="OS181" s="1" t="s">
        <v>778</v>
      </c>
      <c r="WD181" s="1" t="s">
        <v>778</v>
      </c>
      <c r="WF181" s="1" t="s">
        <v>778</v>
      </c>
    </row>
    <row r="182" spans="1:618" ht="63.5" hidden="1" x14ac:dyDescent="0.35">
      <c r="A182" s="6" t="s">
        <v>543</v>
      </c>
      <c r="B182" s="6" t="s">
        <v>60</v>
      </c>
      <c r="C182" s="1" cm="1">
        <f t="array" ref="C182">GetURL(B182)</f>
        <v>0</v>
      </c>
      <c r="D182" s="6" t="s">
        <v>958</v>
      </c>
      <c r="E182" s="1" t="s">
        <v>778</v>
      </c>
      <c r="F182" s="1" t="s">
        <v>778</v>
      </c>
      <c r="G182" s="1" t="s">
        <v>778</v>
      </c>
      <c r="H182" s="1" t="s">
        <v>778</v>
      </c>
      <c r="I182" s="1" t="s">
        <v>778</v>
      </c>
      <c r="AK182" s="1" t="s">
        <v>778</v>
      </c>
      <c r="AT182" s="1" t="s">
        <v>778</v>
      </c>
      <c r="ED182" s="1" t="s">
        <v>778</v>
      </c>
      <c r="JQ182" s="1" t="s">
        <v>778</v>
      </c>
      <c r="RT182" s="1" t="s">
        <v>778</v>
      </c>
      <c r="WE182" s="1" t="s">
        <v>778</v>
      </c>
      <c r="WG182" s="1" t="s">
        <v>778</v>
      </c>
      <c r="WH182" s="1" t="s">
        <v>778</v>
      </c>
    </row>
    <row r="183" spans="1:618" ht="63.5" hidden="1" x14ac:dyDescent="0.35">
      <c r="A183" s="6" t="s">
        <v>543</v>
      </c>
      <c r="B183" s="6" t="s">
        <v>60</v>
      </c>
      <c r="C183" s="1" cm="1">
        <f t="array" ref="C183">GetURL(B183)</f>
        <v>0</v>
      </c>
      <c r="D183" s="6" t="s">
        <v>959</v>
      </c>
      <c r="E183" s="1" t="s">
        <v>778</v>
      </c>
      <c r="F183" s="1" t="s">
        <v>778</v>
      </c>
      <c r="G183" s="1" t="s">
        <v>778</v>
      </c>
      <c r="H183" s="1" t="s">
        <v>778</v>
      </c>
      <c r="I183" s="1" t="s">
        <v>778</v>
      </c>
      <c r="AK183" s="1" t="s">
        <v>778</v>
      </c>
      <c r="BN183" s="1" t="s">
        <v>778</v>
      </c>
      <c r="ED183" s="1" t="s">
        <v>778</v>
      </c>
      <c r="RT183" s="1" t="s">
        <v>778</v>
      </c>
      <c r="WE183" s="1" t="s">
        <v>778</v>
      </c>
      <c r="WG183" s="1" t="s">
        <v>778</v>
      </c>
      <c r="WH183" s="1" t="s">
        <v>778</v>
      </c>
    </row>
    <row r="184" spans="1:618" ht="63.5" hidden="1" x14ac:dyDescent="0.35">
      <c r="A184" s="6" t="s">
        <v>543</v>
      </c>
      <c r="B184" s="6" t="s">
        <v>60</v>
      </c>
      <c r="C184" s="1" cm="1">
        <f t="array" ref="C184">GetURL(B184)</f>
        <v>0</v>
      </c>
      <c r="D184" s="6" t="s">
        <v>960</v>
      </c>
      <c r="E184" s="1" t="s">
        <v>778</v>
      </c>
      <c r="F184" s="1" t="s">
        <v>778</v>
      </c>
      <c r="G184" s="1" t="s">
        <v>778</v>
      </c>
      <c r="H184" s="1" t="s">
        <v>778</v>
      </c>
      <c r="I184" s="1" t="s">
        <v>778</v>
      </c>
      <c r="AK184" s="1" t="s">
        <v>778</v>
      </c>
      <c r="ED184" s="1" t="s">
        <v>778</v>
      </c>
      <c r="GU184" s="1" t="s">
        <v>778</v>
      </c>
      <c r="RT184" s="1" t="s">
        <v>778</v>
      </c>
      <c r="WE184" s="1" t="s">
        <v>778</v>
      </c>
      <c r="WG184" s="1" t="s">
        <v>778</v>
      </c>
      <c r="WH184" s="1" t="s">
        <v>778</v>
      </c>
    </row>
    <row r="185" spans="1:618" ht="63.5" hidden="1" x14ac:dyDescent="0.35">
      <c r="A185" s="6" t="s">
        <v>543</v>
      </c>
      <c r="B185" s="6" t="s">
        <v>60</v>
      </c>
      <c r="C185" s="1" cm="1">
        <f t="array" ref="C185">GetURL(B185)</f>
        <v>0</v>
      </c>
      <c r="D185" s="6" t="s">
        <v>961</v>
      </c>
      <c r="E185" s="1" t="s">
        <v>778</v>
      </c>
      <c r="F185" s="1" t="s">
        <v>778</v>
      </c>
      <c r="G185" s="1" t="s">
        <v>778</v>
      </c>
      <c r="H185" s="1" t="s">
        <v>778</v>
      </c>
      <c r="I185" s="1" t="s">
        <v>778</v>
      </c>
      <c r="AK185" s="1" t="s">
        <v>778</v>
      </c>
      <c r="BQ185" s="1" t="s">
        <v>778</v>
      </c>
      <c r="ED185" s="1" t="s">
        <v>778</v>
      </c>
      <c r="RT185" s="1" t="s">
        <v>778</v>
      </c>
      <c r="WE185" s="1" t="s">
        <v>778</v>
      </c>
      <c r="WG185" s="1" t="s">
        <v>778</v>
      </c>
      <c r="WH185" s="1" t="s">
        <v>778</v>
      </c>
    </row>
    <row r="186" spans="1:618" ht="76" hidden="1" x14ac:dyDescent="0.35">
      <c r="A186" s="6" t="s">
        <v>543</v>
      </c>
      <c r="B186" s="6" t="s">
        <v>60</v>
      </c>
      <c r="C186" s="1" cm="1">
        <f t="array" ref="C186">GetURL(B186)</f>
        <v>0</v>
      </c>
      <c r="D186" s="6" t="s">
        <v>962</v>
      </c>
      <c r="E186" s="1" t="s">
        <v>778</v>
      </c>
      <c r="F186" s="1" t="s">
        <v>778</v>
      </c>
      <c r="G186" s="1" t="s">
        <v>778</v>
      </c>
      <c r="H186" s="1" t="s">
        <v>778</v>
      </c>
      <c r="I186" s="1" t="s">
        <v>778</v>
      </c>
      <c r="AK186" s="1" t="s">
        <v>778</v>
      </c>
      <c r="ED186" s="1" t="s">
        <v>778</v>
      </c>
      <c r="RT186" s="1" t="s">
        <v>778</v>
      </c>
      <c r="WE186" s="1" t="s">
        <v>778</v>
      </c>
      <c r="WG186" s="1" t="s">
        <v>778</v>
      </c>
      <c r="WH186" s="1" t="s">
        <v>778</v>
      </c>
      <c r="WO186" s="1" t="s">
        <v>778</v>
      </c>
    </row>
    <row r="187" spans="1:618" ht="63.5" hidden="1" x14ac:dyDescent="0.35">
      <c r="A187" s="6" t="s">
        <v>543</v>
      </c>
      <c r="B187" s="6" t="s">
        <v>60</v>
      </c>
      <c r="C187" s="1" cm="1">
        <f t="array" ref="C187">GetURL(B187)</f>
        <v>0</v>
      </c>
      <c r="D187" s="6" t="s">
        <v>963</v>
      </c>
      <c r="E187" s="1" t="s">
        <v>778</v>
      </c>
      <c r="F187" s="1" t="s">
        <v>778</v>
      </c>
      <c r="G187" s="1" t="s">
        <v>778</v>
      </c>
      <c r="H187" s="1" t="s">
        <v>778</v>
      </c>
      <c r="I187" s="1" t="s">
        <v>778</v>
      </c>
      <c r="AK187" s="1" t="s">
        <v>778</v>
      </c>
      <c r="ED187" s="1" t="s">
        <v>778</v>
      </c>
      <c r="JQ187" s="1" t="s">
        <v>778</v>
      </c>
      <c r="RT187" s="1" t="s">
        <v>778</v>
      </c>
      <c r="WE187" s="1" t="s">
        <v>778</v>
      </c>
      <c r="WG187" s="1" t="s">
        <v>778</v>
      </c>
      <c r="WH187" s="1" t="s">
        <v>778</v>
      </c>
    </row>
    <row r="188" spans="1:618" ht="76" hidden="1" x14ac:dyDescent="0.35">
      <c r="A188" s="6" t="s">
        <v>543</v>
      </c>
      <c r="B188" s="6" t="s">
        <v>60</v>
      </c>
      <c r="C188" s="1" cm="1">
        <f t="array" ref="C188">GetURL(B188)</f>
        <v>0</v>
      </c>
      <c r="D188" s="6" t="s">
        <v>964</v>
      </c>
      <c r="E188" s="1" t="s">
        <v>778</v>
      </c>
      <c r="F188" s="1" t="s">
        <v>778</v>
      </c>
      <c r="G188" s="1" t="s">
        <v>778</v>
      </c>
      <c r="H188" s="1" t="s">
        <v>778</v>
      </c>
      <c r="I188" s="1" t="s">
        <v>778</v>
      </c>
      <c r="AK188" s="1" t="s">
        <v>778</v>
      </c>
      <c r="ED188" s="1" t="s">
        <v>778</v>
      </c>
      <c r="JQ188" s="1" t="s">
        <v>778</v>
      </c>
      <c r="RT188" s="1" t="s">
        <v>778</v>
      </c>
      <c r="WE188" s="1" t="s">
        <v>778</v>
      </c>
      <c r="WG188" s="1" t="s">
        <v>778</v>
      </c>
      <c r="WH188" s="1" t="s">
        <v>778</v>
      </c>
      <c r="WP188" s="1" t="s">
        <v>778</v>
      </c>
    </row>
    <row r="189" spans="1:618" ht="51" hidden="1" x14ac:dyDescent="0.35">
      <c r="A189" s="6" t="s">
        <v>543</v>
      </c>
      <c r="B189" s="6" t="s">
        <v>60</v>
      </c>
      <c r="C189" s="1" cm="1">
        <f t="array" ref="C189">GetURL(B189)</f>
        <v>0</v>
      </c>
      <c r="D189" s="6" t="s">
        <v>965</v>
      </c>
      <c r="E189" s="1" t="s">
        <v>778</v>
      </c>
      <c r="F189" s="1" t="s">
        <v>778</v>
      </c>
      <c r="G189" s="1" t="s">
        <v>778</v>
      </c>
      <c r="H189" s="1" t="s">
        <v>778</v>
      </c>
      <c r="I189" s="1" t="s">
        <v>778</v>
      </c>
      <c r="AK189" s="1" t="s">
        <v>778</v>
      </c>
      <c r="ED189" s="1" t="s">
        <v>778</v>
      </c>
      <c r="RT189" s="1" t="s">
        <v>778</v>
      </c>
      <c r="WE189" s="1" t="s">
        <v>778</v>
      </c>
      <c r="WG189" s="1" t="s">
        <v>778</v>
      </c>
      <c r="WH189" s="1" t="s">
        <v>778</v>
      </c>
      <c r="WQ189" s="1" t="s">
        <v>778</v>
      </c>
    </row>
    <row r="190" spans="1:618" ht="63.5" hidden="1" x14ac:dyDescent="0.35">
      <c r="A190" s="6" t="s">
        <v>543</v>
      </c>
      <c r="B190" s="6" t="s">
        <v>60</v>
      </c>
      <c r="C190" s="1" cm="1">
        <f t="array" ref="C190">GetURL(B190)</f>
        <v>0</v>
      </c>
      <c r="D190" s="6" t="s">
        <v>966</v>
      </c>
      <c r="E190" s="1" t="s">
        <v>778</v>
      </c>
      <c r="F190" s="1" t="s">
        <v>778</v>
      </c>
      <c r="G190" s="1" t="s">
        <v>778</v>
      </c>
      <c r="H190" s="1" t="s">
        <v>778</v>
      </c>
      <c r="I190" s="1" t="s">
        <v>778</v>
      </c>
      <c r="AK190" s="1" t="s">
        <v>778</v>
      </c>
      <c r="ED190" s="1" t="s">
        <v>778</v>
      </c>
      <c r="GW190" s="1" t="s">
        <v>778</v>
      </c>
      <c r="RT190" s="1" t="s">
        <v>778</v>
      </c>
      <c r="WE190" s="1" t="s">
        <v>778</v>
      </c>
      <c r="WG190" s="1" t="s">
        <v>778</v>
      </c>
      <c r="WH190" s="1" t="s">
        <v>778</v>
      </c>
    </row>
    <row r="191" spans="1:618" ht="63.5" hidden="1" x14ac:dyDescent="0.35">
      <c r="A191" s="6" t="s">
        <v>543</v>
      </c>
      <c r="B191" s="6" t="s">
        <v>60</v>
      </c>
      <c r="C191" s="1" cm="1">
        <f t="array" ref="C191">GetURL(B191)</f>
        <v>0</v>
      </c>
      <c r="D191" s="6" t="s">
        <v>967</v>
      </c>
      <c r="E191" s="1" t="s">
        <v>778</v>
      </c>
      <c r="F191" s="1" t="s">
        <v>778</v>
      </c>
      <c r="G191" s="1" t="s">
        <v>778</v>
      </c>
      <c r="H191" s="1" t="s">
        <v>778</v>
      </c>
      <c r="I191" s="1" t="s">
        <v>778</v>
      </c>
      <c r="J191" s="1" t="s">
        <v>778</v>
      </c>
      <c r="K191" s="1" t="s">
        <v>778</v>
      </c>
      <c r="AK191" s="1" t="s">
        <v>778</v>
      </c>
      <c r="ED191" s="1" t="s">
        <v>778</v>
      </c>
      <c r="RT191" s="1" t="s">
        <v>778</v>
      </c>
      <c r="WE191" s="1" t="s">
        <v>778</v>
      </c>
      <c r="WG191" s="1" t="s">
        <v>778</v>
      </c>
      <c r="WH191" s="1" t="s">
        <v>778</v>
      </c>
    </row>
    <row r="192" spans="1:618" ht="51" hidden="1" x14ac:dyDescent="0.35">
      <c r="A192" s="6" t="s">
        <v>543</v>
      </c>
      <c r="B192" s="6" t="s">
        <v>60</v>
      </c>
      <c r="C192" s="1" cm="1">
        <f t="array" ref="C192">GetURL(B192)</f>
        <v>0</v>
      </c>
      <c r="D192" s="6" t="s">
        <v>968</v>
      </c>
      <c r="E192" s="1" t="s">
        <v>778</v>
      </c>
      <c r="F192" s="1" t="s">
        <v>778</v>
      </c>
      <c r="G192" s="1" t="s">
        <v>778</v>
      </c>
      <c r="H192" s="1" t="s">
        <v>778</v>
      </c>
      <c r="I192" s="1" t="s">
        <v>778</v>
      </c>
      <c r="AK192" s="1" t="s">
        <v>778</v>
      </c>
      <c r="AY192" s="1" t="s">
        <v>778</v>
      </c>
      <c r="ED192" s="1" t="s">
        <v>778</v>
      </c>
      <c r="RT192" s="1" t="s">
        <v>778</v>
      </c>
      <c r="WE192" s="1" t="s">
        <v>778</v>
      </c>
      <c r="WG192" s="1" t="s">
        <v>778</v>
      </c>
      <c r="WH192" s="1" t="s">
        <v>778</v>
      </c>
    </row>
    <row r="193" spans="1:688" ht="76" hidden="1" x14ac:dyDescent="0.35">
      <c r="A193" s="6" t="s">
        <v>543</v>
      </c>
      <c r="B193" s="6" t="s">
        <v>60</v>
      </c>
      <c r="C193" s="1" cm="1">
        <f t="array" ref="C193">GetURL(B193)</f>
        <v>0</v>
      </c>
      <c r="D193" s="6" t="s">
        <v>969</v>
      </c>
      <c r="E193" s="1" t="s">
        <v>778</v>
      </c>
      <c r="F193" s="1" t="s">
        <v>778</v>
      </c>
      <c r="G193" s="1" t="s">
        <v>778</v>
      </c>
      <c r="H193" s="1" t="s">
        <v>778</v>
      </c>
      <c r="I193" s="1" t="s">
        <v>778</v>
      </c>
      <c r="AK193" s="1" t="s">
        <v>778</v>
      </c>
      <c r="ED193" s="1" t="s">
        <v>778</v>
      </c>
      <c r="RT193" s="1" t="s">
        <v>778</v>
      </c>
      <c r="WE193" s="1" t="s">
        <v>778</v>
      </c>
      <c r="WG193" s="1" t="s">
        <v>778</v>
      </c>
      <c r="WH193" s="1" t="s">
        <v>778</v>
      </c>
      <c r="WR193" s="1" t="s">
        <v>778</v>
      </c>
    </row>
    <row r="194" spans="1:688" ht="76" hidden="1" x14ac:dyDescent="0.35">
      <c r="A194" s="6" t="s">
        <v>543</v>
      </c>
      <c r="B194" s="6" t="s">
        <v>60</v>
      </c>
      <c r="C194" s="1" cm="1">
        <f t="array" ref="C194">GetURL(B194)</f>
        <v>0</v>
      </c>
      <c r="D194" s="6" t="s">
        <v>970</v>
      </c>
      <c r="E194" s="1" t="s">
        <v>778</v>
      </c>
      <c r="F194" s="1" t="s">
        <v>778</v>
      </c>
      <c r="G194" s="1" t="s">
        <v>778</v>
      </c>
      <c r="H194" s="1" t="s">
        <v>778</v>
      </c>
      <c r="I194" s="1" t="s">
        <v>778</v>
      </c>
      <c r="AK194" s="1" t="s">
        <v>778</v>
      </c>
      <c r="ED194" s="1" t="s">
        <v>778</v>
      </c>
      <c r="RT194" s="1" t="s">
        <v>778</v>
      </c>
      <c r="WE194" s="1" t="s">
        <v>778</v>
      </c>
      <c r="WG194" s="1" t="s">
        <v>778</v>
      </c>
      <c r="WH194" s="1" t="s">
        <v>778</v>
      </c>
      <c r="WS194" s="1" t="s">
        <v>778</v>
      </c>
    </row>
    <row r="195" spans="1:688" ht="101" hidden="1" x14ac:dyDescent="0.35">
      <c r="A195" s="6" t="s">
        <v>543</v>
      </c>
      <c r="B195" s="6" t="s">
        <v>60</v>
      </c>
      <c r="C195" s="1" cm="1">
        <f t="array" ref="C195">GetURL(B195)</f>
        <v>0</v>
      </c>
      <c r="D195" s="6" t="s">
        <v>971</v>
      </c>
      <c r="E195" s="1" t="s">
        <v>778</v>
      </c>
      <c r="F195" s="1" t="s">
        <v>778</v>
      </c>
      <c r="G195" s="1" t="s">
        <v>778</v>
      </c>
      <c r="H195" s="1" t="s">
        <v>778</v>
      </c>
      <c r="I195" s="1" t="s">
        <v>778</v>
      </c>
      <c r="AK195" s="1" t="s">
        <v>778</v>
      </c>
      <c r="ED195" s="1" t="s">
        <v>778</v>
      </c>
      <c r="RT195" s="1" t="s">
        <v>778</v>
      </c>
      <c r="WE195" s="1" t="s">
        <v>778</v>
      </c>
      <c r="WG195" s="1" t="s">
        <v>778</v>
      </c>
      <c r="WH195" s="1" t="s">
        <v>778</v>
      </c>
      <c r="WT195" s="1" t="s">
        <v>778</v>
      </c>
    </row>
    <row r="196" spans="1:688" ht="51" hidden="1" x14ac:dyDescent="0.35">
      <c r="A196" s="6" t="s">
        <v>543</v>
      </c>
      <c r="B196" s="6" t="s">
        <v>60</v>
      </c>
      <c r="C196" s="1" cm="1">
        <f t="array" ref="C196">GetURL(B196)</f>
        <v>0</v>
      </c>
      <c r="D196" s="6" t="s">
        <v>972</v>
      </c>
      <c r="E196" s="1" t="s">
        <v>778</v>
      </c>
      <c r="F196" s="1" t="s">
        <v>778</v>
      </c>
      <c r="G196" s="1" t="s">
        <v>778</v>
      </c>
      <c r="H196" s="1" t="s">
        <v>778</v>
      </c>
      <c r="I196" s="1" t="s">
        <v>778</v>
      </c>
      <c r="AK196" s="1" t="s">
        <v>778</v>
      </c>
      <c r="ED196" s="1" t="s">
        <v>778</v>
      </c>
      <c r="OS196" s="1" t="s">
        <v>778</v>
      </c>
      <c r="RT196" s="1" t="s">
        <v>778</v>
      </c>
      <c r="WG196" s="1" t="s">
        <v>778</v>
      </c>
      <c r="WH196" s="1" t="s">
        <v>778</v>
      </c>
    </row>
    <row r="197" spans="1:688" ht="51" hidden="1" x14ac:dyDescent="0.35">
      <c r="A197" s="6" t="s">
        <v>543</v>
      </c>
      <c r="B197" s="6" t="s">
        <v>973</v>
      </c>
      <c r="C197" s="1" cm="1">
        <f t="array" ref="C197">GetURL(B197)</f>
        <v>0</v>
      </c>
      <c r="D197" s="6" t="s">
        <v>974</v>
      </c>
      <c r="E197" s="1" t="s">
        <v>778</v>
      </c>
      <c r="F197" s="1" t="s">
        <v>778</v>
      </c>
      <c r="G197" s="1" t="s">
        <v>778</v>
      </c>
      <c r="H197" s="1" t="s">
        <v>778</v>
      </c>
      <c r="I197" s="1" t="s">
        <v>778</v>
      </c>
      <c r="BN197" s="1" t="s">
        <v>778</v>
      </c>
      <c r="WX197" s="1" t="s">
        <v>778</v>
      </c>
      <c r="XC197" s="1" t="s">
        <v>778</v>
      </c>
      <c r="XD197" s="1" t="s">
        <v>778</v>
      </c>
      <c r="XE197" s="1" t="s">
        <v>778</v>
      </c>
      <c r="XF197" s="1" t="s">
        <v>778</v>
      </c>
    </row>
    <row r="198" spans="1:688" ht="51" hidden="1" x14ac:dyDescent="0.35">
      <c r="A198" s="6" t="s">
        <v>543</v>
      </c>
      <c r="B198" s="6" t="s">
        <v>973</v>
      </c>
      <c r="C198" s="1" cm="1">
        <f t="array" ref="C198">GetURL(B198)</f>
        <v>0</v>
      </c>
      <c r="D198" s="6" t="s">
        <v>975</v>
      </c>
      <c r="E198" s="1" t="s">
        <v>778</v>
      </c>
      <c r="F198" s="1" t="s">
        <v>778</v>
      </c>
      <c r="G198" s="1" t="s">
        <v>778</v>
      </c>
      <c r="H198" s="1" t="s">
        <v>778</v>
      </c>
      <c r="I198" s="1" t="s">
        <v>778</v>
      </c>
      <c r="BQ198" s="1" t="s">
        <v>778</v>
      </c>
      <c r="WX198" s="1" t="s">
        <v>778</v>
      </c>
      <c r="XC198" s="1" t="s">
        <v>778</v>
      </c>
      <c r="XD198" s="1" t="s">
        <v>778</v>
      </c>
      <c r="XE198" s="1" t="s">
        <v>778</v>
      </c>
      <c r="XF198" s="1" t="s">
        <v>778</v>
      </c>
    </row>
    <row r="199" spans="1:688" ht="51" hidden="1" x14ac:dyDescent="0.35">
      <c r="A199" s="6" t="s">
        <v>543</v>
      </c>
      <c r="B199" s="6" t="s">
        <v>973</v>
      </c>
      <c r="C199" s="1" cm="1">
        <f t="array" ref="C199">GetURL(B199)</f>
        <v>0</v>
      </c>
      <c r="D199" s="6" t="s">
        <v>976</v>
      </c>
      <c r="E199" s="1" t="s">
        <v>778</v>
      </c>
      <c r="F199" s="1" t="s">
        <v>778</v>
      </c>
      <c r="G199" s="1" t="s">
        <v>778</v>
      </c>
      <c r="H199" s="1" t="s">
        <v>778</v>
      </c>
      <c r="I199" s="1" t="s">
        <v>778</v>
      </c>
      <c r="PS199" s="1" t="s">
        <v>778</v>
      </c>
      <c r="WU199" s="1" t="s">
        <v>778</v>
      </c>
      <c r="WV199" s="1" t="s">
        <v>778</v>
      </c>
      <c r="XC199" s="1" t="s">
        <v>778</v>
      </c>
      <c r="XD199" s="1" t="s">
        <v>778</v>
      </c>
      <c r="XE199" s="1" t="s">
        <v>778</v>
      </c>
      <c r="XF199" s="1" t="s">
        <v>778</v>
      </c>
    </row>
    <row r="200" spans="1:688" ht="51" hidden="1" x14ac:dyDescent="0.35">
      <c r="A200" s="6" t="s">
        <v>543</v>
      </c>
      <c r="B200" s="6" t="s">
        <v>973</v>
      </c>
      <c r="C200" s="1" cm="1">
        <f t="array" ref="C200">GetURL(B200)</f>
        <v>0</v>
      </c>
      <c r="D200" s="6" t="s">
        <v>977</v>
      </c>
      <c r="E200" s="1" t="s">
        <v>778</v>
      </c>
      <c r="F200" s="1" t="s">
        <v>778</v>
      </c>
      <c r="G200" s="1" t="s">
        <v>778</v>
      </c>
      <c r="H200" s="1" t="s">
        <v>778</v>
      </c>
      <c r="I200" s="1" t="s">
        <v>778</v>
      </c>
      <c r="QI200" s="1" t="s">
        <v>778</v>
      </c>
      <c r="WX200" s="1" t="s">
        <v>778</v>
      </c>
      <c r="XC200" s="1" t="s">
        <v>778</v>
      </c>
      <c r="XD200" s="1" t="s">
        <v>778</v>
      </c>
      <c r="XE200" s="1" t="s">
        <v>778</v>
      </c>
      <c r="XF200" s="1" t="s">
        <v>778</v>
      </c>
    </row>
    <row r="201" spans="1:688" ht="51" hidden="1" x14ac:dyDescent="0.35">
      <c r="A201" s="6" t="s">
        <v>543</v>
      </c>
      <c r="B201" s="6" t="s">
        <v>973</v>
      </c>
      <c r="C201" s="1" cm="1">
        <f t="array" ref="C201">GetURL(B201)</f>
        <v>0</v>
      </c>
      <c r="D201" s="6" t="s">
        <v>978</v>
      </c>
      <c r="E201" s="1" t="s">
        <v>778</v>
      </c>
      <c r="F201" s="1" t="s">
        <v>778</v>
      </c>
      <c r="G201" s="1" t="s">
        <v>778</v>
      </c>
      <c r="H201" s="1" t="s">
        <v>778</v>
      </c>
      <c r="I201" s="1" t="s">
        <v>778</v>
      </c>
      <c r="WU201" s="1" t="s">
        <v>778</v>
      </c>
      <c r="WV201" s="1" t="s">
        <v>778</v>
      </c>
      <c r="WX201" s="1" t="s">
        <v>778</v>
      </c>
      <c r="XC201" s="1" t="s">
        <v>778</v>
      </c>
      <c r="XD201" s="1" t="s">
        <v>778</v>
      </c>
      <c r="XE201" s="1" t="s">
        <v>778</v>
      </c>
      <c r="XF201" s="1" t="s">
        <v>778</v>
      </c>
    </row>
    <row r="202" spans="1:688" ht="51" hidden="1" x14ac:dyDescent="0.35">
      <c r="A202" s="6" t="s">
        <v>543</v>
      </c>
      <c r="B202" s="6" t="s">
        <v>973</v>
      </c>
      <c r="C202" s="1" cm="1">
        <f t="array" ref="C202">GetURL(B202)</f>
        <v>0</v>
      </c>
      <c r="D202" s="6" t="s">
        <v>979</v>
      </c>
      <c r="E202" s="1" t="s">
        <v>778</v>
      </c>
      <c r="F202" s="1" t="s">
        <v>778</v>
      </c>
      <c r="G202" s="1" t="s">
        <v>778</v>
      </c>
      <c r="H202" s="1" t="s">
        <v>778</v>
      </c>
      <c r="I202" s="1" t="s">
        <v>778</v>
      </c>
      <c r="MZ202" s="1" t="s">
        <v>778</v>
      </c>
      <c r="PS202" s="1" t="s">
        <v>778</v>
      </c>
      <c r="WU202" s="1" t="s">
        <v>778</v>
      </c>
      <c r="WV202" s="1" t="s">
        <v>778</v>
      </c>
      <c r="WX202" s="1" t="s">
        <v>778</v>
      </c>
    </row>
    <row r="203" spans="1:688" ht="51" hidden="1" x14ac:dyDescent="0.35">
      <c r="A203" s="6" t="s">
        <v>543</v>
      </c>
      <c r="B203" s="6" t="s">
        <v>973</v>
      </c>
      <c r="C203" s="1" cm="1">
        <f t="array" ref="C203">GetURL(B203)</f>
        <v>0</v>
      </c>
      <c r="D203" s="6" t="s">
        <v>980</v>
      </c>
      <c r="E203" s="1" t="s">
        <v>778</v>
      </c>
      <c r="F203" s="1" t="s">
        <v>778</v>
      </c>
      <c r="G203" s="1" t="s">
        <v>778</v>
      </c>
      <c r="H203" s="1" t="s">
        <v>778</v>
      </c>
      <c r="I203" s="1" t="s">
        <v>778</v>
      </c>
      <c r="AY203" s="1" t="s">
        <v>778</v>
      </c>
      <c r="BB203" s="1" t="s">
        <v>778</v>
      </c>
      <c r="MZ203" s="1" t="s">
        <v>778</v>
      </c>
      <c r="PS203" s="1" t="s">
        <v>778</v>
      </c>
      <c r="WX203" s="1" t="s">
        <v>778</v>
      </c>
    </row>
    <row r="204" spans="1:688" ht="51" hidden="1" x14ac:dyDescent="0.35">
      <c r="A204" s="6" t="s">
        <v>543</v>
      </c>
      <c r="B204" s="6" t="s">
        <v>973</v>
      </c>
      <c r="C204" s="1" cm="1">
        <f t="array" ref="C204">GetURL(B204)</f>
        <v>0</v>
      </c>
      <c r="D204" s="6" t="s">
        <v>981</v>
      </c>
      <c r="E204" s="1" t="s">
        <v>778</v>
      </c>
      <c r="F204" s="1" t="s">
        <v>778</v>
      </c>
      <c r="G204" s="1" t="s">
        <v>778</v>
      </c>
      <c r="H204" s="1" t="s">
        <v>778</v>
      </c>
      <c r="I204" s="1" t="s">
        <v>778</v>
      </c>
      <c r="AT204" s="1" t="s">
        <v>778</v>
      </c>
      <c r="WY204" s="1" t="s">
        <v>778</v>
      </c>
      <c r="WZ204" s="1" t="s">
        <v>778</v>
      </c>
      <c r="XA204" s="1" t="s">
        <v>778</v>
      </c>
      <c r="XB204" s="1" t="s">
        <v>778</v>
      </c>
    </row>
    <row r="205" spans="1:688" ht="51" hidden="1" x14ac:dyDescent="0.35">
      <c r="A205" s="6" t="s">
        <v>543</v>
      </c>
      <c r="B205" s="6" t="s">
        <v>973</v>
      </c>
      <c r="C205" s="1" cm="1">
        <f t="array" ref="C205">GetURL(B205)</f>
        <v>0</v>
      </c>
      <c r="D205" s="6" t="s">
        <v>982</v>
      </c>
      <c r="E205" s="1" t="s">
        <v>778</v>
      </c>
      <c r="F205" s="1" t="s">
        <v>778</v>
      </c>
      <c r="G205" s="1" t="s">
        <v>778</v>
      </c>
      <c r="H205" s="1" t="s">
        <v>778</v>
      </c>
      <c r="I205" s="1" t="s">
        <v>778</v>
      </c>
      <c r="AT205" s="1" t="s">
        <v>778</v>
      </c>
      <c r="WW205" s="1" t="s">
        <v>778</v>
      </c>
      <c r="XC205" s="1" t="s">
        <v>778</v>
      </c>
      <c r="XD205" s="1" t="s">
        <v>778</v>
      </c>
      <c r="XE205" s="1" t="s">
        <v>778</v>
      </c>
      <c r="XF205" s="1" t="s">
        <v>778</v>
      </c>
    </row>
    <row r="206" spans="1:688" ht="51" hidden="1" x14ac:dyDescent="0.35">
      <c r="A206" s="6" t="s">
        <v>543</v>
      </c>
      <c r="B206" s="6" t="s">
        <v>973</v>
      </c>
      <c r="C206" s="1" cm="1">
        <f t="array" ref="C206">GetURL(B206)</f>
        <v>0</v>
      </c>
      <c r="D206" s="6" t="s">
        <v>983</v>
      </c>
      <c r="E206" s="1" t="s">
        <v>778</v>
      </c>
      <c r="F206" s="1" t="s">
        <v>778</v>
      </c>
      <c r="G206" s="1" t="s">
        <v>778</v>
      </c>
      <c r="H206" s="1" t="s">
        <v>778</v>
      </c>
      <c r="I206" s="1" t="s">
        <v>778</v>
      </c>
      <c r="WU206" s="1" t="s">
        <v>778</v>
      </c>
      <c r="WV206" s="1" t="s">
        <v>778</v>
      </c>
      <c r="WW206" s="1" t="s">
        <v>778</v>
      </c>
      <c r="XG206" s="1" t="s">
        <v>778</v>
      </c>
    </row>
    <row r="207" spans="1:688" ht="51" hidden="1" x14ac:dyDescent="0.35">
      <c r="A207" s="6" t="s">
        <v>543</v>
      </c>
      <c r="B207" s="6" t="s">
        <v>973</v>
      </c>
      <c r="C207" s="1" cm="1">
        <f t="array" ref="C207">GetURL(B207)</f>
        <v>0</v>
      </c>
      <c r="D207" s="6" t="s">
        <v>984</v>
      </c>
      <c r="E207" s="1" t="s">
        <v>778</v>
      </c>
      <c r="F207" s="1" t="s">
        <v>778</v>
      </c>
      <c r="G207" s="1" t="s">
        <v>778</v>
      </c>
      <c r="H207" s="1" t="s">
        <v>778</v>
      </c>
      <c r="I207" s="1" t="s">
        <v>778</v>
      </c>
      <c r="AQ207" s="1" t="s">
        <v>778</v>
      </c>
      <c r="AT207" s="1" t="s">
        <v>778</v>
      </c>
      <c r="WW207" s="1" t="s">
        <v>778</v>
      </c>
      <c r="XH207" s="1" t="s">
        <v>778</v>
      </c>
      <c r="XI207" s="1" t="s">
        <v>778</v>
      </c>
      <c r="XJ207" s="1" t="s">
        <v>778</v>
      </c>
      <c r="XK207" s="1" t="s">
        <v>778</v>
      </c>
      <c r="XL207" s="1" t="s">
        <v>778</v>
      </c>
      <c r="XM207" s="1" t="s">
        <v>778</v>
      </c>
      <c r="XN207" s="1" t="s">
        <v>778</v>
      </c>
      <c r="XO207" s="1" t="s">
        <v>778</v>
      </c>
      <c r="XP207" s="1" t="s">
        <v>778</v>
      </c>
      <c r="ZL207" s="1">
        <f>SUM(E207:XP207)</f>
        <v>0</v>
      </c>
    </row>
    <row r="208" spans="1:688" ht="51" hidden="1" x14ac:dyDescent="0.35">
      <c r="A208" s="6" t="s">
        <v>543</v>
      </c>
      <c r="B208" s="6" t="s">
        <v>973</v>
      </c>
      <c r="C208" s="1" cm="1">
        <f t="array" ref="C208">GetURL(B208)</f>
        <v>0</v>
      </c>
      <c r="D208" s="6" t="s">
        <v>985</v>
      </c>
      <c r="E208" s="1" t="s">
        <v>778</v>
      </c>
      <c r="F208" s="1" t="s">
        <v>778</v>
      </c>
      <c r="G208" s="1" t="s">
        <v>778</v>
      </c>
      <c r="H208" s="1" t="s">
        <v>778</v>
      </c>
      <c r="J208" s="1" t="s">
        <v>778</v>
      </c>
      <c r="AT208" s="1" t="s">
        <v>778</v>
      </c>
      <c r="AY208" s="1" t="s">
        <v>778</v>
      </c>
      <c r="PS208" s="1" t="s">
        <v>778</v>
      </c>
      <c r="WW208" s="1" t="s">
        <v>778</v>
      </c>
      <c r="ZL208" s="1">
        <f>SUM(E208:XP208)</f>
        <v>0</v>
      </c>
    </row>
    <row r="209" spans="1:706" ht="145" hidden="1" x14ac:dyDescent="0.35">
      <c r="A209" s="4" t="s">
        <v>776</v>
      </c>
      <c r="B209" s="14" t="s">
        <v>96</v>
      </c>
      <c r="C209" s="1" t="str" cm="1">
        <f t="array" ref="C209">GetURL(B209)</f>
        <v>https://explore-education-statistics.service.gov.uk/find-statistics/skills-bootcamps-starts</v>
      </c>
      <c r="D209" s="4" t="s">
        <v>1164</v>
      </c>
      <c r="E209" s="1" t="s">
        <v>778</v>
      </c>
      <c r="F209" s="1" t="s">
        <v>778</v>
      </c>
      <c r="G209" s="1" t="s">
        <v>778</v>
      </c>
      <c r="H209" s="1" t="s">
        <v>778</v>
      </c>
      <c r="I209" s="1" t="s">
        <v>778</v>
      </c>
      <c r="XQ209" s="1" t="s">
        <v>778</v>
      </c>
      <c r="XR209" s="1" t="s">
        <v>778</v>
      </c>
      <c r="XS209" s="1" t="s">
        <v>778</v>
      </c>
    </row>
    <row r="210" spans="1:706" ht="98.5" x14ac:dyDescent="0.35">
      <c r="A210" s="1" t="s">
        <v>776</v>
      </c>
      <c r="B210" s="13" t="s">
        <v>1165</v>
      </c>
      <c r="C210" s="1" cm="1">
        <f t="array" ref="C210">GetURL(B210)</f>
        <v>0</v>
      </c>
      <c r="D210" s="13" t="s">
        <v>1166</v>
      </c>
      <c r="E210" s="1" t="s">
        <v>778</v>
      </c>
      <c r="F210" s="1" t="s">
        <v>778</v>
      </c>
      <c r="G210" s="1" t="s">
        <v>778</v>
      </c>
      <c r="H210" s="1" t="s">
        <v>778</v>
      </c>
      <c r="I210" s="1" t="s">
        <v>778</v>
      </c>
      <c r="BD210" s="1" t="s">
        <v>778</v>
      </c>
      <c r="BE210" s="1" t="s">
        <v>778</v>
      </c>
      <c r="BX210" s="1" t="s">
        <v>778</v>
      </c>
      <c r="EQ210" s="1" t="s">
        <v>778</v>
      </c>
      <c r="ET210" s="1" t="s">
        <v>778</v>
      </c>
      <c r="GR210" s="1" t="s">
        <v>778</v>
      </c>
      <c r="GS210" s="1" t="s">
        <v>778</v>
      </c>
      <c r="GT210" s="1" t="s">
        <v>778</v>
      </c>
      <c r="XT210" s="1" t="s">
        <v>778</v>
      </c>
      <c r="XU210" s="1" t="s">
        <v>778</v>
      </c>
      <c r="XV210" s="1" t="s">
        <v>778</v>
      </c>
      <c r="XW210" s="1" t="s">
        <v>778</v>
      </c>
      <c r="XX210" s="1" t="s">
        <v>778</v>
      </c>
      <c r="XY210" s="1" t="s">
        <v>778</v>
      </c>
      <c r="XZ210" s="1" t="s">
        <v>778</v>
      </c>
      <c r="YA210" s="1" t="s">
        <v>778</v>
      </c>
      <c r="YB210" s="1" t="s">
        <v>778</v>
      </c>
    </row>
    <row r="211" spans="1:706" ht="98.5" hidden="1" x14ac:dyDescent="0.35">
      <c r="A211" s="1" t="s">
        <v>776</v>
      </c>
      <c r="B211" s="13" t="s">
        <v>1165</v>
      </c>
      <c r="C211" s="1" cm="1">
        <f t="array" ref="C211">GetURL(B211)</f>
        <v>0</v>
      </c>
      <c r="D211" s="4" t="s">
        <v>1167</v>
      </c>
      <c r="E211" s="1" t="s">
        <v>778</v>
      </c>
      <c r="F211" s="1" t="s">
        <v>778</v>
      </c>
      <c r="G211" s="1" t="s">
        <v>778</v>
      </c>
      <c r="H211" s="1" t="s">
        <v>778</v>
      </c>
      <c r="I211" s="1" t="s">
        <v>778</v>
      </c>
      <c r="BD211" s="1" t="s">
        <v>778</v>
      </c>
      <c r="BE211" s="1" t="s">
        <v>778</v>
      </c>
      <c r="EQ211" s="1" t="s">
        <v>778</v>
      </c>
      <c r="GR211" s="1" t="s">
        <v>778</v>
      </c>
      <c r="GS211" s="1" t="s">
        <v>778</v>
      </c>
      <c r="GT211" s="1" t="s">
        <v>778</v>
      </c>
      <c r="XT211" s="1" t="s">
        <v>778</v>
      </c>
      <c r="YC211" s="1" t="s">
        <v>778</v>
      </c>
      <c r="YD211" s="1" t="s">
        <v>778</v>
      </c>
      <c r="YE211" s="1" t="s">
        <v>778</v>
      </c>
      <c r="YF211" s="1" t="s">
        <v>778</v>
      </c>
      <c r="YG211" s="1" t="s">
        <v>778</v>
      </c>
      <c r="YH211" s="1" t="s">
        <v>778</v>
      </c>
      <c r="YI211" s="1" t="s">
        <v>778</v>
      </c>
      <c r="YJ211" s="1" t="s">
        <v>778</v>
      </c>
      <c r="YK211" s="1" t="s">
        <v>778</v>
      </c>
      <c r="YL211" s="1" t="s">
        <v>778</v>
      </c>
      <c r="YM211" s="1" t="s">
        <v>778</v>
      </c>
      <c r="YN211" s="1" t="s">
        <v>778</v>
      </c>
      <c r="YO211" s="1" t="s">
        <v>778</v>
      </c>
      <c r="YP211" s="1" t="s">
        <v>778</v>
      </c>
      <c r="YQ211" s="1" t="s">
        <v>778</v>
      </c>
      <c r="YR211" s="1" t="s">
        <v>778</v>
      </c>
      <c r="YS211" s="1" t="s">
        <v>778</v>
      </c>
    </row>
    <row r="212" spans="1:706" ht="98.5" hidden="1" x14ac:dyDescent="0.35">
      <c r="A212" s="1" t="s">
        <v>776</v>
      </c>
      <c r="B212" s="13" t="s">
        <v>1165</v>
      </c>
      <c r="C212" s="1" cm="1">
        <f t="array" ref="C212">GetURL(B212)</f>
        <v>0</v>
      </c>
      <c r="D212" s="4" t="s">
        <v>1168</v>
      </c>
      <c r="E212" s="1" t="s">
        <v>778</v>
      </c>
      <c r="F212" s="1" t="s">
        <v>778</v>
      </c>
      <c r="G212" s="1" t="s">
        <v>778</v>
      </c>
      <c r="H212" s="1" t="s">
        <v>778</v>
      </c>
      <c r="I212" s="1" t="s">
        <v>778</v>
      </c>
      <c r="BD212" s="1" t="s">
        <v>778</v>
      </c>
      <c r="BE212" s="1" t="s">
        <v>778</v>
      </c>
      <c r="EQ212" s="1" t="s">
        <v>778</v>
      </c>
      <c r="GR212" s="1" t="s">
        <v>778</v>
      </c>
      <c r="GS212" s="1" t="s">
        <v>778</v>
      </c>
      <c r="GT212" s="1" t="s">
        <v>778</v>
      </c>
      <c r="XT212" s="1" t="s">
        <v>778</v>
      </c>
      <c r="YC212" s="1" t="s">
        <v>778</v>
      </c>
      <c r="YJ212" s="1" t="s">
        <v>778</v>
      </c>
      <c r="YT212" s="1" t="s">
        <v>778</v>
      </c>
      <c r="YU212" s="1" t="s">
        <v>778</v>
      </c>
      <c r="YV212" s="1" t="s">
        <v>778</v>
      </c>
      <c r="YW212" s="1" t="s">
        <v>778</v>
      </c>
      <c r="YX212" s="1" t="s">
        <v>778</v>
      </c>
      <c r="YY212" s="1" t="s">
        <v>778</v>
      </c>
      <c r="YZ212" s="1" t="s">
        <v>778</v>
      </c>
      <c r="ZA212" s="1" t="s">
        <v>778</v>
      </c>
      <c r="ZB212" s="1" t="s">
        <v>778</v>
      </c>
      <c r="ZC212" s="1" t="s">
        <v>778</v>
      </c>
      <c r="ZD212" s="1" t="s">
        <v>778</v>
      </c>
      <c r="ZE212" s="1" t="s">
        <v>778</v>
      </c>
      <c r="ZF212" s="1" t="s">
        <v>778</v>
      </c>
      <c r="ZG212" s="1" t="s">
        <v>778</v>
      </c>
      <c r="ZH212" s="1" t="s">
        <v>778</v>
      </c>
    </row>
    <row r="213" spans="1:706" ht="188.5" hidden="1" x14ac:dyDescent="0.35">
      <c r="A213" s="1" t="s">
        <v>776</v>
      </c>
      <c r="B213" s="14" t="s">
        <v>29</v>
      </c>
      <c r="C213" s="1" t="str" cm="1">
        <f t="array" ref="C213">GetURL(B213)</f>
        <v>https://explore-education-statistics.service.gov.uk/find-statistics/career-pathways-post-16-qualifications-held-by-employees</v>
      </c>
      <c r="D213" s="4" t="s">
        <v>1169</v>
      </c>
      <c r="E213" s="1" t="s">
        <v>778</v>
      </c>
      <c r="F213" s="1" t="s">
        <v>778</v>
      </c>
      <c r="G213" s="1" t="s">
        <v>778</v>
      </c>
      <c r="H213" s="1" t="s">
        <v>778</v>
      </c>
      <c r="I213" s="1" t="s">
        <v>778</v>
      </c>
      <c r="J213" s="1" t="s">
        <v>778</v>
      </c>
      <c r="K213" s="1" t="s">
        <v>778</v>
      </c>
      <c r="BH213" s="1" t="s">
        <v>778</v>
      </c>
      <c r="GT213" s="1" t="s">
        <v>778</v>
      </c>
      <c r="SV213" s="1" t="s">
        <v>778</v>
      </c>
      <c r="ZI213" s="1" t="s">
        <v>778</v>
      </c>
      <c r="ZJ213" s="1" t="s">
        <v>778</v>
      </c>
      <c r="ZK213" s="1" t="s">
        <v>778</v>
      </c>
      <c r="ZL213" s="1" t="s">
        <v>778</v>
      </c>
      <c r="ZM213" s="1" t="s">
        <v>778</v>
      </c>
      <c r="ZN213" s="1" t="s">
        <v>778</v>
      </c>
    </row>
    <row r="214" spans="1:706" ht="188.5" hidden="1" x14ac:dyDescent="0.35">
      <c r="A214" s="1" t="s">
        <v>776</v>
      </c>
      <c r="B214" s="14" t="s">
        <v>29</v>
      </c>
      <c r="C214" s="1" t="str" cm="1">
        <f t="array" ref="C214">GetURL(B214)</f>
        <v>https://explore-education-statistics.service.gov.uk/find-statistics/career-pathways-post-16-qualifications-held-by-employees</v>
      </c>
      <c r="D214" s="4" t="s">
        <v>1170</v>
      </c>
      <c r="E214" s="1" t="s">
        <v>778</v>
      </c>
      <c r="F214" s="1" t="s">
        <v>778</v>
      </c>
      <c r="G214" s="1" t="s">
        <v>778</v>
      </c>
      <c r="H214" s="1" t="s">
        <v>778</v>
      </c>
      <c r="I214" s="1" t="s">
        <v>778</v>
      </c>
      <c r="J214" s="1" t="s">
        <v>778</v>
      </c>
      <c r="K214" s="1" t="s">
        <v>778</v>
      </c>
      <c r="BH214" s="1" t="s">
        <v>778</v>
      </c>
      <c r="GT214" s="1" t="s">
        <v>778</v>
      </c>
      <c r="SV214" s="1" t="s">
        <v>778</v>
      </c>
      <c r="ZI214" s="1" t="s">
        <v>778</v>
      </c>
      <c r="ZJ214" s="1" t="s">
        <v>778</v>
      </c>
      <c r="ZK214" s="1" t="s">
        <v>778</v>
      </c>
      <c r="ZM214" s="1" t="s">
        <v>778</v>
      </c>
      <c r="ZN214" s="1" t="s">
        <v>778</v>
      </c>
    </row>
    <row r="215" spans="1:706" ht="188.5" hidden="1" x14ac:dyDescent="0.35">
      <c r="A215" s="1" t="s">
        <v>776</v>
      </c>
      <c r="B215" s="14" t="s">
        <v>29</v>
      </c>
      <c r="C215" s="1" t="str" cm="1">
        <f t="array" ref="C215">GetURL(B215)</f>
        <v>https://explore-education-statistics.service.gov.uk/find-statistics/career-pathways-post-16-qualifications-held-by-employees</v>
      </c>
      <c r="D215" s="4" t="s">
        <v>1171</v>
      </c>
      <c r="E215" s="1" t="s">
        <v>778</v>
      </c>
      <c r="F215" s="1" t="s">
        <v>778</v>
      </c>
      <c r="G215" s="1" t="s">
        <v>778</v>
      </c>
      <c r="H215" s="1" t="s">
        <v>778</v>
      </c>
      <c r="I215" s="1" t="s">
        <v>778</v>
      </c>
      <c r="J215" s="1" t="s">
        <v>778</v>
      </c>
      <c r="K215" s="1" t="s">
        <v>778</v>
      </c>
      <c r="BH215" s="1" t="s">
        <v>778</v>
      </c>
      <c r="GT215" s="1" t="s">
        <v>778</v>
      </c>
      <c r="SV215" s="1" t="s">
        <v>778</v>
      </c>
      <c r="ZI215" s="1" t="s">
        <v>778</v>
      </c>
      <c r="ZJ215" s="1" t="s">
        <v>778</v>
      </c>
      <c r="ZK215" s="1" t="s">
        <v>778</v>
      </c>
      <c r="ZM215" s="1" t="s">
        <v>778</v>
      </c>
      <c r="ZN215" s="1" t="s">
        <v>778</v>
      </c>
    </row>
    <row r="216" spans="1:706" ht="188.5" hidden="1" x14ac:dyDescent="0.35">
      <c r="A216" s="1" t="s">
        <v>776</v>
      </c>
      <c r="B216" s="14" t="s">
        <v>29</v>
      </c>
      <c r="C216" s="1" t="str" cm="1">
        <f t="array" ref="C216">GetURL(B216)</f>
        <v>https://explore-education-statistics.service.gov.uk/find-statistics/career-pathways-post-16-qualifications-held-by-employees</v>
      </c>
      <c r="D216" s="4" t="s">
        <v>1172</v>
      </c>
      <c r="E216" s="1" t="s">
        <v>778</v>
      </c>
      <c r="F216" s="1" t="s">
        <v>778</v>
      </c>
      <c r="G216" s="1" t="s">
        <v>778</v>
      </c>
      <c r="H216" s="1" t="s">
        <v>778</v>
      </c>
      <c r="I216" s="1" t="s">
        <v>778</v>
      </c>
      <c r="J216" s="1" t="s">
        <v>778</v>
      </c>
      <c r="K216" s="1" t="s">
        <v>778</v>
      </c>
      <c r="BH216" s="1" t="s">
        <v>778</v>
      </c>
      <c r="SV216" s="1" t="s">
        <v>778</v>
      </c>
      <c r="ZI216" s="1" t="s">
        <v>778</v>
      </c>
      <c r="ZJ216" s="1" t="s">
        <v>778</v>
      </c>
      <c r="ZK216" s="1" t="s">
        <v>778</v>
      </c>
      <c r="ZM216" s="1" t="s">
        <v>778</v>
      </c>
      <c r="ZO216" s="1" t="s">
        <v>778</v>
      </c>
      <c r="ZP216" s="1" t="s">
        <v>778</v>
      </c>
      <c r="ZQ216" s="1" t="s">
        <v>778</v>
      </c>
      <c r="ZR216" s="1" t="s">
        <v>778</v>
      </c>
      <c r="ZS216" s="1" t="s">
        <v>778</v>
      </c>
    </row>
    <row r="217" spans="1:706" ht="188.5" hidden="1" x14ac:dyDescent="0.35">
      <c r="A217" s="1" t="s">
        <v>776</v>
      </c>
      <c r="B217" s="14" t="s">
        <v>29</v>
      </c>
      <c r="C217" s="1" t="str" cm="1">
        <f t="array" ref="C217">GetURL(B217)</f>
        <v>https://explore-education-statistics.service.gov.uk/find-statistics/career-pathways-post-16-qualifications-held-by-employees</v>
      </c>
      <c r="D217" s="4" t="s">
        <v>1173</v>
      </c>
      <c r="E217" s="1" t="s">
        <v>778</v>
      </c>
      <c r="F217" s="1" t="s">
        <v>778</v>
      </c>
      <c r="G217" s="1" t="s">
        <v>778</v>
      </c>
      <c r="H217" s="1" t="s">
        <v>778</v>
      </c>
      <c r="I217" s="1" t="s">
        <v>778</v>
      </c>
      <c r="J217" s="1" t="s">
        <v>778</v>
      </c>
      <c r="K217" s="1" t="s">
        <v>778</v>
      </c>
      <c r="BH217" s="1" t="s">
        <v>778</v>
      </c>
      <c r="GT217" s="1" t="s">
        <v>778</v>
      </c>
      <c r="ZI217" s="1" t="s">
        <v>778</v>
      </c>
      <c r="ZK217" s="1" t="s">
        <v>778</v>
      </c>
      <c r="ZL217" s="1" t="s">
        <v>778</v>
      </c>
      <c r="ZM217" s="1" t="s">
        <v>778</v>
      </c>
      <c r="ZT217" s="1" t="s">
        <v>778</v>
      </c>
      <c r="ZU217" s="1" t="s">
        <v>778</v>
      </c>
      <c r="ZV217" s="1" t="s">
        <v>778</v>
      </c>
      <c r="ZW217" s="1" t="s">
        <v>778</v>
      </c>
      <c r="ZX217" s="1" t="s">
        <v>778</v>
      </c>
    </row>
    <row r="218" spans="1:706" ht="174" hidden="1" x14ac:dyDescent="0.35">
      <c r="A218" s="1" t="s">
        <v>776</v>
      </c>
      <c r="B218" s="14" t="s">
        <v>1174</v>
      </c>
      <c r="C218" s="1" t="str" cm="1">
        <f t="array" ref="C218">GetURL(B218)</f>
        <v>https://explore-education-statistics.service.gov.uk/find-statistics/apprenticeships-in-england-by-industry-characteristics</v>
      </c>
      <c r="D218" s="1" t="s">
        <v>1175</v>
      </c>
      <c r="E218" s="1" t="s">
        <v>778</v>
      </c>
      <c r="F218" s="1" t="s">
        <v>778</v>
      </c>
      <c r="G218" s="1" t="s">
        <v>778</v>
      </c>
      <c r="H218" s="1" t="s">
        <v>778</v>
      </c>
      <c r="I218" s="1" t="s">
        <v>778</v>
      </c>
      <c r="J218" s="1" t="s">
        <v>778</v>
      </c>
      <c r="K218" s="1" t="s">
        <v>778</v>
      </c>
      <c r="AK218" s="1" t="s">
        <v>778</v>
      </c>
      <c r="BD218" s="1" t="s">
        <v>778</v>
      </c>
      <c r="CP218" s="1" t="s">
        <v>778</v>
      </c>
      <c r="DM218" s="1" t="s">
        <v>778</v>
      </c>
      <c r="GV218" s="1" t="s">
        <v>778</v>
      </c>
      <c r="ZI218" s="1" t="s">
        <v>778</v>
      </c>
      <c r="ZY218" s="1" t="s">
        <v>778</v>
      </c>
      <c r="ZZ218" s="1" t="s">
        <v>778</v>
      </c>
    </row>
    <row r="219" spans="1:706" ht="174" hidden="1" x14ac:dyDescent="0.35">
      <c r="A219" s="1" t="s">
        <v>776</v>
      </c>
      <c r="B219" s="14" t="s">
        <v>1174</v>
      </c>
      <c r="C219" s="1" t="str" cm="1">
        <f t="array" ref="C219">GetURL(B219)</f>
        <v>https://explore-education-statistics.service.gov.uk/find-statistics/apprenticeships-in-england-by-industry-characteristics</v>
      </c>
      <c r="D219" s="1" t="s">
        <v>1176</v>
      </c>
      <c r="E219" s="1" t="s">
        <v>778</v>
      </c>
      <c r="F219" s="1" t="s">
        <v>778</v>
      </c>
      <c r="G219" s="1" t="s">
        <v>778</v>
      </c>
      <c r="H219" s="1" t="s">
        <v>778</v>
      </c>
      <c r="I219" s="1" t="s">
        <v>778</v>
      </c>
      <c r="AK219" s="1" t="s">
        <v>778</v>
      </c>
      <c r="AS219" s="1" t="s">
        <v>778</v>
      </c>
      <c r="AY219" s="1" t="s">
        <v>778</v>
      </c>
      <c r="BD219" s="1" t="s">
        <v>778</v>
      </c>
      <c r="BK219" s="1" t="s">
        <v>778</v>
      </c>
      <c r="BQ219" s="1" t="s">
        <v>778</v>
      </c>
      <c r="CP219" s="1" t="s">
        <v>778</v>
      </c>
      <c r="DM219" s="1" t="s">
        <v>778</v>
      </c>
      <c r="GV219" s="1" t="s">
        <v>778</v>
      </c>
      <c r="ZI219" s="1" t="s">
        <v>778</v>
      </c>
      <c r="ZY219" s="1" t="s">
        <v>778</v>
      </c>
      <c r="ZZ219" s="1" t="s">
        <v>778</v>
      </c>
      <c r="AAA219" s="1" t="s">
        <v>778</v>
      </c>
    </row>
    <row r="220" spans="1:706" ht="174" hidden="1" x14ac:dyDescent="0.35">
      <c r="A220" s="1" t="s">
        <v>776</v>
      </c>
      <c r="B220" s="14" t="s">
        <v>1174</v>
      </c>
      <c r="C220" s="1" t="str" cm="1">
        <f t="array" ref="C220">GetURL(B220)</f>
        <v>https://explore-education-statistics.service.gov.uk/find-statistics/apprenticeships-in-england-by-industry-characteristics</v>
      </c>
      <c r="D220" s="1" t="s">
        <v>1177</v>
      </c>
      <c r="E220" s="1" t="s">
        <v>778</v>
      </c>
      <c r="F220" s="1" t="s">
        <v>778</v>
      </c>
      <c r="G220" s="1" t="s">
        <v>778</v>
      </c>
      <c r="H220" s="1" t="s">
        <v>778</v>
      </c>
      <c r="I220" s="1" t="s">
        <v>778</v>
      </c>
      <c r="ZI220" s="1"/>
      <c r="AAB220" s="1" t="s">
        <v>778</v>
      </c>
    </row>
    <row r="221" spans="1:706" ht="174" hidden="1" x14ac:dyDescent="0.35">
      <c r="A221" s="1" t="s">
        <v>776</v>
      </c>
      <c r="B221" s="14" t="s">
        <v>1174</v>
      </c>
      <c r="C221" s="1" t="str" cm="1">
        <f t="array" ref="C221">GetURL(B221)</f>
        <v>https://explore-education-statistics.service.gov.uk/find-statistics/apprenticeships-in-england-by-industry-characteristics</v>
      </c>
      <c r="D221" s="1" t="s">
        <v>1178</v>
      </c>
      <c r="E221" s="1" t="s">
        <v>778</v>
      </c>
      <c r="F221" s="1" t="s">
        <v>778</v>
      </c>
      <c r="G221" s="1" t="s">
        <v>778</v>
      </c>
      <c r="H221" s="1" t="s">
        <v>778</v>
      </c>
      <c r="I221" s="1" t="s">
        <v>778</v>
      </c>
      <c r="ZI221" s="1"/>
      <c r="AAC221" s="1" t="s">
        <v>778</v>
      </c>
    </row>
    <row r="222" spans="1:706" ht="174" hidden="1" x14ac:dyDescent="0.35">
      <c r="A222" s="1" t="s">
        <v>776</v>
      </c>
      <c r="B222" s="14" t="s">
        <v>1174</v>
      </c>
      <c r="C222" s="1" t="str" cm="1">
        <f t="array" ref="C222">GetURL(B222)</f>
        <v>https://explore-education-statistics.service.gov.uk/find-statistics/apprenticeships-in-england-by-industry-characteristics</v>
      </c>
      <c r="D222" s="1" t="s">
        <v>1179</v>
      </c>
      <c r="E222" s="1" t="s">
        <v>778</v>
      </c>
      <c r="F222" s="1" t="s">
        <v>778</v>
      </c>
      <c r="G222" s="1" t="s">
        <v>778</v>
      </c>
      <c r="H222" s="1" t="s">
        <v>778</v>
      </c>
      <c r="I222" s="1" t="s">
        <v>778</v>
      </c>
      <c r="J222" s="1" t="s">
        <v>778</v>
      </c>
      <c r="K222" s="1" t="s">
        <v>778</v>
      </c>
      <c r="AC222" s="1" t="s">
        <v>778</v>
      </c>
      <c r="CP222" s="1" t="s">
        <v>778</v>
      </c>
      <c r="ZI222" s="1" t="s">
        <v>778</v>
      </c>
      <c r="ZY222" s="1" t="s">
        <v>778</v>
      </c>
      <c r="ZZ222" s="1" t="s">
        <v>778</v>
      </c>
      <c r="AAA222" s="1" t="s">
        <v>778</v>
      </c>
      <c r="AAD222" s="1" t="s">
        <v>778</v>
      </c>
    </row>
    <row r="223" spans="1:706" ht="174" hidden="1" x14ac:dyDescent="0.35">
      <c r="A223" s="1" t="s">
        <v>776</v>
      </c>
      <c r="B223" s="14" t="s">
        <v>1174</v>
      </c>
      <c r="C223" s="1" t="str" cm="1">
        <f t="array" ref="C223">GetURL(B223)</f>
        <v>https://explore-education-statistics.service.gov.uk/find-statistics/apprenticeships-in-england-by-industry-characteristics</v>
      </c>
      <c r="D223" s="1" t="s">
        <v>1180</v>
      </c>
      <c r="E223" s="1" t="s">
        <v>778</v>
      </c>
      <c r="F223" s="1" t="s">
        <v>778</v>
      </c>
      <c r="G223" s="1" t="s">
        <v>778</v>
      </c>
      <c r="H223" s="1" t="s">
        <v>778</v>
      </c>
      <c r="I223" s="1" t="s">
        <v>778</v>
      </c>
      <c r="J223" s="1" t="s">
        <v>778</v>
      </c>
      <c r="K223" s="1" t="s">
        <v>778</v>
      </c>
      <c r="O223" s="1" t="s">
        <v>778</v>
      </c>
      <c r="P223" s="1" t="s">
        <v>778</v>
      </c>
      <c r="CP223" s="1" t="s">
        <v>778</v>
      </c>
      <c r="ZI223" s="1" t="s">
        <v>778</v>
      </c>
      <c r="ZY223" s="1" t="s">
        <v>778</v>
      </c>
      <c r="AAD223" s="1" t="s">
        <v>778</v>
      </c>
    </row>
    <row r="224" spans="1:706" ht="174" hidden="1" x14ac:dyDescent="0.35">
      <c r="A224" s="1" t="s">
        <v>776</v>
      </c>
      <c r="B224" s="14" t="s">
        <v>1174</v>
      </c>
      <c r="C224" s="1" t="str" cm="1">
        <f t="array" ref="C224">GetURL(B224)</f>
        <v>https://explore-education-statistics.service.gov.uk/find-statistics/apprenticeships-in-england-by-industry-characteristics</v>
      </c>
      <c r="D224" s="1" t="s">
        <v>1181</v>
      </c>
      <c r="E224" s="1" t="s">
        <v>778</v>
      </c>
      <c r="F224" s="1" t="s">
        <v>778</v>
      </c>
      <c r="G224" s="1" t="s">
        <v>778</v>
      </c>
      <c r="H224" s="1" t="s">
        <v>778</v>
      </c>
      <c r="I224" s="1" t="s">
        <v>778</v>
      </c>
      <c r="J224" s="1" t="s">
        <v>778</v>
      </c>
      <c r="K224" s="1" t="s">
        <v>778</v>
      </c>
      <c r="Q224" s="1" t="s">
        <v>778</v>
      </c>
      <c r="R224" s="1" t="s">
        <v>778</v>
      </c>
      <c r="CP224" s="1" t="s">
        <v>778</v>
      </c>
      <c r="ZI224" s="1" t="s">
        <v>778</v>
      </c>
      <c r="ZY224" s="1" t="s">
        <v>778</v>
      </c>
      <c r="AAD224" s="1" t="s">
        <v>778</v>
      </c>
    </row>
    <row r="225" spans="1:780" ht="174" hidden="1" x14ac:dyDescent="0.35">
      <c r="A225" s="1" t="s">
        <v>776</v>
      </c>
      <c r="B225" s="14" t="s">
        <v>1174</v>
      </c>
      <c r="C225" s="1" t="str" cm="1">
        <f t="array" ref="C225">GetURL(B225)</f>
        <v>https://explore-education-statistics.service.gov.uk/find-statistics/apprenticeships-in-england-by-industry-characteristics</v>
      </c>
      <c r="D225" s="1" t="s">
        <v>1182</v>
      </c>
      <c r="E225" s="1" t="s">
        <v>778</v>
      </c>
      <c r="F225" s="1" t="s">
        <v>778</v>
      </c>
      <c r="G225" s="1" t="s">
        <v>778</v>
      </c>
      <c r="H225" s="1" t="s">
        <v>778</v>
      </c>
      <c r="I225" s="1" t="s">
        <v>778</v>
      </c>
      <c r="AC225" s="1" t="s">
        <v>778</v>
      </c>
      <c r="AK225" s="1" t="s">
        <v>778</v>
      </c>
      <c r="BD225" s="1" t="s">
        <v>778</v>
      </c>
      <c r="CP225" s="1" t="s">
        <v>778</v>
      </c>
      <c r="ZI225" s="1" t="s">
        <v>778</v>
      </c>
      <c r="ZY225" s="1" t="s">
        <v>778</v>
      </c>
      <c r="AAD225" s="1" t="s">
        <v>778</v>
      </c>
    </row>
    <row r="226" spans="1:780" ht="174" hidden="1" x14ac:dyDescent="0.35">
      <c r="A226" s="1" t="s">
        <v>776</v>
      </c>
      <c r="B226" s="14" t="s">
        <v>1174</v>
      </c>
      <c r="C226" s="1" t="str" cm="1">
        <f t="array" ref="C226">GetURL(B226)</f>
        <v>https://explore-education-statistics.service.gov.uk/find-statistics/apprenticeships-in-england-by-industry-characteristics</v>
      </c>
      <c r="D226" s="1" t="s">
        <v>1183</v>
      </c>
      <c r="E226" s="1" t="s">
        <v>778</v>
      </c>
      <c r="F226" s="1" t="s">
        <v>778</v>
      </c>
      <c r="G226" s="1" t="s">
        <v>778</v>
      </c>
      <c r="H226" s="1" t="s">
        <v>778</v>
      </c>
      <c r="I226" s="1" t="s">
        <v>778</v>
      </c>
      <c r="AC226" s="1" t="s">
        <v>778</v>
      </c>
      <c r="AK226" s="1" t="s">
        <v>778</v>
      </c>
      <c r="AS226" s="1" t="s">
        <v>778</v>
      </c>
      <c r="AY226" s="1" t="s">
        <v>778</v>
      </c>
      <c r="BK226" s="1" t="s">
        <v>778</v>
      </c>
      <c r="BQ226" s="1" t="s">
        <v>778</v>
      </c>
      <c r="CP226" s="1" t="s">
        <v>778</v>
      </c>
      <c r="ZI226" s="1" t="s">
        <v>778</v>
      </c>
      <c r="AAA226" s="1" t="s">
        <v>778</v>
      </c>
      <c r="AAD226" s="1" t="s">
        <v>778</v>
      </c>
    </row>
    <row r="227" spans="1:780" ht="174" hidden="1" x14ac:dyDescent="0.35">
      <c r="A227" s="1" t="s">
        <v>776</v>
      </c>
      <c r="B227" s="14" t="s">
        <v>1174</v>
      </c>
      <c r="C227" s="1" t="str" cm="1">
        <f t="array" ref="C227">GetURL(B227)</f>
        <v>https://explore-education-statistics.service.gov.uk/find-statistics/apprenticeships-in-england-by-industry-characteristics</v>
      </c>
      <c r="D227" s="1" t="s">
        <v>1184</v>
      </c>
      <c r="E227" s="1" t="s">
        <v>778</v>
      </c>
      <c r="F227" s="1" t="s">
        <v>778</v>
      </c>
      <c r="G227" s="1" t="s">
        <v>778</v>
      </c>
      <c r="H227" s="1" t="s">
        <v>778</v>
      </c>
      <c r="I227" s="1" t="s">
        <v>778</v>
      </c>
      <c r="AK227" s="1" t="s">
        <v>778</v>
      </c>
      <c r="BD227" s="1" t="s">
        <v>778</v>
      </c>
      <c r="CP227" s="1" t="s">
        <v>778</v>
      </c>
      <c r="GV227" s="1" t="s">
        <v>778</v>
      </c>
      <c r="ZI227" s="1" t="s">
        <v>778</v>
      </c>
      <c r="AAE227" s="1" t="s">
        <v>778</v>
      </c>
    </row>
    <row r="228" spans="1:780" ht="174" hidden="1" x14ac:dyDescent="0.35">
      <c r="A228" s="1" t="s">
        <v>776</v>
      </c>
      <c r="B228" s="14" t="s">
        <v>1174</v>
      </c>
      <c r="C228" s="1" t="str" cm="1">
        <f t="array" ref="C228">GetURL(B228)</f>
        <v>https://explore-education-statistics.service.gov.uk/find-statistics/apprenticeships-in-england-by-industry-characteristics</v>
      </c>
      <c r="D228" s="1" t="s">
        <v>1185</v>
      </c>
      <c r="E228" s="1" t="s">
        <v>778</v>
      </c>
      <c r="F228" s="1" t="s">
        <v>778</v>
      </c>
      <c r="G228" s="1" t="s">
        <v>778</v>
      </c>
      <c r="H228" s="1" t="s">
        <v>778</v>
      </c>
      <c r="I228" s="1" t="s">
        <v>778</v>
      </c>
      <c r="ZI228" s="1" t="s">
        <v>778</v>
      </c>
      <c r="ZZ228" s="1" t="s">
        <v>778</v>
      </c>
      <c r="AAF228" s="1" t="s">
        <v>778</v>
      </c>
      <c r="AAG228" s="1" t="s">
        <v>778</v>
      </c>
      <c r="AAH228" s="1" t="s">
        <v>778</v>
      </c>
    </row>
    <row r="229" spans="1:780" ht="174" hidden="1" x14ac:dyDescent="0.35">
      <c r="A229" s="1" t="s">
        <v>776</v>
      </c>
      <c r="B229" s="14" t="s">
        <v>1174</v>
      </c>
      <c r="C229" s="1" t="str" cm="1">
        <f t="array" ref="C229">GetURL(B229)</f>
        <v>https://explore-education-statistics.service.gov.uk/find-statistics/apprenticeships-in-england-by-industry-characteristics</v>
      </c>
      <c r="D229" s="1" t="s">
        <v>1186</v>
      </c>
      <c r="E229" s="1" t="s">
        <v>778</v>
      </c>
      <c r="F229" s="1" t="s">
        <v>778</v>
      </c>
      <c r="G229" s="1" t="s">
        <v>778</v>
      </c>
      <c r="H229" s="1" t="s">
        <v>778</v>
      </c>
      <c r="I229" s="1" t="s">
        <v>778</v>
      </c>
      <c r="J229" s="1" t="s">
        <v>778</v>
      </c>
      <c r="K229" s="1" t="s">
        <v>778</v>
      </c>
      <c r="AC229" s="1" t="s">
        <v>778</v>
      </c>
      <c r="DM229" s="1" t="s">
        <v>778</v>
      </c>
      <c r="ZI229" s="1" t="s">
        <v>778</v>
      </c>
      <c r="ZY229" s="1" t="s">
        <v>778</v>
      </c>
      <c r="ZZ229" s="1" t="s">
        <v>778</v>
      </c>
      <c r="AAA229" s="1" t="s">
        <v>778</v>
      </c>
      <c r="AAD229" s="1" t="s">
        <v>778</v>
      </c>
    </row>
    <row r="230" spans="1:780" ht="174" hidden="1" x14ac:dyDescent="0.35">
      <c r="A230" s="1" t="s">
        <v>776</v>
      </c>
      <c r="B230" s="14" t="s">
        <v>1174</v>
      </c>
      <c r="C230" s="1" t="str" cm="1">
        <f t="array" ref="C230">GetURL(B230)</f>
        <v>https://explore-education-statistics.service.gov.uk/find-statistics/apprenticeships-in-england-by-industry-characteristics</v>
      </c>
      <c r="D230" s="1" t="s">
        <v>1187</v>
      </c>
      <c r="E230" s="1" t="s">
        <v>778</v>
      </c>
      <c r="F230" s="1" t="s">
        <v>778</v>
      </c>
      <c r="G230" s="1" t="s">
        <v>778</v>
      </c>
      <c r="H230" s="1" t="s">
        <v>778</v>
      </c>
      <c r="I230" s="1" t="s">
        <v>778</v>
      </c>
      <c r="J230" s="1" t="s">
        <v>778</v>
      </c>
      <c r="K230" s="1" t="s">
        <v>778</v>
      </c>
      <c r="O230" s="1" t="s">
        <v>778</v>
      </c>
      <c r="P230" s="1" t="s">
        <v>778</v>
      </c>
      <c r="DM230" s="1" t="s">
        <v>778</v>
      </c>
      <c r="ZI230" s="1" t="s">
        <v>778</v>
      </c>
      <c r="ZY230" s="1" t="s">
        <v>778</v>
      </c>
      <c r="AAD230" s="1" t="s">
        <v>778</v>
      </c>
    </row>
    <row r="231" spans="1:780" ht="174" hidden="1" x14ac:dyDescent="0.35">
      <c r="A231" s="1" t="s">
        <v>776</v>
      </c>
      <c r="B231" s="14" t="s">
        <v>1174</v>
      </c>
      <c r="C231" s="1" t="str" cm="1">
        <f t="array" ref="C231">GetURL(B231)</f>
        <v>https://explore-education-statistics.service.gov.uk/find-statistics/apprenticeships-in-england-by-industry-characteristics</v>
      </c>
      <c r="D231" s="1" t="s">
        <v>1188</v>
      </c>
      <c r="E231" s="1" t="s">
        <v>778</v>
      </c>
      <c r="F231" s="1" t="s">
        <v>778</v>
      </c>
      <c r="G231" s="1" t="s">
        <v>778</v>
      </c>
      <c r="H231" s="1" t="s">
        <v>778</v>
      </c>
      <c r="I231" s="1" t="s">
        <v>778</v>
      </c>
      <c r="J231" s="1" t="s">
        <v>778</v>
      </c>
      <c r="K231" s="1" t="s">
        <v>778</v>
      </c>
      <c r="Q231" s="1" t="s">
        <v>778</v>
      </c>
      <c r="R231" s="1" t="s">
        <v>778</v>
      </c>
      <c r="DM231" s="1" t="s">
        <v>778</v>
      </c>
      <c r="ZI231" s="1" t="s">
        <v>778</v>
      </c>
      <c r="ZY231" s="1" t="s">
        <v>778</v>
      </c>
      <c r="AAD231" s="1" t="s">
        <v>778</v>
      </c>
    </row>
    <row r="232" spans="1:780" ht="174" hidden="1" x14ac:dyDescent="0.35">
      <c r="A232" s="1" t="s">
        <v>776</v>
      </c>
      <c r="B232" s="14" t="s">
        <v>1174</v>
      </c>
      <c r="C232" s="1" t="str" cm="1">
        <f t="array" ref="C232">GetURL(B232)</f>
        <v>https://explore-education-statistics.service.gov.uk/find-statistics/apprenticeships-in-england-by-industry-characteristics</v>
      </c>
      <c r="D232" s="1" t="s">
        <v>1189</v>
      </c>
      <c r="E232" s="1" t="s">
        <v>778</v>
      </c>
      <c r="F232" s="1" t="s">
        <v>778</v>
      </c>
      <c r="G232" s="1" t="s">
        <v>778</v>
      </c>
      <c r="H232" s="1" t="s">
        <v>778</v>
      </c>
      <c r="I232" s="1" t="s">
        <v>778</v>
      </c>
      <c r="AC232" s="1" t="s">
        <v>778</v>
      </c>
      <c r="AK232" s="1" t="s">
        <v>778</v>
      </c>
      <c r="BD232" s="1" t="s">
        <v>778</v>
      </c>
      <c r="DM232" s="1" t="s">
        <v>778</v>
      </c>
      <c r="ZI232" s="1" t="s">
        <v>778</v>
      </c>
      <c r="ZY232" s="1" t="s">
        <v>778</v>
      </c>
      <c r="AAD232" s="1" t="s">
        <v>778</v>
      </c>
    </row>
    <row r="233" spans="1:780" ht="174" hidden="1" x14ac:dyDescent="0.35">
      <c r="A233" s="1" t="s">
        <v>776</v>
      </c>
      <c r="B233" s="14" t="s">
        <v>1174</v>
      </c>
      <c r="C233" s="1" t="str" cm="1">
        <f t="array" ref="C233">GetURL(B233)</f>
        <v>https://explore-education-statistics.service.gov.uk/find-statistics/apprenticeships-in-england-by-industry-characteristics</v>
      </c>
      <c r="D233" s="1" t="s">
        <v>1190</v>
      </c>
      <c r="E233" s="1" t="s">
        <v>778</v>
      </c>
      <c r="F233" s="1" t="s">
        <v>778</v>
      </c>
      <c r="G233" s="1" t="s">
        <v>778</v>
      </c>
      <c r="H233" s="1" t="s">
        <v>778</v>
      </c>
      <c r="I233" s="1" t="s">
        <v>778</v>
      </c>
      <c r="AC233" s="1" t="s">
        <v>778</v>
      </c>
      <c r="AK233" s="1" t="s">
        <v>778</v>
      </c>
      <c r="AS233" s="1" t="s">
        <v>778</v>
      </c>
      <c r="AY233" s="1" t="s">
        <v>778</v>
      </c>
      <c r="BK233" s="1" t="s">
        <v>778</v>
      </c>
      <c r="BQ233" s="1" t="s">
        <v>778</v>
      </c>
      <c r="DM233" s="1" t="s">
        <v>778</v>
      </c>
      <c r="ZI233" s="1" t="s">
        <v>778</v>
      </c>
      <c r="AAA233" s="1" t="s">
        <v>778</v>
      </c>
      <c r="AAD233" s="1" t="s">
        <v>778</v>
      </c>
    </row>
    <row r="234" spans="1:780" ht="174" hidden="1" x14ac:dyDescent="0.35">
      <c r="A234" s="1" t="s">
        <v>776</v>
      </c>
      <c r="B234" s="14" t="s">
        <v>1174</v>
      </c>
      <c r="C234" s="1" t="str" cm="1">
        <f t="array" ref="C234">GetURL(B234)</f>
        <v>https://explore-education-statistics.service.gov.uk/find-statistics/apprenticeships-in-england-by-industry-characteristics</v>
      </c>
      <c r="D234" s="1" t="s">
        <v>1191</v>
      </c>
      <c r="E234" s="1" t="s">
        <v>778</v>
      </c>
      <c r="F234" s="1" t="s">
        <v>778</v>
      </c>
      <c r="G234" s="1" t="s">
        <v>778</v>
      </c>
      <c r="H234" s="1" t="s">
        <v>778</v>
      </c>
      <c r="I234" s="1" t="s">
        <v>778</v>
      </c>
      <c r="CP234" s="1" t="s">
        <v>778</v>
      </c>
      <c r="ZI234" s="1" t="s">
        <v>778</v>
      </c>
      <c r="AAI234" s="1" t="s">
        <v>778</v>
      </c>
      <c r="AAJ234" s="1" t="s">
        <v>778</v>
      </c>
    </row>
    <row r="235" spans="1:780" ht="145" hidden="1" x14ac:dyDescent="0.35">
      <c r="A235" s="1" t="s">
        <v>776</v>
      </c>
      <c r="B235" s="14" t="s">
        <v>93</v>
      </c>
      <c r="C235" s="1" t="str" cm="1">
        <f t="array" ref="C235">GetURL(B235)</f>
        <v>https://explore-education-statistics.service.gov.uk/find-statistics/skills-bootcamps-outcomes</v>
      </c>
      <c r="D235" s="1" t="s">
        <v>93</v>
      </c>
      <c r="E235" s="1" t="s">
        <v>778</v>
      </c>
      <c r="F235" s="1" t="s">
        <v>778</v>
      </c>
      <c r="G235" s="1" t="s">
        <v>778</v>
      </c>
      <c r="H235" s="1" t="s">
        <v>778</v>
      </c>
      <c r="I235" s="1" t="s">
        <v>778</v>
      </c>
      <c r="TS235" s="1" t="s">
        <v>778</v>
      </c>
      <c r="ZI235" s="1"/>
      <c r="AAK235" s="1" t="s">
        <v>778</v>
      </c>
      <c r="AAL235" s="1" t="s">
        <v>778</v>
      </c>
      <c r="AAM235" s="1" t="s">
        <v>778</v>
      </c>
      <c r="AAN235" s="1" t="s">
        <v>778</v>
      </c>
      <c r="AAO235" s="1" t="s">
        <v>778</v>
      </c>
      <c r="AAP235" s="1" t="s">
        <v>778</v>
      </c>
      <c r="AAQ235" s="1" t="s">
        <v>778</v>
      </c>
    </row>
    <row r="236" spans="1:780" ht="232" hidden="1" x14ac:dyDescent="0.35">
      <c r="A236" s="1" t="s">
        <v>776</v>
      </c>
      <c r="B236" s="14" t="s">
        <v>45</v>
      </c>
      <c r="C236" s="1" t="str" cm="1">
        <f t="array" ref="C236">GetURL(B236)</f>
        <v>https://explore-education-statistics.service.gov.uk/find-statistics/fe-learners-going-into-employment-and-learning-destinations-by-local-authority-district</v>
      </c>
      <c r="D236" s="1" t="s">
        <v>1192</v>
      </c>
      <c r="E236" s="1" t="s">
        <v>778</v>
      </c>
      <c r="F236" s="1" t="s">
        <v>778</v>
      </c>
      <c r="G236" s="1" t="s">
        <v>778</v>
      </c>
      <c r="H236" s="1" t="s">
        <v>778</v>
      </c>
      <c r="I236" s="1" t="s">
        <v>778</v>
      </c>
      <c r="J236" s="1" t="s">
        <v>778</v>
      </c>
      <c r="K236" s="1" t="s">
        <v>778</v>
      </c>
      <c r="O236" s="1" t="s">
        <v>778</v>
      </c>
      <c r="P236" s="1" t="s">
        <v>778</v>
      </c>
      <c r="AL236" s="1" t="s">
        <v>778</v>
      </c>
      <c r="EQ236" s="1" t="s">
        <v>778</v>
      </c>
      <c r="EW236" s="1" t="s">
        <v>778</v>
      </c>
      <c r="NT236" s="1" t="s">
        <v>778</v>
      </c>
      <c r="OR236" s="1" t="s">
        <v>778</v>
      </c>
      <c r="SP236" s="1" t="s">
        <v>778</v>
      </c>
      <c r="XY236" s="1" t="s">
        <v>778</v>
      </c>
      <c r="ZI236" s="1"/>
      <c r="AAR236" s="1" t="s">
        <v>778</v>
      </c>
      <c r="AAS236" s="1" t="s">
        <v>778</v>
      </c>
      <c r="AAT236" s="1" t="s">
        <v>778</v>
      </c>
      <c r="AAU236" s="1" t="s">
        <v>778</v>
      </c>
      <c r="AAV236" s="1" t="s">
        <v>778</v>
      </c>
      <c r="AAW236" s="1" t="s">
        <v>778</v>
      </c>
      <c r="AAX236" s="1" t="s">
        <v>778</v>
      </c>
      <c r="AAY236" s="1" t="s">
        <v>778</v>
      </c>
      <c r="AAZ236" s="1" t="s">
        <v>778</v>
      </c>
      <c r="ABA236" s="1" t="s">
        <v>778</v>
      </c>
      <c r="ABB236" s="1" t="s">
        <v>778</v>
      </c>
      <c r="ABC236" s="1" t="s">
        <v>778</v>
      </c>
      <c r="ABD236" s="1" t="s">
        <v>778</v>
      </c>
      <c r="ABE236" s="1" t="s">
        <v>778</v>
      </c>
      <c r="ABF236" s="1" t="s">
        <v>778</v>
      </c>
      <c r="ABG236" s="1" t="s">
        <v>778</v>
      </c>
      <c r="ABH236" s="1" t="s">
        <v>778</v>
      </c>
      <c r="ABI236" s="1" t="s">
        <v>778</v>
      </c>
      <c r="ABJ236" s="1" t="s">
        <v>778</v>
      </c>
      <c r="ABK236" s="1" t="s">
        <v>778</v>
      </c>
      <c r="ABL236" s="1" t="s">
        <v>778</v>
      </c>
    </row>
    <row r="237" spans="1:780" ht="72.5" hidden="1" customHeight="1" x14ac:dyDescent="0.35">
      <c r="A237" s="1" t="s">
        <v>1193</v>
      </c>
      <c r="B237" s="14" t="s">
        <v>38</v>
      </c>
      <c r="C237" s="1" t="str" cm="1">
        <f t="array" ref="C237">GetURL(B237)</f>
        <v>https://explore-education-statistics.service.gov.uk/find-statistics/employer-skills-survey</v>
      </c>
      <c r="D237" s="1" t="s">
        <v>1194</v>
      </c>
      <c r="E237" s="1" t="s">
        <v>778</v>
      </c>
      <c r="F237" s="1" t="s">
        <v>778</v>
      </c>
      <c r="G237" s="1" t="s">
        <v>778</v>
      </c>
      <c r="H237" s="1" t="s">
        <v>778</v>
      </c>
      <c r="I237" s="1" t="s">
        <v>778</v>
      </c>
      <c r="J237" s="1" t="s">
        <v>778</v>
      </c>
      <c r="K237" s="1" t="s">
        <v>778</v>
      </c>
      <c r="MZ237" s="1" t="s">
        <v>778</v>
      </c>
      <c r="ZI237" s="1" t="s">
        <v>778</v>
      </c>
      <c r="ZM237" s="1" t="s">
        <v>778</v>
      </c>
      <c r="ZY237" s="1" t="s">
        <v>778</v>
      </c>
      <c r="ABM237" s="1" t="s">
        <v>778</v>
      </c>
      <c r="ABN237" s="1" t="s">
        <v>778</v>
      </c>
      <c r="ABO237" s="1" t="s">
        <v>778</v>
      </c>
      <c r="ABP237" s="1" t="s">
        <v>778</v>
      </c>
      <c r="ABQ237" s="1" t="s">
        <v>778</v>
      </c>
      <c r="ABR237" s="1" t="s">
        <v>778</v>
      </c>
      <c r="ABS237" s="1" t="s">
        <v>778</v>
      </c>
      <c r="ABT237" s="1" t="s">
        <v>778</v>
      </c>
      <c r="ABU237" s="1" t="s">
        <v>778</v>
      </c>
      <c r="ABV237" s="1" t="s">
        <v>778</v>
      </c>
      <c r="ABW237" s="1" t="s">
        <v>778</v>
      </c>
      <c r="ABX237" s="1" t="s">
        <v>778</v>
      </c>
      <c r="ABY237" s="1" t="s">
        <v>778</v>
      </c>
      <c r="ABZ237" s="1" t="s">
        <v>778</v>
      </c>
      <c r="ACA237" s="1" t="s">
        <v>778</v>
      </c>
      <c r="ACB237" s="1" t="s">
        <v>778</v>
      </c>
      <c r="ACC237" s="1" t="s">
        <v>778</v>
      </c>
      <c r="ACD237" s="1" t="s">
        <v>778</v>
      </c>
      <c r="ACE237" s="1" t="s">
        <v>778</v>
      </c>
      <c r="ACF237" s="1" t="s">
        <v>778</v>
      </c>
      <c r="ACG237" s="1" t="s">
        <v>778</v>
      </c>
      <c r="ACH237" s="1" t="s">
        <v>778</v>
      </c>
      <c r="ACI237" s="1" t="s">
        <v>778</v>
      </c>
      <c r="ACJ237" s="1" t="s">
        <v>778</v>
      </c>
      <c r="ACK237" s="1" t="s">
        <v>778</v>
      </c>
      <c r="ACL237" s="1" t="s">
        <v>778</v>
      </c>
      <c r="ACM237" s="1" t="s">
        <v>778</v>
      </c>
    </row>
    <row r="238" spans="1:780" ht="66.5" hidden="1" customHeight="1" x14ac:dyDescent="0.35">
      <c r="A238" s="1" t="s">
        <v>1193</v>
      </c>
      <c r="B238" s="14" t="s">
        <v>38</v>
      </c>
      <c r="C238" s="1" t="str" cm="1">
        <f t="array" ref="C238">GetURL(B238)</f>
        <v>https://explore-education-statistics.service.gov.uk/find-statistics/employer-skills-survey</v>
      </c>
      <c r="D238" s="1" t="s">
        <v>1195</v>
      </c>
      <c r="E238" s="1" t="s">
        <v>778</v>
      </c>
      <c r="F238" s="1" t="s">
        <v>778</v>
      </c>
      <c r="G238" s="1" t="s">
        <v>778</v>
      </c>
      <c r="H238" s="1" t="s">
        <v>778</v>
      </c>
      <c r="I238" s="1" t="s">
        <v>778</v>
      </c>
      <c r="J238" s="1" t="s">
        <v>778</v>
      </c>
      <c r="K238" s="1" t="s">
        <v>778</v>
      </c>
      <c r="ZI238" s="1" t="s">
        <v>778</v>
      </c>
      <c r="ZM238" s="1" t="s">
        <v>778</v>
      </c>
      <c r="ZY238" s="1" t="s">
        <v>778</v>
      </c>
      <c r="ABZ238" s="1" t="s">
        <v>778</v>
      </c>
      <c r="ACN238" s="1" t="s">
        <v>778</v>
      </c>
      <c r="ACO238" s="1" t="s">
        <v>778</v>
      </c>
      <c r="ACP238" s="1" t="s">
        <v>778</v>
      </c>
      <c r="ACQ238" s="1" t="s">
        <v>778</v>
      </c>
      <c r="ACR238" s="1" t="s">
        <v>778</v>
      </c>
      <c r="ACS238" s="1" t="s">
        <v>778</v>
      </c>
    </row>
    <row r="239" spans="1:780" ht="63.5" hidden="1" customHeight="1" x14ac:dyDescent="0.35">
      <c r="A239" s="1" t="s">
        <v>1193</v>
      </c>
      <c r="B239" s="14" t="s">
        <v>38</v>
      </c>
      <c r="C239" s="1" t="str" cm="1">
        <f t="array" ref="C239">GetURL(B239)</f>
        <v>https://explore-education-statistics.service.gov.uk/find-statistics/employer-skills-survey</v>
      </c>
      <c r="D239" s="1" t="s">
        <v>1196</v>
      </c>
      <c r="E239" s="1" t="s">
        <v>778</v>
      </c>
      <c r="F239" s="1" t="s">
        <v>778</v>
      </c>
      <c r="G239" s="1" t="s">
        <v>778</v>
      </c>
      <c r="H239" s="1" t="s">
        <v>778</v>
      </c>
      <c r="I239" s="1" t="s">
        <v>778</v>
      </c>
      <c r="ZI239" s="1" t="s">
        <v>778</v>
      </c>
      <c r="ABV239" s="1" t="s">
        <v>778</v>
      </c>
      <c r="ABW239" s="1" t="s">
        <v>778</v>
      </c>
      <c r="ABX239" s="1" t="s">
        <v>778</v>
      </c>
      <c r="ACH239" s="1" t="s">
        <v>778</v>
      </c>
      <c r="ACI239" s="1" t="s">
        <v>778</v>
      </c>
      <c r="ACT239" s="1" t="s">
        <v>778</v>
      </c>
      <c r="ACU239" s="1" t="s">
        <v>778</v>
      </c>
      <c r="ACV239" s="1" t="s">
        <v>778</v>
      </c>
      <c r="ACW239" s="1" t="s">
        <v>778</v>
      </c>
      <c r="ACX239" s="1" t="s">
        <v>778</v>
      </c>
    </row>
    <row r="240" spans="1:780" ht="74.5" hidden="1" customHeight="1" x14ac:dyDescent="0.35">
      <c r="A240" s="1" t="s">
        <v>1193</v>
      </c>
      <c r="B240" s="14" t="s">
        <v>35</v>
      </c>
      <c r="C240" s="1" t="str" cm="1">
        <f t="array" ref="C240">GetURL(B240)</f>
        <v>https://explore-education-statistics.service.gov.uk/find-statistics/education-and-training-statistics-for-the-uk/2022</v>
      </c>
      <c r="D240" s="1" t="s">
        <v>1197</v>
      </c>
      <c r="E240" s="1" t="s">
        <v>778</v>
      </c>
      <c r="F240" s="1" t="s">
        <v>778</v>
      </c>
      <c r="G240" s="1" t="s">
        <v>778</v>
      </c>
      <c r="H240" s="1" t="s">
        <v>778</v>
      </c>
      <c r="I240" s="1" t="s">
        <v>778</v>
      </c>
      <c r="J240" s="1" t="s">
        <v>778</v>
      </c>
      <c r="K240" s="1" t="s">
        <v>778</v>
      </c>
      <c r="ZI240" s="1"/>
      <c r="ACY240" s="1" t="s">
        <v>778</v>
      </c>
      <c r="ACZ240" s="1" t="s">
        <v>778</v>
      </c>
    </row>
    <row r="241" spans="1:801" ht="61.5" hidden="1" customHeight="1" x14ac:dyDescent="0.35">
      <c r="A241" s="1" t="s">
        <v>1193</v>
      </c>
      <c r="B241" s="14" t="s">
        <v>35</v>
      </c>
      <c r="C241" s="1" t="str" cm="1">
        <f t="array" ref="C241">GetURL(B241)</f>
        <v>https://explore-education-statistics.service.gov.uk/find-statistics/education-and-training-statistics-for-the-uk/2022</v>
      </c>
      <c r="D241" s="1" t="s">
        <v>1198</v>
      </c>
      <c r="E241" s="1" t="s">
        <v>778</v>
      </c>
      <c r="F241" s="1" t="s">
        <v>778</v>
      </c>
      <c r="G241" s="1" t="s">
        <v>778</v>
      </c>
      <c r="H241" s="1" t="s">
        <v>778</v>
      </c>
      <c r="I241" s="1" t="s">
        <v>778</v>
      </c>
      <c r="J241" s="1" t="s">
        <v>778</v>
      </c>
      <c r="K241" s="1" t="s">
        <v>778</v>
      </c>
      <c r="AS241" s="1" t="s">
        <v>778</v>
      </c>
      <c r="AY241" s="1" t="s">
        <v>778</v>
      </c>
      <c r="VO241" s="1" t="s">
        <v>778</v>
      </c>
      <c r="ZI241" s="1"/>
      <c r="ACY241" s="1" t="s">
        <v>778</v>
      </c>
    </row>
    <row r="242" spans="1:801" ht="68.5" hidden="1" customHeight="1" x14ac:dyDescent="0.35">
      <c r="A242" s="1" t="s">
        <v>1193</v>
      </c>
      <c r="B242" s="14" t="s">
        <v>35</v>
      </c>
      <c r="C242" s="1" t="str" cm="1">
        <f t="array" ref="C242">GetURL(B242)</f>
        <v>https://explore-education-statistics.service.gov.uk/find-statistics/education-and-training-statistics-for-the-uk/2022</v>
      </c>
      <c r="D242" s="1" t="s">
        <v>1199</v>
      </c>
      <c r="E242" s="1" t="s">
        <v>778</v>
      </c>
      <c r="F242" s="1" t="s">
        <v>778</v>
      </c>
      <c r="G242" s="1" t="s">
        <v>778</v>
      </c>
      <c r="H242" s="1" t="s">
        <v>778</v>
      </c>
      <c r="I242" s="1" t="s">
        <v>778</v>
      </c>
      <c r="J242" s="1" t="s">
        <v>778</v>
      </c>
      <c r="K242" s="1" t="s">
        <v>778</v>
      </c>
      <c r="AY242" s="1" t="s">
        <v>778</v>
      </c>
      <c r="ZI242" s="1"/>
      <c r="ACY242" s="1" t="s">
        <v>778</v>
      </c>
      <c r="ADA242" s="1" t="s">
        <v>778</v>
      </c>
    </row>
    <row r="243" spans="1:801" ht="66.5" hidden="1" customHeight="1" x14ac:dyDescent="0.35">
      <c r="A243" s="1" t="s">
        <v>1193</v>
      </c>
      <c r="B243" s="14" t="s">
        <v>35</v>
      </c>
      <c r="C243" s="1" t="str" cm="1">
        <f t="array" ref="C243">GetURL(B243)</f>
        <v>https://explore-education-statistics.service.gov.uk/find-statistics/education-and-training-statistics-for-the-uk/2022</v>
      </c>
      <c r="D243" s="12" t="s">
        <v>1200</v>
      </c>
      <c r="E243" s="1" t="s">
        <v>778</v>
      </c>
      <c r="F243" s="1" t="s">
        <v>778</v>
      </c>
      <c r="G243" s="1" t="s">
        <v>778</v>
      </c>
      <c r="H243" s="1" t="s">
        <v>778</v>
      </c>
      <c r="I243" s="1" t="s">
        <v>778</v>
      </c>
      <c r="J243" s="1" t="s">
        <v>778</v>
      </c>
      <c r="K243" s="1" t="s">
        <v>778</v>
      </c>
      <c r="ZI243" s="1"/>
      <c r="ACY243" s="1" t="s">
        <v>778</v>
      </c>
      <c r="ADB243" s="1" t="s">
        <v>778</v>
      </c>
    </row>
    <row r="244" spans="1:801" ht="67" hidden="1" customHeight="1" x14ac:dyDescent="0.35">
      <c r="A244" s="1" t="s">
        <v>1193</v>
      </c>
      <c r="B244" s="14" t="s">
        <v>35</v>
      </c>
      <c r="C244" s="1" t="str" cm="1">
        <f t="array" ref="C244">GetURL(B244)</f>
        <v>https://explore-education-statistics.service.gov.uk/find-statistics/education-and-training-statistics-for-the-uk/2022</v>
      </c>
      <c r="D244" s="12" t="s">
        <v>1201</v>
      </c>
      <c r="E244" s="1" t="s">
        <v>778</v>
      </c>
      <c r="F244" s="1" t="s">
        <v>778</v>
      </c>
      <c r="G244" s="1" t="s">
        <v>778</v>
      </c>
      <c r="H244" s="1" t="s">
        <v>778</v>
      </c>
      <c r="I244" s="1" t="s">
        <v>778</v>
      </c>
      <c r="AS244" s="1" t="s">
        <v>778</v>
      </c>
      <c r="AY244" s="1" t="s">
        <v>778</v>
      </c>
      <c r="JQ244" s="1" t="s">
        <v>778</v>
      </c>
      <c r="ZI244" s="1"/>
      <c r="ADC244" s="1" t="s">
        <v>778</v>
      </c>
    </row>
    <row r="245" spans="1:801" ht="68.5" hidden="1" customHeight="1" x14ac:dyDescent="0.35">
      <c r="A245" s="1" t="s">
        <v>1193</v>
      </c>
      <c r="B245" s="14" t="s">
        <v>35</v>
      </c>
      <c r="C245" s="1" t="str" cm="1">
        <f t="array" ref="C245">GetURL(B245)</f>
        <v>https://explore-education-statistics.service.gov.uk/find-statistics/education-and-training-statistics-for-the-uk/2022</v>
      </c>
      <c r="D245" s="12" t="s">
        <v>1202</v>
      </c>
      <c r="E245" s="1" t="s">
        <v>778</v>
      </c>
      <c r="F245" s="1" t="s">
        <v>778</v>
      </c>
      <c r="G245" s="1" t="s">
        <v>778</v>
      </c>
      <c r="H245" s="1" t="s">
        <v>778</v>
      </c>
      <c r="I245" s="1" t="s">
        <v>778</v>
      </c>
      <c r="AK245" s="1" t="s">
        <v>778</v>
      </c>
      <c r="AY245" s="1" t="s">
        <v>778</v>
      </c>
      <c r="BH245" s="1" t="s">
        <v>778</v>
      </c>
      <c r="JQ245" s="1" t="s">
        <v>778</v>
      </c>
      <c r="TB245" s="1" t="s">
        <v>778</v>
      </c>
      <c r="ZI245" s="1"/>
      <c r="ADC245" s="1" t="s">
        <v>778</v>
      </c>
    </row>
    <row r="246" spans="1:801" ht="71.5" hidden="1" customHeight="1" x14ac:dyDescent="0.35">
      <c r="A246" s="1" t="s">
        <v>1193</v>
      </c>
      <c r="B246" s="14" t="s">
        <v>35</v>
      </c>
      <c r="C246" s="1" t="str" cm="1">
        <f t="array" ref="C246">GetURL(B246)</f>
        <v>https://explore-education-statistics.service.gov.uk/find-statistics/education-and-training-statistics-for-the-uk/2022</v>
      </c>
      <c r="D246" s="2" t="s">
        <v>1203</v>
      </c>
      <c r="E246" s="1" t="s">
        <v>778</v>
      </c>
      <c r="F246" s="1" t="s">
        <v>778</v>
      </c>
      <c r="G246" s="1" t="s">
        <v>778</v>
      </c>
      <c r="H246" s="1" t="s">
        <v>778</v>
      </c>
      <c r="I246" s="1" t="s">
        <v>778</v>
      </c>
      <c r="FF246" s="1" t="s">
        <v>778</v>
      </c>
      <c r="ZI246" s="1"/>
      <c r="ADD246" s="1" t="s">
        <v>778</v>
      </c>
    </row>
    <row r="247" spans="1:801" ht="87" hidden="1" customHeight="1" x14ac:dyDescent="0.35">
      <c r="A247" s="1" t="s">
        <v>1193</v>
      </c>
      <c r="B247" s="14" t="s">
        <v>35</v>
      </c>
      <c r="C247" s="1" t="str" cm="1">
        <f t="array" ref="C247">GetURL(B247)</f>
        <v>https://explore-education-statistics.service.gov.uk/find-statistics/education-and-training-statistics-for-the-uk/2022</v>
      </c>
      <c r="D247" s="1" t="s">
        <v>1204</v>
      </c>
      <c r="E247" s="1" t="s">
        <v>778</v>
      </c>
      <c r="F247" s="1" t="s">
        <v>778</v>
      </c>
      <c r="G247" s="1" t="s">
        <v>778</v>
      </c>
      <c r="H247" s="1" t="s">
        <v>778</v>
      </c>
      <c r="I247" s="1" t="s">
        <v>778</v>
      </c>
      <c r="AQ247" s="1" t="s">
        <v>778</v>
      </c>
      <c r="AS247" s="1" t="s">
        <v>778</v>
      </c>
      <c r="AY247" s="1" t="s">
        <v>778</v>
      </c>
      <c r="JS247" s="1" t="s">
        <v>778</v>
      </c>
      <c r="ZI247" s="1"/>
      <c r="ADE247" s="1" t="s">
        <v>778</v>
      </c>
      <c r="ADF247" s="1" t="s">
        <v>778</v>
      </c>
      <c r="ADG247" s="1" t="s">
        <v>778</v>
      </c>
      <c r="ADH247" s="1" t="s">
        <v>778</v>
      </c>
    </row>
    <row r="248" spans="1:801" ht="79" hidden="1" customHeight="1" x14ac:dyDescent="0.35">
      <c r="A248" s="1" t="s">
        <v>1193</v>
      </c>
      <c r="B248" s="14" t="s">
        <v>35</v>
      </c>
      <c r="C248" s="1" t="str" cm="1">
        <f t="array" ref="C248">GetURL(B248)</f>
        <v>https://explore-education-statistics.service.gov.uk/find-statistics/education-and-training-statistics-for-the-uk/2022</v>
      </c>
      <c r="D248" s="1" t="s">
        <v>1205</v>
      </c>
      <c r="E248" s="1" t="s">
        <v>778</v>
      </c>
      <c r="F248" s="1" t="s">
        <v>778</v>
      </c>
      <c r="G248" s="1" t="s">
        <v>778</v>
      </c>
      <c r="H248" s="1" t="s">
        <v>778</v>
      </c>
      <c r="I248" s="1" t="s">
        <v>778</v>
      </c>
      <c r="AS248" s="1" t="s">
        <v>778</v>
      </c>
      <c r="AY248" s="1" t="s">
        <v>778</v>
      </c>
      <c r="ZI248" s="1"/>
      <c r="ADI248" s="1" t="s">
        <v>778</v>
      </c>
      <c r="ADJ248" s="1" t="s">
        <v>778</v>
      </c>
      <c r="ADK248" s="1" t="s">
        <v>778</v>
      </c>
      <c r="ADL248" s="1" t="s">
        <v>778</v>
      </c>
      <c r="ADM248" s="1" t="s">
        <v>778</v>
      </c>
      <c r="ADN248" s="1" t="s">
        <v>778</v>
      </c>
      <c r="ADO248" s="1" t="s">
        <v>778</v>
      </c>
    </row>
    <row r="249" spans="1:801" ht="77.5" hidden="1" customHeight="1" x14ac:dyDescent="0.35">
      <c r="A249" s="1" t="s">
        <v>1193</v>
      </c>
      <c r="B249" s="14" t="s">
        <v>35</v>
      </c>
      <c r="C249" s="1" t="str" cm="1">
        <f t="array" ref="C249">GetURL(B249)</f>
        <v>https://explore-education-statistics.service.gov.uk/find-statistics/education-and-training-statistics-for-the-uk/2022</v>
      </c>
      <c r="D249" s="1" t="s">
        <v>1206</v>
      </c>
      <c r="E249" s="1" t="s">
        <v>778</v>
      </c>
      <c r="F249" s="1" t="s">
        <v>778</v>
      </c>
      <c r="G249" s="1" t="s">
        <v>778</v>
      </c>
      <c r="H249" s="1" t="s">
        <v>778</v>
      </c>
      <c r="I249" s="1" t="s">
        <v>778</v>
      </c>
      <c r="ZI249" s="1"/>
      <c r="ADP249" s="1" t="s">
        <v>778</v>
      </c>
      <c r="ADQ249" s="1" t="s">
        <v>778</v>
      </c>
      <c r="ADR249" s="1" t="s">
        <v>778</v>
      </c>
      <c r="ADS249" s="1" t="s">
        <v>778</v>
      </c>
      <c r="ADT249" s="1" t="s">
        <v>778</v>
      </c>
      <c r="ADU249" s="1" t="s">
        <v>778</v>
      </c>
    </row>
  </sheetData>
  <autoFilter ref="A3:ADU249" xr:uid="{285CA042-D901-4F09-9065-7EBCA57D080E}">
    <filterColumn colId="645">
      <customFilters>
        <customFilter operator="notEqual" val=" "/>
      </customFilters>
    </filterColumn>
  </autoFilter>
  <conditionalFormatting sqref="A2:XFD2">
    <cfRule type="cellIs" dxfId="1" priority="1" operator="equal">
      <formula>"multiple"</formula>
    </cfRule>
    <cfRule type="cellIs" dxfId="0" priority="2" operator="equal">
      <formula>"No match"</formula>
    </cfRule>
  </conditionalFormatting>
  <hyperlinks>
    <hyperlink ref="B4" r:id="rId1" xr:uid="{CC4B56ED-D31C-42DC-B2F9-942F3BB56173}"/>
    <hyperlink ref="B5" r:id="rId2" xr:uid="{0BBC4EEB-38F4-4A84-B783-363D9EAC7AA4}"/>
    <hyperlink ref="B6" r:id="rId3" xr:uid="{DF127B6A-A0D1-4CA8-8779-9568C8738BB9}"/>
    <hyperlink ref="B7" r:id="rId4" xr:uid="{0A435C3F-1537-4CFA-96EC-59B860B409A1}"/>
    <hyperlink ref="B8" r:id="rId5" xr:uid="{C81D9C44-CF0B-441E-909F-92FA6B600C6F}"/>
    <hyperlink ref="B9" r:id="rId6" xr:uid="{0BC3FE14-46D2-4C39-91B3-F00BBAF73AD0}"/>
    <hyperlink ref="B10" r:id="rId7" xr:uid="{C57C1123-B797-48F2-B49C-5AAF8F905021}"/>
    <hyperlink ref="B11" r:id="rId8" xr:uid="{05920D29-617F-4840-8316-47F717CE4605}"/>
    <hyperlink ref="B12" r:id="rId9" xr:uid="{84A983E1-D0A3-4AE8-A815-3BDBE074C12B}"/>
    <hyperlink ref="B13" r:id="rId10" xr:uid="{E9F933A1-1AB1-4C38-8124-A6553AF082DC}"/>
    <hyperlink ref="B14" r:id="rId11" xr:uid="{A5079CC8-A82C-4EF3-93A2-786AFB7BA096}"/>
    <hyperlink ref="B15" r:id="rId12" xr:uid="{19AC1792-3FCB-46DB-91E5-E9761D48E275}"/>
    <hyperlink ref="B16" r:id="rId13" xr:uid="{3AAF40A7-AA71-4C3B-B455-2E46F86AAFD9}"/>
    <hyperlink ref="B17" r:id="rId14" xr:uid="{BBCC858A-800E-44F3-8EBF-27B13699EACC}"/>
    <hyperlink ref="B18" r:id="rId15" xr:uid="{B4A34FC0-9B11-421E-939C-AB4F7B458C90}"/>
    <hyperlink ref="B19" r:id="rId16" xr:uid="{40BAF603-EE39-4B3B-A391-3A504FA5C67C}"/>
    <hyperlink ref="B20" r:id="rId17" xr:uid="{F6BA3B64-2547-4B90-9A2F-B45A6EEFD99F}"/>
    <hyperlink ref="B21" r:id="rId18" xr:uid="{ADC687C5-E917-423B-A7C0-17D7A78DCFB6}"/>
    <hyperlink ref="B22" r:id="rId19" xr:uid="{71B15CA0-0385-42CE-A76D-EE49B8BC957B}"/>
    <hyperlink ref="B23" r:id="rId20" xr:uid="{B00C200B-1196-4FBA-9E9C-8B36931A5F4A}"/>
    <hyperlink ref="B24" r:id="rId21" xr:uid="{34F31755-83EF-4F01-BFB6-290DF6FB7198}"/>
    <hyperlink ref="B25" r:id="rId22" xr:uid="{6ECA8C26-32AC-4C66-B13C-F369E83EFAEE}"/>
    <hyperlink ref="B26" r:id="rId23" xr:uid="{0042F959-0403-45C0-B598-FC16F101796E}"/>
    <hyperlink ref="B27" r:id="rId24" xr:uid="{E44651E6-CF45-4C98-8706-EA69E828E28D}"/>
    <hyperlink ref="B28" r:id="rId25" xr:uid="{20BCF719-8256-425F-A679-4557172CE5AB}"/>
    <hyperlink ref="B29" r:id="rId26" xr:uid="{24FD83B2-467F-4532-9C4E-9E61BDAB5F87}"/>
    <hyperlink ref="B30" r:id="rId27" xr:uid="{E50687EE-6C17-43FC-89A3-C423E7B1455B}"/>
    <hyperlink ref="B31" r:id="rId28" xr:uid="{D28F2B8D-A856-4B3C-B6DC-3E1191880781}"/>
    <hyperlink ref="B32" r:id="rId29" xr:uid="{BE4BA8D9-FB2C-410A-BD89-7DF3E22804DE}"/>
    <hyperlink ref="B33" r:id="rId30" xr:uid="{57FB34C4-3235-424C-BA1B-79A618C3BE6A}"/>
    <hyperlink ref="B34" r:id="rId31" xr:uid="{258ACC99-6588-40A4-B2B7-61781E2E519E}"/>
    <hyperlink ref="B35" r:id="rId32" xr:uid="{86D43996-1645-4C68-9184-C6F4419AC062}"/>
    <hyperlink ref="B36" r:id="rId33" xr:uid="{D4CAB939-75C0-4CCE-88E9-2CA041CFCED8}"/>
    <hyperlink ref="B37" r:id="rId34" xr:uid="{E77211FF-1660-4D23-9012-675BFE849B5E}"/>
    <hyperlink ref="B38" r:id="rId35" xr:uid="{B39D67FF-9AD4-44EB-B074-FF5DE8BD60E0}"/>
    <hyperlink ref="B39" r:id="rId36" xr:uid="{03F78222-29CF-4171-A100-9493F1E43439}"/>
    <hyperlink ref="B40" r:id="rId37" xr:uid="{962CDF23-742F-455E-BF97-692B1A05A4CE}"/>
    <hyperlink ref="B41" r:id="rId38" xr:uid="{C57FBC7E-2313-419E-8096-F75D4FF37B17}"/>
    <hyperlink ref="B42" r:id="rId39" xr:uid="{AA1CD0B5-89DA-4E74-9451-85C13A149E21}"/>
    <hyperlink ref="B43" r:id="rId40" xr:uid="{5FB39A38-4538-4962-9CA4-F74C5906FD5B}"/>
    <hyperlink ref="B44" r:id="rId41" xr:uid="{514B248A-DAB1-4B5A-B48C-95B4BB1DEDCA}"/>
    <hyperlink ref="B45" r:id="rId42" xr:uid="{3C1841BF-06DB-48D8-A67A-9F7C8E70FAD6}"/>
    <hyperlink ref="B46" r:id="rId43" xr:uid="{06796364-CD59-4C58-8A0E-C3AF3B38A23D}"/>
    <hyperlink ref="B47" r:id="rId44" xr:uid="{AC8D0922-C8D6-4D5C-B413-D4140128567E}"/>
    <hyperlink ref="B48:B81" r:id="rId45" display="Further Education and skills" xr:uid="{2530B1EC-870D-482F-B30B-73EEB66D7896}"/>
    <hyperlink ref="B82" r:id="rId46" xr:uid="{9A1A29CD-5C25-4990-91FF-5DA18329957E}"/>
    <hyperlink ref="B83" r:id="rId47" xr:uid="{B36EFFE7-163A-4ABC-A741-952301F7D16D}"/>
    <hyperlink ref="B84" r:id="rId48" xr:uid="{5191DF8D-418F-468E-8D18-C04E4C91B81E}"/>
    <hyperlink ref="B85" r:id="rId49" xr:uid="{02F267A1-3D99-434C-83A8-5E68C55636D3}"/>
    <hyperlink ref="B86" r:id="rId50" xr:uid="{A815B983-C05D-4B1A-9CE0-9D603C73095A}"/>
    <hyperlink ref="B87" r:id="rId51" xr:uid="{8415CD3B-03F7-4510-816B-67A9FE3B975F}"/>
    <hyperlink ref="B88" r:id="rId52" xr:uid="{7DE4DAA9-94E9-49F3-8257-10D893AD3C51}"/>
    <hyperlink ref="B89" r:id="rId53" xr:uid="{5927FB1D-5B12-4E07-8C24-89B65DBC07C4}"/>
    <hyperlink ref="B90" r:id="rId54" xr:uid="{0C12920C-0BE1-4AF2-B61C-8D9631D9D686}"/>
    <hyperlink ref="B91" r:id="rId55" xr:uid="{9DE7D6B9-3138-4E2F-8FD0-017025061AD1}"/>
    <hyperlink ref="B92" r:id="rId56" xr:uid="{F42D9911-EDC9-4B8F-BD11-7414418E945C}"/>
    <hyperlink ref="B93" r:id="rId57" xr:uid="{A86C9E73-E074-4208-A6AE-E5B2E8DC1127}"/>
    <hyperlink ref="B94" r:id="rId58" xr:uid="{397C63C5-941F-4C31-AC05-1C83A9EDDA8F}"/>
    <hyperlink ref="B95" r:id="rId59" xr:uid="{ABD3D779-138B-441F-8FB7-E0BF05AAECD8}"/>
    <hyperlink ref="B96" r:id="rId60" xr:uid="{66A35EE4-B3C0-4E03-AA76-6F20AC165389}"/>
    <hyperlink ref="B97" r:id="rId61" xr:uid="{D9931551-E04B-4581-8D3D-EC9510A7C6C1}"/>
    <hyperlink ref="B98" r:id="rId62" xr:uid="{21B63B45-F3A7-465E-8791-DEF7F4D45C9E}"/>
    <hyperlink ref="B99" r:id="rId63" xr:uid="{74154F48-8F75-43B3-BD3F-A320D8FDB7C0}"/>
    <hyperlink ref="B100" r:id="rId64" xr:uid="{3CA9B46A-D07C-4D4C-AB78-40FE7AC87F6E}"/>
    <hyperlink ref="B101" r:id="rId65" xr:uid="{EDB82877-7565-465F-AA69-DC0CC436A511}"/>
    <hyperlink ref="B102" r:id="rId66" xr:uid="{304B9AA3-BAED-4521-82C5-294AFBB4F592}"/>
    <hyperlink ref="B103" r:id="rId67" xr:uid="{05EAA4F7-20D5-44E6-98F0-8CED07FD3CC4}"/>
    <hyperlink ref="B104" r:id="rId68" xr:uid="{D991522C-65CD-473D-BAB9-72797280B7A4}"/>
    <hyperlink ref="B105" r:id="rId69" xr:uid="{B01CFCCC-8C07-4BA3-9628-52E5B079F131}"/>
    <hyperlink ref="B106" r:id="rId70" xr:uid="{84714436-4A6D-446E-8913-3A9A371C3034}"/>
    <hyperlink ref="B107" r:id="rId71" xr:uid="{57596A06-CD57-4283-B1BE-117A2E128DB7}"/>
    <hyperlink ref="B108" r:id="rId72" xr:uid="{A74BA6DC-6CFD-40EE-9055-232F1D934BFB}"/>
    <hyperlink ref="B109" r:id="rId73" xr:uid="{0B3754BE-0420-4D7D-8B30-BE5334346B30}"/>
    <hyperlink ref="B110" r:id="rId74" xr:uid="{8C0B708D-98A0-4086-AD52-A9C87290B972}"/>
    <hyperlink ref="B111" r:id="rId75" xr:uid="{CCAFF01A-2586-4A7C-A597-6C0ABBFDEE5B}"/>
    <hyperlink ref="B112" r:id="rId76" xr:uid="{CAD82EA7-EDD2-470E-95B3-A19FF2BA6EB9}"/>
    <hyperlink ref="B113" r:id="rId77" xr:uid="{55A3A489-0CB3-4020-9578-FA0CFD3DD691}"/>
    <hyperlink ref="B114" r:id="rId78" xr:uid="{7132DAB9-435E-4B22-ACB0-3A14E265C2F5}"/>
    <hyperlink ref="B115" r:id="rId79" xr:uid="{D2F06477-DBC4-4154-A6B8-2B1814B85F0F}"/>
    <hyperlink ref="B116" r:id="rId80" xr:uid="{824A85ED-6204-4029-AB16-951D5D2648CF}"/>
    <hyperlink ref="B117" r:id="rId81" xr:uid="{9957B4F1-222A-4B6D-9A13-F3E7BEBF8BB4}"/>
    <hyperlink ref="B118" r:id="rId82" xr:uid="{19CFD212-3E19-4343-A876-E214855C44EA}"/>
    <hyperlink ref="B119" r:id="rId83" xr:uid="{4802B1F0-F839-4CB3-8DA7-5D6C10A9F5BB}"/>
    <hyperlink ref="B120" r:id="rId84" xr:uid="{117796E6-6BB5-4D12-A760-829B2E4FC6E3}"/>
    <hyperlink ref="B121:B122" r:id="rId85" display="Progression to higher education or training" xr:uid="{B63EEEE9-A0AC-4573-A656-573D434F713A}"/>
    <hyperlink ref="B123" r:id="rId86" xr:uid="{D241E9A9-9D86-4027-B7BD-29E454A7FB1E}"/>
    <hyperlink ref="B124:B125" r:id="rId87" display="Longer term destinations" xr:uid="{AF0DA11F-0AAA-43B8-9373-CF1506642CAC}"/>
    <hyperlink ref="B126" r:id="rId88" xr:uid="{26D4BFAC-2177-4239-82B5-47C841C6B0AC}"/>
    <hyperlink ref="B213" r:id="rId89" xr:uid="{AE4C5B6C-5F80-4B3A-8D55-B69A82AAC351}"/>
    <hyperlink ref="B214:B217" r:id="rId90" display="Career pathways: post-16 qualifications held by employees" xr:uid="{FA10088E-693F-4605-BF0C-160F3C0ED966}"/>
    <hyperlink ref="B240" r:id="rId91" xr:uid="{9739CD42-F7FB-4628-B3F2-DB58A0365910}"/>
    <hyperlink ref="B241:B249" r:id="rId92" display="Education and training statistics for the UK" xr:uid="{B6C6331C-47B0-4FC7-AA76-9FE199BA34B6}"/>
    <hyperlink ref="B237" r:id="rId93" xr:uid="{6FB9FE95-40BB-4702-A627-506254CBF1B7}"/>
    <hyperlink ref="B238:B239" r:id="rId94" display="Employer Skills Survey" xr:uid="{8CB31C40-DEBA-40A2-A6D0-DF048C4341F5}"/>
    <hyperlink ref="B236" r:id="rId95" xr:uid="{7F5C1836-C79A-4A15-B5B0-E5414A63E5DE}"/>
    <hyperlink ref="B139" r:id="rId96" xr:uid="{DBF24A0F-3698-48BB-8FE1-B74FE09B337C}"/>
    <hyperlink ref="B235" r:id="rId97" xr:uid="{8BB45F86-3C55-46A4-A617-7C26E002CC4D}"/>
    <hyperlink ref="B209" r:id="rId98" xr:uid="{AC351C29-106C-4962-A556-E61D4D294F3B}"/>
    <hyperlink ref="B155" r:id="rId99" xr:uid="{22728F27-23C1-4E7D-A9F0-646D2EDCDEED}"/>
    <hyperlink ref="B156:B167" r:id="rId100" display="Widening participation in higher education" xr:uid="{E5B9860B-951E-4297-A834-85DB25023799}"/>
    <hyperlink ref="B127" r:id="rId101" xr:uid="{EAE986E5-D546-47F0-9261-86420BAFBB9C}"/>
    <hyperlink ref="B128" r:id="rId102" xr:uid="{2E8D811F-ECE1-4C2C-905B-F26ABC0D4A12}"/>
    <hyperlink ref="B129" r:id="rId103" xr:uid="{557501A4-0303-42D1-8DD2-FD428FDE80A8}"/>
    <hyperlink ref="B130:B138" r:id="rId104" display="Participation measures in higher education" xr:uid="{4045BCAA-5019-4AB6-9331-676907A5E265}"/>
    <hyperlink ref="B218" r:id="rId105" xr:uid="{D84244AF-1E7E-459A-8807-8E8C9867FAFE}"/>
    <hyperlink ref="B219:B234" r:id="rId106" display="Apprenticeships in England by industry characteristics" xr:uid="{261AB576-E6D3-4092-9206-AF258939FA71}"/>
  </hyperlinks>
  <pageMargins left="0.7" right="0.7" top="0.75" bottom="0.75" header="0.3" footer="0.3"/>
  <pageSetup paperSize="9" orientation="portrait" r:id="rId107"/>
  <legacyDrawing r:id="rId10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39122-C993-44C4-B202-20AA6116B852}">
  <dimension ref="A1:D802"/>
  <sheetViews>
    <sheetView workbookViewId="0">
      <selection activeCell="D1" sqref="D1"/>
    </sheetView>
  </sheetViews>
  <sheetFormatPr defaultColWidth="33.81640625" defaultRowHeight="14.5" x14ac:dyDescent="0.35"/>
  <sheetData>
    <row r="1" spans="1:4" x14ac:dyDescent="0.35">
      <c r="C1" t="s">
        <v>2712</v>
      </c>
      <c r="D1" t="s">
        <v>2339</v>
      </c>
    </row>
    <row r="2" spans="1:4" x14ac:dyDescent="0.35">
      <c r="C2" t="s">
        <v>136</v>
      </c>
      <c r="D2">
        <f>COUNTIF(C:C,C2)</f>
        <v>1</v>
      </c>
    </row>
    <row r="3" spans="1:4" x14ac:dyDescent="0.35">
      <c r="C3" t="s">
        <v>1800</v>
      </c>
      <c r="D3">
        <f t="shared" ref="D3:D66" si="0">COUNTIF(C:C,C3)</f>
        <v>1</v>
      </c>
    </row>
    <row r="4" spans="1:4" x14ac:dyDescent="0.35">
      <c r="C4" t="s">
        <v>2587</v>
      </c>
      <c r="D4">
        <f t="shared" si="0"/>
        <v>1</v>
      </c>
    </row>
    <row r="5" spans="1:4" x14ac:dyDescent="0.35">
      <c r="A5" t="s">
        <v>2290</v>
      </c>
      <c r="B5" t="s">
        <v>2291</v>
      </c>
      <c r="C5" t="s">
        <v>137</v>
      </c>
      <c r="D5">
        <f t="shared" si="0"/>
        <v>1</v>
      </c>
    </row>
    <row r="6" spans="1:4" x14ac:dyDescent="0.35">
      <c r="A6" t="s">
        <v>138</v>
      </c>
      <c r="B6" t="s">
        <v>2304</v>
      </c>
      <c r="C6" t="s">
        <v>2304</v>
      </c>
      <c r="D6">
        <f t="shared" si="0"/>
        <v>1</v>
      </c>
    </row>
    <row r="7" spans="1:4" x14ac:dyDescent="0.35">
      <c r="A7" t="s">
        <v>139</v>
      </c>
      <c r="B7" t="s">
        <v>2305</v>
      </c>
      <c r="C7" t="s">
        <v>2305</v>
      </c>
      <c r="D7">
        <f t="shared" si="0"/>
        <v>1</v>
      </c>
    </row>
    <row r="8" spans="1:4" x14ac:dyDescent="0.35">
      <c r="A8" t="s">
        <v>140</v>
      </c>
      <c r="B8" t="s">
        <v>2306</v>
      </c>
      <c r="C8" t="s">
        <v>2306</v>
      </c>
      <c r="D8">
        <f t="shared" si="0"/>
        <v>1</v>
      </c>
    </row>
    <row r="9" spans="1:4" x14ac:dyDescent="0.35">
      <c r="A9" t="s">
        <v>141</v>
      </c>
      <c r="B9" t="s">
        <v>2311</v>
      </c>
      <c r="C9" t="s">
        <v>2311</v>
      </c>
      <c r="D9">
        <f t="shared" si="0"/>
        <v>1</v>
      </c>
    </row>
    <row r="10" spans="1:4" x14ac:dyDescent="0.35">
      <c r="A10" t="s">
        <v>142</v>
      </c>
      <c r="B10" t="s">
        <v>2312</v>
      </c>
      <c r="C10" t="s">
        <v>2312</v>
      </c>
      <c r="D10">
        <f t="shared" si="0"/>
        <v>1</v>
      </c>
    </row>
    <row r="11" spans="1:4" x14ac:dyDescent="0.35">
      <c r="A11" t="s">
        <v>143</v>
      </c>
      <c r="B11" t="s">
        <v>1207</v>
      </c>
      <c r="C11" t="s">
        <v>1207</v>
      </c>
      <c r="D11">
        <f t="shared" si="0"/>
        <v>1</v>
      </c>
    </row>
    <row r="12" spans="1:4" x14ac:dyDescent="0.35">
      <c r="A12" t="s">
        <v>144</v>
      </c>
      <c r="B12" t="s">
        <v>1208</v>
      </c>
      <c r="C12" t="s">
        <v>1208</v>
      </c>
      <c r="D12">
        <f t="shared" si="0"/>
        <v>1</v>
      </c>
    </row>
    <row r="13" spans="1:4" x14ac:dyDescent="0.35">
      <c r="A13" t="s">
        <v>145</v>
      </c>
      <c r="B13" t="s">
        <v>2313</v>
      </c>
      <c r="C13" t="s">
        <v>2313</v>
      </c>
      <c r="D13">
        <f t="shared" si="0"/>
        <v>1</v>
      </c>
    </row>
    <row r="14" spans="1:4" x14ac:dyDescent="0.35">
      <c r="A14" t="s">
        <v>146</v>
      </c>
      <c r="B14" t="s">
        <v>2314</v>
      </c>
      <c r="C14" t="s">
        <v>2314</v>
      </c>
      <c r="D14">
        <f t="shared" si="0"/>
        <v>1</v>
      </c>
    </row>
    <row r="15" spans="1:4" x14ac:dyDescent="0.35">
      <c r="A15" t="s">
        <v>147</v>
      </c>
      <c r="B15" t="s">
        <v>2307</v>
      </c>
      <c r="C15" t="s">
        <v>2307</v>
      </c>
      <c r="D15">
        <f t="shared" si="0"/>
        <v>1</v>
      </c>
    </row>
    <row r="16" spans="1:4" x14ac:dyDescent="0.35">
      <c r="A16" t="s">
        <v>148</v>
      </c>
      <c r="B16" t="s">
        <v>2308</v>
      </c>
      <c r="C16" t="s">
        <v>2308</v>
      </c>
      <c r="D16">
        <f t="shared" si="0"/>
        <v>1</v>
      </c>
    </row>
    <row r="17" spans="1:4" x14ac:dyDescent="0.35">
      <c r="A17" t="s">
        <v>149</v>
      </c>
      <c r="B17" t="s">
        <v>2309</v>
      </c>
      <c r="C17" t="s">
        <v>2309</v>
      </c>
      <c r="D17">
        <f t="shared" si="0"/>
        <v>1</v>
      </c>
    </row>
    <row r="18" spans="1:4" x14ac:dyDescent="0.35">
      <c r="A18" t="s">
        <v>150</v>
      </c>
      <c r="B18" t="s">
        <v>2374</v>
      </c>
      <c r="C18" t="s">
        <v>2374</v>
      </c>
      <c r="D18">
        <f t="shared" si="0"/>
        <v>1</v>
      </c>
    </row>
    <row r="19" spans="1:4" x14ac:dyDescent="0.35">
      <c r="A19" t="s">
        <v>151</v>
      </c>
      <c r="B19" t="s">
        <v>2375</v>
      </c>
      <c r="C19" t="s">
        <v>2375</v>
      </c>
      <c r="D19">
        <f t="shared" si="0"/>
        <v>1</v>
      </c>
    </row>
    <row r="20" spans="1:4" x14ac:dyDescent="0.35">
      <c r="A20" t="s">
        <v>152</v>
      </c>
      <c r="B20" t="s">
        <v>2645</v>
      </c>
      <c r="C20" t="s">
        <v>2645</v>
      </c>
      <c r="D20">
        <f t="shared" si="0"/>
        <v>1</v>
      </c>
    </row>
    <row r="21" spans="1:4" x14ac:dyDescent="0.35">
      <c r="A21" t="s">
        <v>153</v>
      </c>
      <c r="B21" t="s">
        <v>2652</v>
      </c>
      <c r="C21" t="s">
        <v>2652</v>
      </c>
      <c r="D21">
        <f t="shared" si="0"/>
        <v>1</v>
      </c>
    </row>
    <row r="22" spans="1:4" x14ac:dyDescent="0.35">
      <c r="A22" t="s">
        <v>154</v>
      </c>
      <c r="B22" t="s">
        <v>2655</v>
      </c>
      <c r="C22" t="s">
        <v>2655</v>
      </c>
      <c r="D22">
        <f t="shared" si="0"/>
        <v>1</v>
      </c>
    </row>
    <row r="23" spans="1:4" x14ac:dyDescent="0.35">
      <c r="A23" t="s">
        <v>155</v>
      </c>
      <c r="B23" t="s">
        <v>2662</v>
      </c>
      <c r="C23" t="s">
        <v>2662</v>
      </c>
      <c r="D23">
        <f t="shared" si="0"/>
        <v>1</v>
      </c>
    </row>
    <row r="24" spans="1:4" x14ac:dyDescent="0.35">
      <c r="A24" t="s">
        <v>156</v>
      </c>
      <c r="B24" t="s">
        <v>2315</v>
      </c>
      <c r="C24" t="s">
        <v>2315</v>
      </c>
      <c r="D24">
        <f t="shared" si="0"/>
        <v>1</v>
      </c>
    </row>
    <row r="25" spans="1:4" x14ac:dyDescent="0.35">
      <c r="A25" t="s">
        <v>157</v>
      </c>
      <c r="B25" t="s">
        <v>2316</v>
      </c>
      <c r="C25" t="s">
        <v>2316</v>
      </c>
      <c r="D25">
        <f t="shared" si="0"/>
        <v>1</v>
      </c>
    </row>
    <row r="26" spans="1:4" x14ac:dyDescent="0.35">
      <c r="A26" t="s">
        <v>158</v>
      </c>
      <c r="B26" t="s">
        <v>2317</v>
      </c>
      <c r="C26" t="s">
        <v>2317</v>
      </c>
      <c r="D26">
        <f t="shared" si="0"/>
        <v>1</v>
      </c>
    </row>
    <row r="27" spans="1:4" x14ac:dyDescent="0.35">
      <c r="A27" t="s">
        <v>159</v>
      </c>
      <c r="B27" t="s">
        <v>2318</v>
      </c>
      <c r="C27" t="s">
        <v>2318</v>
      </c>
      <c r="D27">
        <f t="shared" si="0"/>
        <v>1</v>
      </c>
    </row>
    <row r="28" spans="1:4" x14ac:dyDescent="0.35">
      <c r="A28" t="s">
        <v>160</v>
      </c>
      <c r="B28" t="s">
        <v>2319</v>
      </c>
      <c r="C28" t="s">
        <v>2319</v>
      </c>
      <c r="D28">
        <f t="shared" si="0"/>
        <v>1</v>
      </c>
    </row>
    <row r="29" spans="1:4" x14ac:dyDescent="0.35">
      <c r="A29" t="s">
        <v>161</v>
      </c>
      <c r="B29" t="s">
        <v>2320</v>
      </c>
      <c r="C29" t="s">
        <v>2320</v>
      </c>
      <c r="D29">
        <f t="shared" si="0"/>
        <v>1</v>
      </c>
    </row>
    <row r="30" spans="1:4" x14ac:dyDescent="0.35">
      <c r="A30" t="s">
        <v>162</v>
      </c>
      <c r="B30" t="s">
        <v>2310</v>
      </c>
      <c r="C30" t="s">
        <v>2310</v>
      </c>
      <c r="D30">
        <f t="shared" si="0"/>
        <v>1</v>
      </c>
    </row>
    <row r="31" spans="1:4" x14ac:dyDescent="0.35">
      <c r="A31" t="s">
        <v>163</v>
      </c>
      <c r="B31" t="s">
        <v>2321</v>
      </c>
      <c r="C31" t="s">
        <v>2321</v>
      </c>
      <c r="D31">
        <f t="shared" si="0"/>
        <v>1</v>
      </c>
    </row>
    <row r="32" spans="1:4" x14ac:dyDescent="0.35">
      <c r="A32" t="s">
        <v>164</v>
      </c>
      <c r="B32" t="s">
        <v>1316</v>
      </c>
      <c r="C32" t="s">
        <v>1316</v>
      </c>
      <c r="D32">
        <f t="shared" si="0"/>
        <v>1</v>
      </c>
    </row>
    <row r="33" spans="1:4" x14ac:dyDescent="0.35">
      <c r="A33" t="s">
        <v>165</v>
      </c>
      <c r="B33" t="s">
        <v>2322</v>
      </c>
      <c r="C33" t="s">
        <v>2322</v>
      </c>
      <c r="D33">
        <f t="shared" si="0"/>
        <v>1</v>
      </c>
    </row>
    <row r="34" spans="1:4" x14ac:dyDescent="0.35">
      <c r="A34" t="s">
        <v>166</v>
      </c>
      <c r="B34" t="s">
        <v>2294</v>
      </c>
      <c r="C34" t="s">
        <v>2294</v>
      </c>
      <c r="D34">
        <f t="shared" si="0"/>
        <v>1</v>
      </c>
    </row>
    <row r="35" spans="1:4" x14ac:dyDescent="0.35">
      <c r="A35" t="s">
        <v>167</v>
      </c>
      <c r="B35" t="s">
        <v>2295</v>
      </c>
      <c r="C35" t="s">
        <v>2295</v>
      </c>
      <c r="D35">
        <f t="shared" si="0"/>
        <v>1</v>
      </c>
    </row>
    <row r="36" spans="1:4" x14ac:dyDescent="0.35">
      <c r="A36" t="s">
        <v>168</v>
      </c>
      <c r="B36" t="s">
        <v>1357</v>
      </c>
      <c r="C36" t="s">
        <v>1357</v>
      </c>
      <c r="D36">
        <f t="shared" si="0"/>
        <v>1</v>
      </c>
    </row>
    <row r="37" spans="1:4" x14ac:dyDescent="0.35">
      <c r="A37" t="s">
        <v>169</v>
      </c>
      <c r="B37" t="s">
        <v>1234</v>
      </c>
      <c r="C37" t="s">
        <v>1234</v>
      </c>
      <c r="D37">
        <f t="shared" si="0"/>
        <v>1</v>
      </c>
    </row>
    <row r="38" spans="1:4" x14ac:dyDescent="0.35">
      <c r="A38" t="s">
        <v>170</v>
      </c>
      <c r="B38" t="s">
        <v>1311</v>
      </c>
      <c r="C38" t="s">
        <v>1311</v>
      </c>
      <c r="D38">
        <f t="shared" si="0"/>
        <v>1</v>
      </c>
    </row>
    <row r="39" spans="1:4" x14ac:dyDescent="0.35">
      <c r="A39" t="s">
        <v>171</v>
      </c>
      <c r="B39" t="s">
        <v>1367</v>
      </c>
      <c r="C39" t="s">
        <v>1367</v>
      </c>
      <c r="D39">
        <f t="shared" si="0"/>
        <v>1</v>
      </c>
    </row>
    <row r="40" spans="1:4" x14ac:dyDescent="0.35">
      <c r="A40" t="s">
        <v>172</v>
      </c>
      <c r="B40" t="s">
        <v>1368</v>
      </c>
      <c r="C40" t="s">
        <v>1368</v>
      </c>
      <c r="D40">
        <f t="shared" si="0"/>
        <v>1</v>
      </c>
    </row>
    <row r="41" spans="1:4" x14ac:dyDescent="0.35">
      <c r="A41" t="s">
        <v>173</v>
      </c>
      <c r="B41" t="s">
        <v>173</v>
      </c>
      <c r="C41" t="s">
        <v>173</v>
      </c>
      <c r="D41">
        <f t="shared" si="0"/>
        <v>1</v>
      </c>
    </row>
    <row r="42" spans="1:4" x14ac:dyDescent="0.35">
      <c r="A42" t="s">
        <v>174</v>
      </c>
      <c r="B42" t="s">
        <v>174</v>
      </c>
      <c r="C42" t="s">
        <v>174</v>
      </c>
      <c r="D42">
        <f t="shared" si="0"/>
        <v>1</v>
      </c>
    </row>
    <row r="43" spans="1:4" x14ac:dyDescent="0.35">
      <c r="A43" t="s">
        <v>2238</v>
      </c>
      <c r="B43" t="s">
        <v>1380</v>
      </c>
      <c r="C43" t="s">
        <v>1380</v>
      </c>
      <c r="D43">
        <f t="shared" si="0"/>
        <v>1</v>
      </c>
    </row>
    <row r="44" spans="1:4" x14ac:dyDescent="0.35">
      <c r="A44" t="s">
        <v>176</v>
      </c>
      <c r="B44" t="s">
        <v>2632</v>
      </c>
      <c r="C44" t="s">
        <v>2632</v>
      </c>
      <c r="D44">
        <f t="shared" si="0"/>
        <v>1</v>
      </c>
    </row>
    <row r="45" spans="1:4" x14ac:dyDescent="0.35">
      <c r="A45" t="s">
        <v>177</v>
      </c>
      <c r="B45" t="s">
        <v>1294</v>
      </c>
      <c r="C45" t="s">
        <v>1294</v>
      </c>
      <c r="D45">
        <f t="shared" si="0"/>
        <v>1</v>
      </c>
    </row>
    <row r="46" spans="1:4" x14ac:dyDescent="0.35">
      <c r="A46" t="s">
        <v>178</v>
      </c>
      <c r="B46" t="s">
        <v>178</v>
      </c>
      <c r="C46" t="s">
        <v>178</v>
      </c>
      <c r="D46">
        <f t="shared" si="0"/>
        <v>1</v>
      </c>
    </row>
    <row r="47" spans="1:4" x14ac:dyDescent="0.35">
      <c r="A47" t="s">
        <v>179</v>
      </c>
      <c r="B47" t="s">
        <v>1291</v>
      </c>
      <c r="C47" t="s">
        <v>1291</v>
      </c>
      <c r="D47">
        <f t="shared" si="0"/>
        <v>1</v>
      </c>
    </row>
    <row r="48" spans="1:4" x14ac:dyDescent="0.35">
      <c r="A48" t="s">
        <v>180</v>
      </c>
      <c r="B48" t="s">
        <v>2323</v>
      </c>
      <c r="C48" t="s">
        <v>2323</v>
      </c>
      <c r="D48">
        <f t="shared" si="0"/>
        <v>1</v>
      </c>
    </row>
    <row r="49" spans="1:4" x14ac:dyDescent="0.35">
      <c r="A49" t="s">
        <v>181</v>
      </c>
      <c r="B49" t="s">
        <v>2324</v>
      </c>
      <c r="C49" t="s">
        <v>2324</v>
      </c>
      <c r="D49">
        <f t="shared" si="0"/>
        <v>1</v>
      </c>
    </row>
    <row r="50" spans="1:4" x14ac:dyDescent="0.35">
      <c r="A50" t="s">
        <v>182</v>
      </c>
      <c r="B50" t="s">
        <v>1292</v>
      </c>
      <c r="C50" t="s">
        <v>1292</v>
      </c>
      <c r="D50">
        <f t="shared" si="0"/>
        <v>1</v>
      </c>
    </row>
    <row r="51" spans="1:4" x14ac:dyDescent="0.35">
      <c r="A51" t="s">
        <v>183</v>
      </c>
      <c r="B51" t="s">
        <v>2651</v>
      </c>
      <c r="C51" t="s">
        <v>2651</v>
      </c>
      <c r="D51">
        <f t="shared" si="0"/>
        <v>1</v>
      </c>
    </row>
    <row r="52" spans="1:4" x14ac:dyDescent="0.35">
      <c r="A52" t="s">
        <v>184</v>
      </c>
      <c r="B52" t="s">
        <v>1455</v>
      </c>
      <c r="C52" t="s">
        <v>1455</v>
      </c>
      <c r="D52">
        <f t="shared" si="0"/>
        <v>1</v>
      </c>
    </row>
    <row r="53" spans="1:4" x14ac:dyDescent="0.35">
      <c r="A53" t="s">
        <v>185</v>
      </c>
      <c r="B53" t="s">
        <v>2557</v>
      </c>
      <c r="C53" t="s">
        <v>2557</v>
      </c>
      <c r="D53">
        <f t="shared" si="0"/>
        <v>1</v>
      </c>
    </row>
    <row r="54" spans="1:4" x14ac:dyDescent="0.35">
      <c r="A54" t="s">
        <v>186</v>
      </c>
      <c r="B54" t="s">
        <v>1980</v>
      </c>
      <c r="C54" t="s">
        <v>1980</v>
      </c>
      <c r="D54">
        <f t="shared" si="0"/>
        <v>1</v>
      </c>
    </row>
    <row r="55" spans="1:4" x14ac:dyDescent="0.35">
      <c r="A55" t="s">
        <v>187</v>
      </c>
      <c r="B55" t="s">
        <v>1594</v>
      </c>
      <c r="C55" t="s">
        <v>1594</v>
      </c>
      <c r="D55">
        <f t="shared" si="0"/>
        <v>1</v>
      </c>
    </row>
    <row r="56" spans="1:4" x14ac:dyDescent="0.35">
      <c r="A56" t="s">
        <v>188</v>
      </c>
      <c r="B56" t="s">
        <v>2649</v>
      </c>
      <c r="C56" t="s">
        <v>2649</v>
      </c>
      <c r="D56">
        <f t="shared" si="0"/>
        <v>1</v>
      </c>
    </row>
    <row r="57" spans="1:4" x14ac:dyDescent="0.35">
      <c r="A57" t="s">
        <v>189</v>
      </c>
      <c r="B57" t="s">
        <v>1454</v>
      </c>
      <c r="C57" t="s">
        <v>1454</v>
      </c>
      <c r="D57">
        <f t="shared" si="0"/>
        <v>1</v>
      </c>
    </row>
    <row r="58" spans="1:4" x14ac:dyDescent="0.35">
      <c r="A58" t="s">
        <v>190</v>
      </c>
      <c r="B58" t="s">
        <v>1458</v>
      </c>
      <c r="C58" t="s">
        <v>1458</v>
      </c>
      <c r="D58">
        <f t="shared" si="0"/>
        <v>1</v>
      </c>
    </row>
    <row r="59" spans="1:4" x14ac:dyDescent="0.35">
      <c r="A59" t="s">
        <v>191</v>
      </c>
      <c r="B59" t="s">
        <v>2325</v>
      </c>
      <c r="C59" t="s">
        <v>2325</v>
      </c>
      <c r="D59">
        <f t="shared" si="0"/>
        <v>1</v>
      </c>
    </row>
    <row r="60" spans="1:4" x14ac:dyDescent="0.35">
      <c r="A60" t="s">
        <v>192</v>
      </c>
      <c r="B60" t="s">
        <v>2326</v>
      </c>
      <c r="C60" t="s">
        <v>2326</v>
      </c>
      <c r="D60">
        <f t="shared" si="0"/>
        <v>1</v>
      </c>
    </row>
    <row r="61" spans="1:4" x14ac:dyDescent="0.35">
      <c r="A61" t="s">
        <v>193</v>
      </c>
      <c r="B61" t="s">
        <v>1481</v>
      </c>
      <c r="C61" t="s">
        <v>1481</v>
      </c>
      <c r="D61">
        <f t="shared" si="0"/>
        <v>1</v>
      </c>
    </row>
    <row r="62" spans="1:4" x14ac:dyDescent="0.35">
      <c r="A62" t="s">
        <v>194</v>
      </c>
      <c r="B62" t="s">
        <v>1482</v>
      </c>
      <c r="C62" t="s">
        <v>1482</v>
      </c>
      <c r="D62">
        <f t="shared" si="0"/>
        <v>1</v>
      </c>
    </row>
    <row r="63" spans="1:4" x14ac:dyDescent="0.35">
      <c r="A63" t="s">
        <v>195</v>
      </c>
      <c r="B63" t="s">
        <v>2665</v>
      </c>
      <c r="C63" t="s">
        <v>2665</v>
      </c>
      <c r="D63">
        <f t="shared" si="0"/>
        <v>1</v>
      </c>
    </row>
    <row r="64" spans="1:4" x14ac:dyDescent="0.35">
      <c r="A64" t="s">
        <v>196</v>
      </c>
      <c r="B64" t="s">
        <v>1372</v>
      </c>
      <c r="C64" t="s">
        <v>1372</v>
      </c>
      <c r="D64">
        <f t="shared" si="0"/>
        <v>1</v>
      </c>
    </row>
    <row r="65" spans="1:4" x14ac:dyDescent="0.35">
      <c r="A65" t="s">
        <v>197</v>
      </c>
      <c r="B65" t="s">
        <v>1374</v>
      </c>
      <c r="C65" t="s">
        <v>1374</v>
      </c>
      <c r="D65">
        <f t="shared" si="0"/>
        <v>1</v>
      </c>
    </row>
    <row r="66" spans="1:4" x14ac:dyDescent="0.35">
      <c r="A66" t="s">
        <v>198</v>
      </c>
      <c r="B66" t="s">
        <v>1362</v>
      </c>
      <c r="C66" t="s">
        <v>1362</v>
      </c>
      <c r="D66">
        <f t="shared" si="0"/>
        <v>1</v>
      </c>
    </row>
    <row r="67" spans="1:4" x14ac:dyDescent="0.35">
      <c r="A67" t="s">
        <v>199</v>
      </c>
      <c r="B67" t="s">
        <v>1619</v>
      </c>
      <c r="C67" t="s">
        <v>1619</v>
      </c>
      <c r="D67">
        <f t="shared" ref="D67:D130" si="1">COUNTIF(C:C,C67)</f>
        <v>1</v>
      </c>
    </row>
    <row r="68" spans="1:4" x14ac:dyDescent="0.35">
      <c r="A68" t="s">
        <v>2239</v>
      </c>
      <c r="B68" t="s">
        <v>2327</v>
      </c>
      <c r="C68" t="s">
        <v>2327</v>
      </c>
      <c r="D68">
        <f t="shared" si="1"/>
        <v>1</v>
      </c>
    </row>
    <row r="69" spans="1:4" x14ac:dyDescent="0.35">
      <c r="A69" t="s">
        <v>201</v>
      </c>
      <c r="B69" t="s">
        <v>2637</v>
      </c>
      <c r="C69" t="s">
        <v>2637</v>
      </c>
      <c r="D69">
        <f t="shared" si="1"/>
        <v>1</v>
      </c>
    </row>
    <row r="70" spans="1:4" x14ac:dyDescent="0.35">
      <c r="A70" t="s">
        <v>202</v>
      </c>
      <c r="B70" t="s">
        <v>1529</v>
      </c>
      <c r="C70" t="s">
        <v>1529</v>
      </c>
      <c r="D70">
        <f t="shared" si="1"/>
        <v>1</v>
      </c>
    </row>
    <row r="71" spans="1:4" x14ac:dyDescent="0.35">
      <c r="A71" t="s">
        <v>203</v>
      </c>
      <c r="B71" t="s">
        <v>2328</v>
      </c>
      <c r="C71" t="s">
        <v>2328</v>
      </c>
      <c r="D71">
        <f t="shared" si="1"/>
        <v>1</v>
      </c>
    </row>
    <row r="72" spans="1:4" x14ac:dyDescent="0.35">
      <c r="A72" t="s">
        <v>204</v>
      </c>
      <c r="B72" t="s">
        <v>1377</v>
      </c>
      <c r="C72" t="s">
        <v>1377</v>
      </c>
      <c r="D72">
        <f t="shared" si="1"/>
        <v>1</v>
      </c>
    </row>
    <row r="73" spans="1:4" x14ac:dyDescent="0.35">
      <c r="A73" t="s">
        <v>205</v>
      </c>
      <c r="B73" t="s">
        <v>1343</v>
      </c>
      <c r="C73" t="s">
        <v>1343</v>
      </c>
      <c r="D73">
        <f t="shared" si="1"/>
        <v>1</v>
      </c>
    </row>
    <row r="74" spans="1:4" x14ac:dyDescent="0.35">
      <c r="A74" t="s">
        <v>206</v>
      </c>
      <c r="B74" t="s">
        <v>1344</v>
      </c>
      <c r="C74" t="s">
        <v>1344</v>
      </c>
      <c r="D74">
        <f t="shared" si="1"/>
        <v>1</v>
      </c>
    </row>
    <row r="75" spans="1:4" x14ac:dyDescent="0.35">
      <c r="A75" t="s">
        <v>207</v>
      </c>
      <c r="B75" t="s">
        <v>2654</v>
      </c>
      <c r="C75" t="s">
        <v>2654</v>
      </c>
      <c r="D75">
        <f t="shared" si="1"/>
        <v>1</v>
      </c>
    </row>
    <row r="76" spans="1:4" x14ac:dyDescent="0.35">
      <c r="A76" t="s">
        <v>208</v>
      </c>
      <c r="B76" t="s">
        <v>2636</v>
      </c>
      <c r="C76" t="s">
        <v>2636</v>
      </c>
      <c r="D76">
        <f t="shared" si="1"/>
        <v>1</v>
      </c>
    </row>
    <row r="77" spans="1:4" x14ac:dyDescent="0.35">
      <c r="A77" t="s">
        <v>209</v>
      </c>
      <c r="B77" t="s">
        <v>2644</v>
      </c>
      <c r="C77" t="s">
        <v>2644</v>
      </c>
      <c r="D77">
        <f t="shared" si="1"/>
        <v>1</v>
      </c>
    </row>
    <row r="78" spans="1:4" x14ac:dyDescent="0.35">
      <c r="A78" t="s">
        <v>210</v>
      </c>
      <c r="B78" t="s">
        <v>2578</v>
      </c>
      <c r="C78" t="s">
        <v>2578</v>
      </c>
      <c r="D78">
        <f t="shared" si="1"/>
        <v>1</v>
      </c>
    </row>
    <row r="79" spans="1:4" x14ac:dyDescent="0.35">
      <c r="A79" t="s">
        <v>211</v>
      </c>
      <c r="B79" t="s">
        <v>2687</v>
      </c>
      <c r="C79" t="s">
        <v>2687</v>
      </c>
      <c r="D79">
        <f t="shared" si="1"/>
        <v>1</v>
      </c>
    </row>
    <row r="80" spans="1:4" x14ac:dyDescent="0.35">
      <c r="A80" t="s">
        <v>212</v>
      </c>
      <c r="B80" t="s">
        <v>1363</v>
      </c>
      <c r="C80" t="s">
        <v>1363</v>
      </c>
      <c r="D80">
        <f t="shared" si="1"/>
        <v>1</v>
      </c>
    </row>
    <row r="81" spans="1:4" x14ac:dyDescent="0.35">
      <c r="A81" t="s">
        <v>213</v>
      </c>
      <c r="B81" t="s">
        <v>1322</v>
      </c>
      <c r="C81" t="s">
        <v>1322</v>
      </c>
      <c r="D81">
        <f t="shared" si="1"/>
        <v>1</v>
      </c>
    </row>
    <row r="82" spans="1:4" x14ac:dyDescent="0.35">
      <c r="A82" t="s">
        <v>214</v>
      </c>
      <c r="B82" t="s">
        <v>1286</v>
      </c>
      <c r="C82" t="s">
        <v>1286</v>
      </c>
      <c r="D82">
        <f t="shared" si="1"/>
        <v>1</v>
      </c>
    </row>
    <row r="83" spans="1:4" x14ac:dyDescent="0.35">
      <c r="A83" t="s">
        <v>2240</v>
      </c>
      <c r="B83" t="s">
        <v>1452</v>
      </c>
      <c r="C83" t="s">
        <v>1452</v>
      </c>
      <c r="D83">
        <f t="shared" si="1"/>
        <v>1</v>
      </c>
    </row>
    <row r="84" spans="1:4" x14ac:dyDescent="0.35">
      <c r="A84" t="s">
        <v>2241</v>
      </c>
      <c r="B84" t="s">
        <v>1427</v>
      </c>
      <c r="C84" t="s">
        <v>1427</v>
      </c>
      <c r="D84">
        <f t="shared" si="1"/>
        <v>1</v>
      </c>
    </row>
    <row r="85" spans="1:4" x14ac:dyDescent="0.35">
      <c r="A85" t="s">
        <v>2242</v>
      </c>
      <c r="B85" t="s">
        <v>1272</v>
      </c>
      <c r="C85" t="s">
        <v>1272</v>
      </c>
      <c r="D85">
        <f t="shared" si="1"/>
        <v>1</v>
      </c>
    </row>
    <row r="86" spans="1:4" x14ac:dyDescent="0.35">
      <c r="A86" t="s">
        <v>218</v>
      </c>
      <c r="B86" t="s">
        <v>1378</v>
      </c>
      <c r="C86" t="s">
        <v>1378</v>
      </c>
      <c r="D86">
        <f t="shared" si="1"/>
        <v>1</v>
      </c>
    </row>
    <row r="87" spans="1:4" x14ac:dyDescent="0.35">
      <c r="A87" t="s">
        <v>219</v>
      </c>
      <c r="B87" t="s">
        <v>1288</v>
      </c>
      <c r="C87" t="s">
        <v>1288</v>
      </c>
      <c r="D87">
        <f t="shared" si="1"/>
        <v>1</v>
      </c>
    </row>
    <row r="88" spans="1:4" x14ac:dyDescent="0.35">
      <c r="A88" t="s">
        <v>220</v>
      </c>
      <c r="B88" t="s">
        <v>1501</v>
      </c>
      <c r="C88" t="s">
        <v>1501</v>
      </c>
      <c r="D88">
        <f t="shared" si="1"/>
        <v>1</v>
      </c>
    </row>
    <row r="89" spans="1:4" x14ac:dyDescent="0.35">
      <c r="A89" t="s">
        <v>2244</v>
      </c>
      <c r="B89" t="s">
        <v>2330</v>
      </c>
      <c r="C89" t="s">
        <v>2330</v>
      </c>
      <c r="D89">
        <f t="shared" si="1"/>
        <v>1</v>
      </c>
    </row>
    <row r="90" spans="1:4" x14ac:dyDescent="0.35">
      <c r="A90" t="s">
        <v>223</v>
      </c>
      <c r="B90" t="s">
        <v>1462</v>
      </c>
      <c r="C90" t="s">
        <v>1462</v>
      </c>
      <c r="D90">
        <f t="shared" si="1"/>
        <v>1</v>
      </c>
    </row>
    <row r="91" spans="1:4" x14ac:dyDescent="0.35">
      <c r="A91" t="s">
        <v>224</v>
      </c>
      <c r="B91" t="s">
        <v>2331</v>
      </c>
      <c r="C91" t="s">
        <v>2331</v>
      </c>
      <c r="D91">
        <f t="shared" si="1"/>
        <v>1</v>
      </c>
    </row>
    <row r="92" spans="1:4" x14ac:dyDescent="0.35">
      <c r="A92" t="s">
        <v>225</v>
      </c>
      <c r="B92" t="s">
        <v>2332</v>
      </c>
      <c r="C92" t="s">
        <v>2332</v>
      </c>
      <c r="D92">
        <f t="shared" si="1"/>
        <v>1</v>
      </c>
    </row>
    <row r="93" spans="1:4" x14ac:dyDescent="0.35">
      <c r="A93" t="s">
        <v>226</v>
      </c>
      <c r="B93" t="s">
        <v>1498</v>
      </c>
      <c r="C93" t="s">
        <v>1498</v>
      </c>
      <c r="D93">
        <f t="shared" si="1"/>
        <v>1</v>
      </c>
    </row>
    <row r="94" spans="1:4" x14ac:dyDescent="0.35">
      <c r="A94" t="s">
        <v>227</v>
      </c>
      <c r="B94" t="s">
        <v>1323</v>
      </c>
      <c r="C94" t="s">
        <v>1323</v>
      </c>
      <c r="D94">
        <f t="shared" si="1"/>
        <v>1</v>
      </c>
    </row>
    <row r="95" spans="1:4" x14ac:dyDescent="0.35">
      <c r="A95" t="s">
        <v>228</v>
      </c>
      <c r="B95" t="s">
        <v>1305</v>
      </c>
      <c r="C95" t="s">
        <v>1305</v>
      </c>
      <c r="D95">
        <f t="shared" si="1"/>
        <v>1</v>
      </c>
    </row>
    <row r="96" spans="1:4" x14ac:dyDescent="0.35">
      <c r="A96" t="s">
        <v>229</v>
      </c>
      <c r="B96" t="s">
        <v>1324</v>
      </c>
      <c r="C96" t="s">
        <v>1324</v>
      </c>
      <c r="D96">
        <f t="shared" si="1"/>
        <v>1</v>
      </c>
    </row>
    <row r="97" spans="1:4" x14ac:dyDescent="0.35">
      <c r="A97" t="s">
        <v>230</v>
      </c>
      <c r="B97" t="s">
        <v>1429</v>
      </c>
      <c r="C97" t="s">
        <v>1429</v>
      </c>
      <c r="D97">
        <f t="shared" si="1"/>
        <v>1</v>
      </c>
    </row>
    <row r="98" spans="1:4" x14ac:dyDescent="0.35">
      <c r="A98" t="s">
        <v>231</v>
      </c>
      <c r="B98" t="s">
        <v>1356</v>
      </c>
      <c r="C98" t="s">
        <v>1356</v>
      </c>
      <c r="D98">
        <f t="shared" si="1"/>
        <v>1</v>
      </c>
    </row>
    <row r="99" spans="1:4" x14ac:dyDescent="0.35">
      <c r="A99" t="s">
        <v>232</v>
      </c>
      <c r="B99" t="s">
        <v>1497</v>
      </c>
      <c r="C99" t="s">
        <v>1497</v>
      </c>
      <c r="D99">
        <f t="shared" si="1"/>
        <v>1</v>
      </c>
    </row>
    <row r="100" spans="1:4" x14ac:dyDescent="0.35">
      <c r="A100" t="s">
        <v>233</v>
      </c>
      <c r="B100" t="s">
        <v>789</v>
      </c>
      <c r="C100" t="s">
        <v>789</v>
      </c>
      <c r="D100">
        <f t="shared" si="1"/>
        <v>1</v>
      </c>
    </row>
    <row r="101" spans="1:4" x14ac:dyDescent="0.35">
      <c r="A101" t="s">
        <v>234</v>
      </c>
      <c r="B101" t="s">
        <v>1467</v>
      </c>
      <c r="C101" t="s">
        <v>1467</v>
      </c>
      <c r="D101">
        <f t="shared" si="1"/>
        <v>1</v>
      </c>
    </row>
    <row r="102" spans="1:4" x14ac:dyDescent="0.35">
      <c r="A102" t="s">
        <v>235</v>
      </c>
      <c r="B102" t="s">
        <v>1314</v>
      </c>
      <c r="C102" t="s">
        <v>1314</v>
      </c>
      <c r="D102">
        <f t="shared" si="1"/>
        <v>1</v>
      </c>
    </row>
    <row r="103" spans="1:4" x14ac:dyDescent="0.35">
      <c r="A103" t="s">
        <v>236</v>
      </c>
      <c r="B103" t="s">
        <v>1365</v>
      </c>
      <c r="C103" t="s">
        <v>1365</v>
      </c>
      <c r="D103">
        <f t="shared" si="1"/>
        <v>1</v>
      </c>
    </row>
    <row r="104" spans="1:4" x14ac:dyDescent="0.35">
      <c r="A104" t="s">
        <v>237</v>
      </c>
      <c r="B104" t="s">
        <v>1443</v>
      </c>
      <c r="C104" t="s">
        <v>1443</v>
      </c>
      <c r="D104">
        <f t="shared" si="1"/>
        <v>1</v>
      </c>
    </row>
    <row r="105" spans="1:4" x14ac:dyDescent="0.35">
      <c r="A105" t="s">
        <v>238</v>
      </c>
      <c r="B105" t="s">
        <v>1465</v>
      </c>
      <c r="C105" t="s">
        <v>1465</v>
      </c>
      <c r="D105">
        <f t="shared" si="1"/>
        <v>1</v>
      </c>
    </row>
    <row r="106" spans="1:4" x14ac:dyDescent="0.35">
      <c r="A106" t="s">
        <v>239</v>
      </c>
      <c r="B106" t="s">
        <v>2376</v>
      </c>
      <c r="C106" t="s">
        <v>2376</v>
      </c>
      <c r="D106">
        <f t="shared" si="1"/>
        <v>1</v>
      </c>
    </row>
    <row r="107" spans="1:4" x14ac:dyDescent="0.35">
      <c r="A107" t="s">
        <v>240</v>
      </c>
      <c r="B107" t="s">
        <v>2333</v>
      </c>
      <c r="C107" t="s">
        <v>2333</v>
      </c>
      <c r="D107">
        <f t="shared" si="1"/>
        <v>1</v>
      </c>
    </row>
    <row r="108" spans="1:4" x14ac:dyDescent="0.35">
      <c r="A108" t="s">
        <v>241</v>
      </c>
      <c r="B108" t="s">
        <v>1472</v>
      </c>
      <c r="C108" t="s">
        <v>1472</v>
      </c>
      <c r="D108">
        <f t="shared" si="1"/>
        <v>1</v>
      </c>
    </row>
    <row r="109" spans="1:4" x14ac:dyDescent="0.35">
      <c r="A109" t="s">
        <v>242</v>
      </c>
      <c r="B109" t="s">
        <v>2334</v>
      </c>
      <c r="C109" t="s">
        <v>2334</v>
      </c>
      <c r="D109">
        <f t="shared" si="1"/>
        <v>1</v>
      </c>
    </row>
    <row r="110" spans="1:4" x14ac:dyDescent="0.35">
      <c r="A110" t="s">
        <v>243</v>
      </c>
      <c r="B110" t="s">
        <v>1463</v>
      </c>
      <c r="C110" t="s">
        <v>1463</v>
      </c>
      <c r="D110">
        <f t="shared" si="1"/>
        <v>1</v>
      </c>
    </row>
    <row r="111" spans="1:4" x14ac:dyDescent="0.35">
      <c r="A111" t="s">
        <v>244</v>
      </c>
      <c r="B111" t="s">
        <v>2335</v>
      </c>
      <c r="C111" t="s">
        <v>2335</v>
      </c>
      <c r="D111">
        <f t="shared" si="1"/>
        <v>1</v>
      </c>
    </row>
    <row r="112" spans="1:4" x14ac:dyDescent="0.35">
      <c r="A112" t="s">
        <v>245</v>
      </c>
      <c r="B112" t="s">
        <v>1485</v>
      </c>
      <c r="C112" t="s">
        <v>1485</v>
      </c>
      <c r="D112">
        <f t="shared" si="1"/>
        <v>1</v>
      </c>
    </row>
    <row r="113" spans="1:4" x14ac:dyDescent="0.35">
      <c r="A113" t="s">
        <v>246</v>
      </c>
      <c r="B113" t="s">
        <v>1284</v>
      </c>
      <c r="C113" t="s">
        <v>1284</v>
      </c>
      <c r="D113">
        <f t="shared" si="1"/>
        <v>1</v>
      </c>
    </row>
    <row r="114" spans="1:4" x14ac:dyDescent="0.35">
      <c r="A114" t="s">
        <v>247</v>
      </c>
      <c r="B114" t="s">
        <v>2377</v>
      </c>
      <c r="C114" t="s">
        <v>2377</v>
      </c>
      <c r="D114">
        <f t="shared" si="1"/>
        <v>1</v>
      </c>
    </row>
    <row r="115" spans="1:4" x14ac:dyDescent="0.35">
      <c r="A115" t="s">
        <v>248</v>
      </c>
      <c r="B115" t="s">
        <v>1270</v>
      </c>
      <c r="C115" t="s">
        <v>1270</v>
      </c>
      <c r="D115">
        <f t="shared" si="1"/>
        <v>1</v>
      </c>
    </row>
    <row r="116" spans="1:4" x14ac:dyDescent="0.35">
      <c r="A116" t="s">
        <v>249</v>
      </c>
      <c r="B116" t="s">
        <v>1281</v>
      </c>
      <c r="C116" t="s">
        <v>1281</v>
      </c>
      <c r="D116">
        <f t="shared" si="1"/>
        <v>1</v>
      </c>
    </row>
    <row r="117" spans="1:4" x14ac:dyDescent="0.35">
      <c r="A117" t="s">
        <v>250</v>
      </c>
      <c r="B117" t="s">
        <v>1280</v>
      </c>
      <c r="C117" t="s">
        <v>1280</v>
      </c>
      <c r="D117">
        <f t="shared" si="1"/>
        <v>1</v>
      </c>
    </row>
    <row r="118" spans="1:4" x14ac:dyDescent="0.35">
      <c r="A118" t="s">
        <v>251</v>
      </c>
      <c r="B118" t="s">
        <v>2618</v>
      </c>
      <c r="C118" t="s">
        <v>2618</v>
      </c>
      <c r="D118">
        <f t="shared" si="1"/>
        <v>1</v>
      </c>
    </row>
    <row r="119" spans="1:4" x14ac:dyDescent="0.35">
      <c r="A119" t="s">
        <v>253</v>
      </c>
      <c r="B119" t="s">
        <v>1275</v>
      </c>
      <c r="C119" t="s">
        <v>1275</v>
      </c>
      <c r="D119">
        <f t="shared" si="1"/>
        <v>1</v>
      </c>
    </row>
    <row r="120" spans="1:4" x14ac:dyDescent="0.35">
      <c r="A120" t="s">
        <v>254</v>
      </c>
      <c r="B120" t="s">
        <v>1277</v>
      </c>
      <c r="C120" t="s">
        <v>1277</v>
      </c>
      <c r="D120">
        <f t="shared" si="1"/>
        <v>1</v>
      </c>
    </row>
    <row r="121" spans="1:4" x14ac:dyDescent="0.35">
      <c r="A121" t="s">
        <v>255</v>
      </c>
      <c r="B121" t="s">
        <v>1415</v>
      </c>
      <c r="C121" t="s">
        <v>1415</v>
      </c>
      <c r="D121">
        <f t="shared" si="1"/>
        <v>1</v>
      </c>
    </row>
    <row r="122" spans="1:4" x14ac:dyDescent="0.35">
      <c r="A122" t="s">
        <v>256</v>
      </c>
      <c r="B122" t="s">
        <v>2070</v>
      </c>
      <c r="C122" t="s">
        <v>2070</v>
      </c>
      <c r="D122">
        <f t="shared" si="1"/>
        <v>1</v>
      </c>
    </row>
    <row r="123" spans="1:4" x14ac:dyDescent="0.35">
      <c r="A123" t="s">
        <v>2245</v>
      </c>
      <c r="B123" t="s">
        <v>2127</v>
      </c>
      <c r="C123" t="s">
        <v>2127</v>
      </c>
      <c r="D123">
        <f t="shared" si="1"/>
        <v>1</v>
      </c>
    </row>
    <row r="124" spans="1:4" x14ac:dyDescent="0.35">
      <c r="A124" t="s">
        <v>2246</v>
      </c>
      <c r="B124" t="s">
        <v>2340</v>
      </c>
      <c r="C124" t="s">
        <v>2340</v>
      </c>
      <c r="D124">
        <f t="shared" si="1"/>
        <v>1</v>
      </c>
    </row>
    <row r="125" spans="1:4" x14ac:dyDescent="0.35">
      <c r="A125" t="s">
        <v>2247</v>
      </c>
      <c r="B125" t="s">
        <v>2341</v>
      </c>
      <c r="C125" t="s">
        <v>2341</v>
      </c>
      <c r="D125">
        <f t="shared" si="1"/>
        <v>1</v>
      </c>
    </row>
    <row r="126" spans="1:4" x14ac:dyDescent="0.35">
      <c r="A126" t="s">
        <v>2248</v>
      </c>
      <c r="B126" t="s">
        <v>2342</v>
      </c>
      <c r="C126" t="s">
        <v>2342</v>
      </c>
      <c r="D126">
        <f t="shared" si="1"/>
        <v>1</v>
      </c>
    </row>
    <row r="127" spans="1:4" x14ac:dyDescent="0.35">
      <c r="A127" t="s">
        <v>261</v>
      </c>
      <c r="B127" t="s">
        <v>2343</v>
      </c>
      <c r="C127" t="s">
        <v>2343</v>
      </c>
      <c r="D127">
        <f t="shared" si="1"/>
        <v>1</v>
      </c>
    </row>
    <row r="128" spans="1:4" x14ac:dyDescent="0.35">
      <c r="A128" t="s">
        <v>262</v>
      </c>
      <c r="B128" t="s">
        <v>1416</v>
      </c>
      <c r="C128" t="s">
        <v>1416</v>
      </c>
      <c r="D128">
        <f t="shared" si="1"/>
        <v>1</v>
      </c>
    </row>
    <row r="129" spans="1:4" x14ac:dyDescent="0.35">
      <c r="A129" t="s">
        <v>263</v>
      </c>
      <c r="B129" t="s">
        <v>1417</v>
      </c>
      <c r="C129" t="s">
        <v>1417</v>
      </c>
      <c r="D129">
        <f t="shared" si="1"/>
        <v>1</v>
      </c>
    </row>
    <row r="130" spans="1:4" x14ac:dyDescent="0.35">
      <c r="A130" t="s">
        <v>264</v>
      </c>
      <c r="B130" t="s">
        <v>1420</v>
      </c>
      <c r="C130" t="s">
        <v>1420</v>
      </c>
      <c r="D130">
        <f t="shared" si="1"/>
        <v>1</v>
      </c>
    </row>
    <row r="131" spans="1:4" x14ac:dyDescent="0.35">
      <c r="A131" t="s">
        <v>265</v>
      </c>
      <c r="B131" t="s">
        <v>1297</v>
      </c>
      <c r="C131" t="s">
        <v>1297</v>
      </c>
      <c r="D131">
        <f t="shared" ref="D131:D194" si="2">COUNTIF(C:C,C131)</f>
        <v>1</v>
      </c>
    </row>
    <row r="132" spans="1:4" x14ac:dyDescent="0.35">
      <c r="A132" t="s">
        <v>266</v>
      </c>
      <c r="B132" t="s">
        <v>2378</v>
      </c>
      <c r="C132" t="s">
        <v>2378</v>
      </c>
      <c r="D132">
        <f t="shared" si="2"/>
        <v>1</v>
      </c>
    </row>
    <row r="133" spans="1:4" x14ac:dyDescent="0.35">
      <c r="A133" t="s">
        <v>267</v>
      </c>
      <c r="B133" t="s">
        <v>2344</v>
      </c>
      <c r="C133" t="s">
        <v>2344</v>
      </c>
      <c r="D133">
        <f t="shared" si="2"/>
        <v>1</v>
      </c>
    </row>
    <row r="134" spans="1:4" x14ac:dyDescent="0.35">
      <c r="A134" t="s">
        <v>268</v>
      </c>
      <c r="B134" t="s">
        <v>1900</v>
      </c>
      <c r="C134" t="s">
        <v>1900</v>
      </c>
      <c r="D134">
        <f t="shared" si="2"/>
        <v>1</v>
      </c>
    </row>
    <row r="135" spans="1:4" x14ac:dyDescent="0.35">
      <c r="A135" t="s">
        <v>269</v>
      </c>
      <c r="B135" t="s">
        <v>2716</v>
      </c>
      <c r="C135" t="s">
        <v>2716</v>
      </c>
      <c r="D135">
        <f t="shared" si="2"/>
        <v>1</v>
      </c>
    </row>
    <row r="136" spans="1:4" x14ac:dyDescent="0.35">
      <c r="A136" t="s">
        <v>270</v>
      </c>
      <c r="B136" t="s">
        <v>1486</v>
      </c>
      <c r="C136" t="s">
        <v>1486</v>
      </c>
      <c r="D136">
        <f t="shared" si="2"/>
        <v>1</v>
      </c>
    </row>
    <row r="137" spans="1:4" x14ac:dyDescent="0.35">
      <c r="A137" t="s">
        <v>271</v>
      </c>
      <c r="B137" t="s">
        <v>2346</v>
      </c>
      <c r="C137" t="s">
        <v>2346</v>
      </c>
      <c r="D137">
        <f t="shared" si="2"/>
        <v>1</v>
      </c>
    </row>
    <row r="138" spans="1:4" x14ac:dyDescent="0.35">
      <c r="A138" t="s">
        <v>272</v>
      </c>
      <c r="B138" t="s">
        <v>1310</v>
      </c>
      <c r="C138" t="s">
        <v>1310</v>
      </c>
      <c r="D138">
        <f t="shared" si="2"/>
        <v>1</v>
      </c>
    </row>
    <row r="139" spans="1:4" x14ac:dyDescent="0.35">
      <c r="A139" t="s">
        <v>273</v>
      </c>
      <c r="B139" t="s">
        <v>1312</v>
      </c>
      <c r="C139" t="s">
        <v>1312</v>
      </c>
      <c r="D139">
        <f t="shared" si="2"/>
        <v>1</v>
      </c>
    </row>
    <row r="140" spans="1:4" x14ac:dyDescent="0.35">
      <c r="A140" t="s">
        <v>274</v>
      </c>
      <c r="B140" t="s">
        <v>1307</v>
      </c>
      <c r="C140" t="s">
        <v>1307</v>
      </c>
      <c r="D140">
        <f t="shared" si="2"/>
        <v>1</v>
      </c>
    </row>
    <row r="141" spans="1:4" x14ac:dyDescent="0.35">
      <c r="A141" t="s">
        <v>275</v>
      </c>
      <c r="B141" t="s">
        <v>1301</v>
      </c>
      <c r="C141" t="s">
        <v>1301</v>
      </c>
      <c r="D141">
        <f t="shared" si="2"/>
        <v>1</v>
      </c>
    </row>
    <row r="142" spans="1:4" x14ac:dyDescent="0.35">
      <c r="A142" t="s">
        <v>276</v>
      </c>
      <c r="B142" t="s">
        <v>1298</v>
      </c>
      <c r="C142" t="s">
        <v>1298</v>
      </c>
      <c r="D142">
        <f t="shared" si="2"/>
        <v>1</v>
      </c>
    </row>
    <row r="143" spans="1:4" x14ac:dyDescent="0.35">
      <c r="A143" t="s">
        <v>277</v>
      </c>
      <c r="B143" t="s">
        <v>1300</v>
      </c>
      <c r="C143" t="s">
        <v>1300</v>
      </c>
      <c r="D143">
        <f t="shared" si="2"/>
        <v>1</v>
      </c>
    </row>
    <row r="144" spans="1:4" x14ac:dyDescent="0.35">
      <c r="A144" t="s">
        <v>278</v>
      </c>
      <c r="B144" t="s">
        <v>1369</v>
      </c>
      <c r="C144" t="s">
        <v>1369</v>
      </c>
      <c r="D144">
        <f t="shared" si="2"/>
        <v>1</v>
      </c>
    </row>
    <row r="145" spans="1:4" x14ac:dyDescent="0.35">
      <c r="A145" t="s">
        <v>279</v>
      </c>
      <c r="B145" t="s">
        <v>1309</v>
      </c>
      <c r="C145" t="s">
        <v>1309</v>
      </c>
      <c r="D145">
        <f t="shared" si="2"/>
        <v>1</v>
      </c>
    </row>
    <row r="146" spans="1:4" x14ac:dyDescent="0.35">
      <c r="A146" t="s">
        <v>280</v>
      </c>
      <c r="B146" t="s">
        <v>1355</v>
      </c>
      <c r="C146" t="s">
        <v>1355</v>
      </c>
      <c r="D146">
        <f t="shared" si="2"/>
        <v>1</v>
      </c>
    </row>
    <row r="147" spans="1:4" x14ac:dyDescent="0.35">
      <c r="A147" t="s">
        <v>281</v>
      </c>
      <c r="B147" t="s">
        <v>1287</v>
      </c>
      <c r="C147" t="s">
        <v>1287</v>
      </c>
      <c r="D147">
        <f t="shared" si="2"/>
        <v>1</v>
      </c>
    </row>
    <row r="148" spans="1:4" x14ac:dyDescent="0.35">
      <c r="A148" t="s">
        <v>282</v>
      </c>
      <c r="B148" t="s">
        <v>2616</v>
      </c>
      <c r="C148" t="s">
        <v>2616</v>
      </c>
      <c r="D148">
        <f t="shared" si="2"/>
        <v>1</v>
      </c>
    </row>
    <row r="149" spans="1:4" x14ac:dyDescent="0.35">
      <c r="A149" t="s">
        <v>283</v>
      </c>
      <c r="B149" t="s">
        <v>2622</v>
      </c>
      <c r="C149" t="s">
        <v>2622</v>
      </c>
      <c r="D149">
        <f t="shared" si="2"/>
        <v>1</v>
      </c>
    </row>
    <row r="150" spans="1:4" x14ac:dyDescent="0.35">
      <c r="A150" t="s">
        <v>284</v>
      </c>
      <c r="B150" t="s">
        <v>2621</v>
      </c>
      <c r="C150" t="s">
        <v>2621</v>
      </c>
      <c r="D150">
        <f t="shared" si="2"/>
        <v>1</v>
      </c>
    </row>
    <row r="151" spans="1:4" x14ac:dyDescent="0.35">
      <c r="A151" t="s">
        <v>285</v>
      </c>
      <c r="B151" t="s">
        <v>2349</v>
      </c>
      <c r="C151" t="s">
        <v>2349</v>
      </c>
      <c r="D151">
        <f t="shared" si="2"/>
        <v>1</v>
      </c>
    </row>
    <row r="152" spans="1:4" x14ac:dyDescent="0.35">
      <c r="A152" t="s">
        <v>286</v>
      </c>
      <c r="B152" t="s">
        <v>1989</v>
      </c>
      <c r="C152" t="s">
        <v>1989</v>
      </c>
      <c r="D152">
        <f t="shared" si="2"/>
        <v>1</v>
      </c>
    </row>
    <row r="153" spans="1:4" x14ac:dyDescent="0.35">
      <c r="A153" t="s">
        <v>287</v>
      </c>
      <c r="B153" t="s">
        <v>2157</v>
      </c>
      <c r="C153" t="s">
        <v>2157</v>
      </c>
      <c r="D153">
        <f t="shared" si="2"/>
        <v>1</v>
      </c>
    </row>
    <row r="154" spans="1:4" x14ac:dyDescent="0.35">
      <c r="A154" t="s">
        <v>288</v>
      </c>
      <c r="B154" t="s">
        <v>2582</v>
      </c>
      <c r="C154" t="s">
        <v>2582</v>
      </c>
      <c r="D154">
        <f t="shared" si="2"/>
        <v>1</v>
      </c>
    </row>
    <row r="155" spans="1:4" x14ac:dyDescent="0.35">
      <c r="A155" t="s">
        <v>289</v>
      </c>
      <c r="B155" t="s">
        <v>2350</v>
      </c>
      <c r="C155" t="s">
        <v>2350</v>
      </c>
      <c r="D155">
        <f t="shared" si="2"/>
        <v>1</v>
      </c>
    </row>
    <row r="156" spans="1:4" x14ac:dyDescent="0.35">
      <c r="A156" t="s">
        <v>290</v>
      </c>
      <c r="B156" t="s">
        <v>1967</v>
      </c>
      <c r="C156" t="s">
        <v>1967</v>
      </c>
      <c r="D156">
        <f t="shared" si="2"/>
        <v>1</v>
      </c>
    </row>
    <row r="157" spans="1:4" x14ac:dyDescent="0.35">
      <c r="A157" t="s">
        <v>291</v>
      </c>
      <c r="B157" t="s">
        <v>1438</v>
      </c>
      <c r="C157" t="s">
        <v>1438</v>
      </c>
      <c r="D157">
        <f t="shared" si="2"/>
        <v>1</v>
      </c>
    </row>
    <row r="158" spans="1:4" x14ac:dyDescent="0.35">
      <c r="A158" t="s">
        <v>292</v>
      </c>
      <c r="B158" t="s">
        <v>1347</v>
      </c>
      <c r="C158" t="s">
        <v>1347</v>
      </c>
      <c r="D158">
        <f t="shared" si="2"/>
        <v>1</v>
      </c>
    </row>
    <row r="159" spans="1:4" x14ac:dyDescent="0.35">
      <c r="A159" t="s">
        <v>293</v>
      </c>
      <c r="B159" t="s">
        <v>1342</v>
      </c>
      <c r="C159" t="s">
        <v>1342</v>
      </c>
      <c r="D159">
        <f t="shared" si="2"/>
        <v>1</v>
      </c>
    </row>
    <row r="160" spans="1:4" x14ac:dyDescent="0.35">
      <c r="A160" t="s">
        <v>294</v>
      </c>
      <c r="B160" t="s">
        <v>1319</v>
      </c>
      <c r="C160" t="s">
        <v>1319</v>
      </c>
      <c r="D160">
        <f t="shared" si="2"/>
        <v>1</v>
      </c>
    </row>
    <row r="161" spans="1:4" x14ac:dyDescent="0.35">
      <c r="A161" t="s">
        <v>295</v>
      </c>
      <c r="B161" t="s">
        <v>1437</v>
      </c>
      <c r="C161" t="s">
        <v>1437</v>
      </c>
      <c r="D161">
        <f t="shared" si="2"/>
        <v>1</v>
      </c>
    </row>
    <row r="162" spans="1:4" x14ac:dyDescent="0.35">
      <c r="A162" t="s">
        <v>296</v>
      </c>
      <c r="B162" t="s">
        <v>2347</v>
      </c>
      <c r="C162" t="s">
        <v>2347</v>
      </c>
      <c r="D162">
        <f t="shared" si="2"/>
        <v>1</v>
      </c>
    </row>
    <row r="163" spans="1:4" x14ac:dyDescent="0.35">
      <c r="A163" t="s">
        <v>297</v>
      </c>
      <c r="B163" t="s">
        <v>1446</v>
      </c>
      <c r="C163" t="s">
        <v>1446</v>
      </c>
      <c r="D163">
        <f t="shared" si="2"/>
        <v>1</v>
      </c>
    </row>
    <row r="164" spans="1:4" x14ac:dyDescent="0.35">
      <c r="A164" t="s">
        <v>298</v>
      </c>
      <c r="B164" t="s">
        <v>2348</v>
      </c>
      <c r="C164" t="s">
        <v>2348</v>
      </c>
      <c r="D164">
        <f t="shared" si="2"/>
        <v>1</v>
      </c>
    </row>
    <row r="165" spans="1:4" x14ac:dyDescent="0.35">
      <c r="A165" t="s">
        <v>299</v>
      </c>
      <c r="B165" t="s">
        <v>2694</v>
      </c>
      <c r="C165" t="s">
        <v>2694</v>
      </c>
      <c r="D165">
        <f t="shared" si="2"/>
        <v>1</v>
      </c>
    </row>
    <row r="166" spans="1:4" x14ac:dyDescent="0.35">
      <c r="A166" t="s">
        <v>300</v>
      </c>
      <c r="B166" t="s">
        <v>1447</v>
      </c>
      <c r="C166" t="s">
        <v>1447</v>
      </c>
      <c r="D166">
        <f t="shared" si="2"/>
        <v>1</v>
      </c>
    </row>
    <row r="167" spans="1:4" x14ac:dyDescent="0.35">
      <c r="A167" t="s">
        <v>2249</v>
      </c>
      <c r="B167" t="s">
        <v>2353</v>
      </c>
      <c r="C167" t="s">
        <v>2353</v>
      </c>
      <c r="D167">
        <f t="shared" si="2"/>
        <v>1</v>
      </c>
    </row>
    <row r="168" spans="1:4" x14ac:dyDescent="0.35">
      <c r="A168" t="s">
        <v>302</v>
      </c>
      <c r="B168" t="s">
        <v>2650</v>
      </c>
      <c r="C168" t="s">
        <v>2650</v>
      </c>
      <c r="D168">
        <f t="shared" si="2"/>
        <v>1</v>
      </c>
    </row>
    <row r="169" spans="1:4" x14ac:dyDescent="0.35">
      <c r="A169" t="s">
        <v>303</v>
      </c>
      <c r="B169" t="s">
        <v>1315</v>
      </c>
      <c r="C169" t="s">
        <v>1315</v>
      </c>
      <c r="D169">
        <f t="shared" si="2"/>
        <v>1</v>
      </c>
    </row>
    <row r="170" spans="1:4" x14ac:dyDescent="0.35">
      <c r="A170" t="s">
        <v>304</v>
      </c>
      <c r="B170" t="s">
        <v>2476</v>
      </c>
      <c r="C170" t="s">
        <v>2476</v>
      </c>
      <c r="D170">
        <f t="shared" si="2"/>
        <v>1</v>
      </c>
    </row>
    <row r="171" spans="1:4" x14ac:dyDescent="0.35">
      <c r="A171" t="s">
        <v>305</v>
      </c>
      <c r="B171" t="s">
        <v>2354</v>
      </c>
      <c r="C171" t="s">
        <v>2354</v>
      </c>
      <c r="D171">
        <f t="shared" si="2"/>
        <v>1</v>
      </c>
    </row>
    <row r="172" spans="1:4" x14ac:dyDescent="0.35">
      <c r="A172" t="s">
        <v>306</v>
      </c>
      <c r="B172" t="s">
        <v>2108</v>
      </c>
      <c r="C172" t="s">
        <v>2108</v>
      </c>
      <c r="D172">
        <f t="shared" si="2"/>
        <v>1</v>
      </c>
    </row>
    <row r="173" spans="1:4" x14ac:dyDescent="0.35">
      <c r="A173" t="s">
        <v>307</v>
      </c>
      <c r="B173" t="s">
        <v>1956</v>
      </c>
      <c r="C173" t="s">
        <v>1956</v>
      </c>
      <c r="D173">
        <f t="shared" si="2"/>
        <v>1</v>
      </c>
    </row>
    <row r="174" spans="1:4" x14ac:dyDescent="0.35">
      <c r="A174" t="s">
        <v>308</v>
      </c>
      <c r="B174" t="s">
        <v>1954</v>
      </c>
      <c r="C174" t="s">
        <v>1954</v>
      </c>
      <c r="D174">
        <f t="shared" si="2"/>
        <v>1</v>
      </c>
    </row>
    <row r="175" spans="1:4" x14ac:dyDescent="0.35">
      <c r="A175" t="s">
        <v>309</v>
      </c>
      <c r="B175" t="s">
        <v>1333</v>
      </c>
      <c r="C175" t="s">
        <v>1333</v>
      </c>
      <c r="D175">
        <f t="shared" si="2"/>
        <v>1</v>
      </c>
    </row>
    <row r="176" spans="1:4" x14ac:dyDescent="0.35">
      <c r="A176" t="s">
        <v>310</v>
      </c>
      <c r="B176" t="s">
        <v>1304</v>
      </c>
      <c r="C176" t="s">
        <v>1304</v>
      </c>
      <c r="D176">
        <f t="shared" si="2"/>
        <v>1</v>
      </c>
    </row>
    <row r="177" spans="1:4" x14ac:dyDescent="0.35">
      <c r="A177" t="s">
        <v>311</v>
      </c>
      <c r="B177" t="s">
        <v>1432</v>
      </c>
      <c r="C177" t="s">
        <v>1432</v>
      </c>
      <c r="D177">
        <f t="shared" si="2"/>
        <v>1</v>
      </c>
    </row>
    <row r="178" spans="1:4" x14ac:dyDescent="0.35">
      <c r="A178" t="s">
        <v>312</v>
      </c>
      <c r="B178" t="s">
        <v>1332</v>
      </c>
      <c r="C178" t="s">
        <v>1332</v>
      </c>
      <c r="D178">
        <f t="shared" si="2"/>
        <v>1</v>
      </c>
    </row>
    <row r="179" spans="1:4" x14ac:dyDescent="0.35">
      <c r="A179" t="s">
        <v>313</v>
      </c>
      <c r="B179" t="s">
        <v>1302</v>
      </c>
      <c r="C179" t="s">
        <v>1302</v>
      </c>
      <c r="D179">
        <f t="shared" si="2"/>
        <v>1</v>
      </c>
    </row>
    <row r="180" spans="1:4" x14ac:dyDescent="0.35">
      <c r="A180" t="s">
        <v>314</v>
      </c>
      <c r="B180" t="s">
        <v>1431</v>
      </c>
      <c r="C180" t="s">
        <v>1431</v>
      </c>
      <c r="D180">
        <f t="shared" si="2"/>
        <v>1</v>
      </c>
    </row>
    <row r="181" spans="1:4" x14ac:dyDescent="0.35">
      <c r="A181" t="s">
        <v>315</v>
      </c>
      <c r="B181" t="s">
        <v>1331</v>
      </c>
      <c r="C181" t="s">
        <v>1331</v>
      </c>
      <c r="D181">
        <f t="shared" si="2"/>
        <v>1</v>
      </c>
    </row>
    <row r="182" spans="1:4" x14ac:dyDescent="0.35">
      <c r="A182" t="s">
        <v>316</v>
      </c>
      <c r="B182" t="s">
        <v>1299</v>
      </c>
      <c r="C182" t="s">
        <v>1299</v>
      </c>
      <c r="D182">
        <f t="shared" si="2"/>
        <v>1</v>
      </c>
    </row>
    <row r="183" spans="1:4" x14ac:dyDescent="0.35">
      <c r="A183" t="s">
        <v>317</v>
      </c>
      <c r="B183" t="s">
        <v>1430</v>
      </c>
      <c r="C183" t="s">
        <v>1430</v>
      </c>
      <c r="D183">
        <f t="shared" si="2"/>
        <v>1</v>
      </c>
    </row>
    <row r="184" spans="1:4" x14ac:dyDescent="0.35">
      <c r="A184" t="s">
        <v>318</v>
      </c>
      <c r="B184" t="s">
        <v>1334</v>
      </c>
      <c r="C184" t="s">
        <v>1334</v>
      </c>
      <c r="D184">
        <f t="shared" si="2"/>
        <v>1</v>
      </c>
    </row>
    <row r="185" spans="1:4" x14ac:dyDescent="0.35">
      <c r="A185" t="s">
        <v>319</v>
      </c>
      <c r="B185" t="s">
        <v>1303</v>
      </c>
      <c r="C185" t="s">
        <v>1303</v>
      </c>
      <c r="D185">
        <f t="shared" si="2"/>
        <v>1</v>
      </c>
    </row>
    <row r="186" spans="1:4" x14ac:dyDescent="0.35">
      <c r="A186" t="s">
        <v>320</v>
      </c>
      <c r="B186" t="s">
        <v>1433</v>
      </c>
      <c r="C186" t="s">
        <v>1433</v>
      </c>
      <c r="D186">
        <f t="shared" si="2"/>
        <v>1</v>
      </c>
    </row>
    <row r="187" spans="1:4" x14ac:dyDescent="0.35">
      <c r="A187" t="s">
        <v>321</v>
      </c>
      <c r="B187" t="s">
        <v>1449</v>
      </c>
      <c r="C187" t="s">
        <v>1449</v>
      </c>
      <c r="D187">
        <f t="shared" si="2"/>
        <v>1</v>
      </c>
    </row>
    <row r="188" spans="1:4" x14ac:dyDescent="0.35">
      <c r="A188" t="s">
        <v>322</v>
      </c>
      <c r="B188" t="s">
        <v>1444</v>
      </c>
      <c r="C188" t="s">
        <v>1444</v>
      </c>
      <c r="D188">
        <f t="shared" si="2"/>
        <v>1</v>
      </c>
    </row>
    <row r="189" spans="1:4" x14ac:dyDescent="0.35">
      <c r="A189" t="s">
        <v>323</v>
      </c>
      <c r="B189" t="s">
        <v>2355</v>
      </c>
      <c r="C189" t="s">
        <v>2355</v>
      </c>
      <c r="D189">
        <f t="shared" si="2"/>
        <v>1</v>
      </c>
    </row>
    <row r="190" spans="1:4" x14ac:dyDescent="0.35">
      <c r="A190" t="s">
        <v>324</v>
      </c>
      <c r="B190" t="s">
        <v>1951</v>
      </c>
      <c r="C190" t="s">
        <v>1951</v>
      </c>
      <c r="D190">
        <f t="shared" si="2"/>
        <v>1</v>
      </c>
    </row>
    <row r="191" spans="1:4" x14ac:dyDescent="0.35">
      <c r="A191" t="s">
        <v>325</v>
      </c>
      <c r="B191" t="s">
        <v>1987</v>
      </c>
      <c r="C191" t="s">
        <v>1987</v>
      </c>
      <c r="D191">
        <f t="shared" si="2"/>
        <v>1</v>
      </c>
    </row>
    <row r="192" spans="1:4" x14ac:dyDescent="0.35">
      <c r="A192" t="s">
        <v>326</v>
      </c>
      <c r="B192" t="s">
        <v>1212</v>
      </c>
      <c r="C192" t="s">
        <v>1212</v>
      </c>
      <c r="D192">
        <f t="shared" si="2"/>
        <v>1</v>
      </c>
    </row>
    <row r="193" spans="1:4" x14ac:dyDescent="0.35">
      <c r="A193" t="s">
        <v>327</v>
      </c>
      <c r="B193" t="s">
        <v>1211</v>
      </c>
      <c r="C193" t="s">
        <v>1211</v>
      </c>
      <c r="D193">
        <f t="shared" si="2"/>
        <v>1</v>
      </c>
    </row>
    <row r="194" spans="1:4" x14ac:dyDescent="0.35">
      <c r="A194" t="s">
        <v>328</v>
      </c>
      <c r="B194" t="s">
        <v>1210</v>
      </c>
      <c r="C194" t="s">
        <v>1210</v>
      </c>
      <c r="D194">
        <f t="shared" si="2"/>
        <v>1</v>
      </c>
    </row>
    <row r="195" spans="1:4" x14ac:dyDescent="0.35">
      <c r="A195" t="s">
        <v>329</v>
      </c>
      <c r="B195" t="s">
        <v>2554</v>
      </c>
      <c r="C195" t="s">
        <v>2554</v>
      </c>
      <c r="D195">
        <f t="shared" ref="D195:D258" si="3">COUNTIF(C:C,C195)</f>
        <v>1</v>
      </c>
    </row>
    <row r="196" spans="1:4" x14ac:dyDescent="0.35">
      <c r="A196" t="s">
        <v>330</v>
      </c>
      <c r="B196" t="s">
        <v>2555</v>
      </c>
      <c r="C196" t="s">
        <v>2555</v>
      </c>
      <c r="D196">
        <f t="shared" si="3"/>
        <v>1</v>
      </c>
    </row>
    <row r="197" spans="1:4" x14ac:dyDescent="0.35">
      <c r="A197" t="s">
        <v>331</v>
      </c>
      <c r="B197" t="s">
        <v>2553</v>
      </c>
      <c r="C197" t="s">
        <v>2553</v>
      </c>
      <c r="D197">
        <f t="shared" si="3"/>
        <v>1</v>
      </c>
    </row>
    <row r="198" spans="1:4" x14ac:dyDescent="0.35">
      <c r="A198" t="s">
        <v>332</v>
      </c>
      <c r="B198" t="s">
        <v>1318</v>
      </c>
      <c r="C198" t="s">
        <v>1318</v>
      </c>
      <c r="D198">
        <f t="shared" si="3"/>
        <v>1</v>
      </c>
    </row>
    <row r="199" spans="1:4" x14ac:dyDescent="0.35">
      <c r="A199" t="s">
        <v>333</v>
      </c>
      <c r="B199" t="s">
        <v>2103</v>
      </c>
      <c r="C199" t="s">
        <v>2103</v>
      </c>
      <c r="D199">
        <f t="shared" si="3"/>
        <v>1</v>
      </c>
    </row>
    <row r="200" spans="1:4" x14ac:dyDescent="0.35">
      <c r="A200" t="s">
        <v>334</v>
      </c>
      <c r="B200" t="s">
        <v>2467</v>
      </c>
      <c r="C200" t="s">
        <v>2467</v>
      </c>
      <c r="D200">
        <f t="shared" si="3"/>
        <v>1</v>
      </c>
    </row>
    <row r="201" spans="1:4" x14ac:dyDescent="0.35">
      <c r="A201" t="s">
        <v>335</v>
      </c>
      <c r="B201" t="s">
        <v>1690</v>
      </c>
      <c r="C201" t="s">
        <v>1690</v>
      </c>
      <c r="D201">
        <f t="shared" si="3"/>
        <v>1</v>
      </c>
    </row>
    <row r="202" spans="1:4" x14ac:dyDescent="0.35">
      <c r="A202" t="s">
        <v>336</v>
      </c>
      <c r="B202" t="s">
        <v>1448</v>
      </c>
      <c r="C202" t="s">
        <v>1448</v>
      </c>
      <c r="D202">
        <f t="shared" si="3"/>
        <v>1</v>
      </c>
    </row>
    <row r="203" spans="1:4" x14ac:dyDescent="0.35">
      <c r="A203" t="s">
        <v>337</v>
      </c>
      <c r="B203" t="s">
        <v>2643</v>
      </c>
      <c r="C203" t="s">
        <v>2643</v>
      </c>
      <c r="D203">
        <f t="shared" si="3"/>
        <v>1</v>
      </c>
    </row>
    <row r="204" spans="1:4" x14ac:dyDescent="0.35">
      <c r="A204" t="s">
        <v>338</v>
      </c>
      <c r="B204" t="s">
        <v>1649</v>
      </c>
      <c r="C204" t="s">
        <v>1649</v>
      </c>
      <c r="D204">
        <f t="shared" si="3"/>
        <v>1</v>
      </c>
    </row>
    <row r="205" spans="1:4" x14ac:dyDescent="0.35">
      <c r="A205" t="s">
        <v>339</v>
      </c>
      <c r="B205" t="s">
        <v>1361</v>
      </c>
      <c r="C205" t="s">
        <v>1361</v>
      </c>
      <c r="D205">
        <f t="shared" si="3"/>
        <v>1</v>
      </c>
    </row>
    <row r="206" spans="1:4" x14ac:dyDescent="0.35">
      <c r="A206" t="s">
        <v>340</v>
      </c>
      <c r="B206" t="s">
        <v>1771</v>
      </c>
      <c r="C206" t="s">
        <v>1771</v>
      </c>
      <c r="D206">
        <f t="shared" si="3"/>
        <v>1</v>
      </c>
    </row>
    <row r="207" spans="1:4" x14ac:dyDescent="0.35">
      <c r="A207" t="s">
        <v>341</v>
      </c>
      <c r="B207" t="s">
        <v>2641</v>
      </c>
      <c r="C207" t="s">
        <v>2641</v>
      </c>
      <c r="D207">
        <f t="shared" si="3"/>
        <v>1</v>
      </c>
    </row>
    <row r="208" spans="1:4" x14ac:dyDescent="0.35">
      <c r="A208" t="s">
        <v>342</v>
      </c>
      <c r="B208" t="s">
        <v>2640</v>
      </c>
      <c r="C208" t="s">
        <v>2640</v>
      </c>
      <c r="D208">
        <f t="shared" si="3"/>
        <v>1</v>
      </c>
    </row>
    <row r="209" spans="1:4" x14ac:dyDescent="0.35">
      <c r="A209" t="s">
        <v>343</v>
      </c>
      <c r="B209" t="s">
        <v>1313</v>
      </c>
      <c r="C209" t="s">
        <v>1313</v>
      </c>
      <c r="D209">
        <f t="shared" si="3"/>
        <v>1</v>
      </c>
    </row>
    <row r="210" spans="1:4" x14ac:dyDescent="0.35">
      <c r="A210" t="s">
        <v>344</v>
      </c>
      <c r="B210" t="s">
        <v>1308</v>
      </c>
      <c r="C210" t="s">
        <v>1308</v>
      </c>
      <c r="D210">
        <f t="shared" si="3"/>
        <v>1</v>
      </c>
    </row>
    <row r="211" spans="1:4" x14ac:dyDescent="0.35">
      <c r="A211" t="s">
        <v>345</v>
      </c>
      <c r="B211" t="s">
        <v>1375</v>
      </c>
      <c r="C211" t="s">
        <v>1375</v>
      </c>
      <c r="D211">
        <f t="shared" si="3"/>
        <v>1</v>
      </c>
    </row>
    <row r="212" spans="1:4" x14ac:dyDescent="0.35">
      <c r="A212" t="s">
        <v>346</v>
      </c>
      <c r="B212" t="s">
        <v>1411</v>
      </c>
      <c r="C212" t="s">
        <v>1411</v>
      </c>
      <c r="D212">
        <f t="shared" si="3"/>
        <v>1</v>
      </c>
    </row>
    <row r="213" spans="1:4" x14ac:dyDescent="0.35">
      <c r="A213" t="s">
        <v>347</v>
      </c>
      <c r="B213" t="s">
        <v>1386</v>
      </c>
      <c r="C213" t="s">
        <v>1386</v>
      </c>
      <c r="D213">
        <f t="shared" si="3"/>
        <v>1</v>
      </c>
    </row>
    <row r="214" spans="1:4" x14ac:dyDescent="0.35">
      <c r="A214" t="s">
        <v>348</v>
      </c>
      <c r="B214" t="s">
        <v>1382</v>
      </c>
      <c r="C214" t="s">
        <v>1382</v>
      </c>
      <c r="D214">
        <f t="shared" si="3"/>
        <v>1</v>
      </c>
    </row>
    <row r="215" spans="1:4" x14ac:dyDescent="0.35">
      <c r="A215" t="s">
        <v>349</v>
      </c>
      <c r="B215" t="s">
        <v>1389</v>
      </c>
      <c r="C215" t="s">
        <v>1389</v>
      </c>
      <c r="D215">
        <f t="shared" si="3"/>
        <v>1</v>
      </c>
    </row>
    <row r="216" spans="1:4" x14ac:dyDescent="0.35">
      <c r="A216" t="s">
        <v>350</v>
      </c>
      <c r="B216" t="s">
        <v>1390</v>
      </c>
      <c r="C216" t="s">
        <v>1390</v>
      </c>
      <c r="D216">
        <f t="shared" si="3"/>
        <v>1</v>
      </c>
    </row>
    <row r="217" spans="1:4" x14ac:dyDescent="0.35">
      <c r="A217" t="s">
        <v>351</v>
      </c>
      <c r="B217" t="s">
        <v>1393</v>
      </c>
      <c r="C217" t="s">
        <v>1393</v>
      </c>
      <c r="D217">
        <f t="shared" si="3"/>
        <v>1</v>
      </c>
    </row>
    <row r="218" spans="1:4" x14ac:dyDescent="0.35">
      <c r="A218" t="s">
        <v>352</v>
      </c>
      <c r="B218" t="s">
        <v>1395</v>
      </c>
      <c r="C218" t="s">
        <v>1395</v>
      </c>
      <c r="D218">
        <f t="shared" si="3"/>
        <v>1</v>
      </c>
    </row>
    <row r="219" spans="1:4" x14ac:dyDescent="0.35">
      <c r="A219" t="s">
        <v>353</v>
      </c>
      <c r="B219" t="s">
        <v>1396</v>
      </c>
      <c r="C219" t="s">
        <v>1396</v>
      </c>
      <c r="D219">
        <f t="shared" si="3"/>
        <v>1</v>
      </c>
    </row>
    <row r="220" spans="1:4" x14ac:dyDescent="0.35">
      <c r="A220" t="s">
        <v>354</v>
      </c>
      <c r="B220" t="s">
        <v>1408</v>
      </c>
      <c r="C220" t="s">
        <v>1408</v>
      </c>
      <c r="D220">
        <f t="shared" si="3"/>
        <v>1</v>
      </c>
    </row>
    <row r="221" spans="1:4" x14ac:dyDescent="0.35">
      <c r="A221" t="s">
        <v>355</v>
      </c>
      <c r="B221" t="s">
        <v>1261</v>
      </c>
      <c r="C221" t="s">
        <v>1261</v>
      </c>
      <c r="D221">
        <f t="shared" si="3"/>
        <v>1</v>
      </c>
    </row>
    <row r="222" spans="1:4" x14ac:dyDescent="0.35">
      <c r="A222" t="s">
        <v>356</v>
      </c>
      <c r="B222" t="s">
        <v>1237</v>
      </c>
      <c r="C222" t="s">
        <v>1237</v>
      </c>
      <c r="D222">
        <f t="shared" si="3"/>
        <v>1</v>
      </c>
    </row>
    <row r="223" spans="1:4" x14ac:dyDescent="0.35">
      <c r="A223" t="s">
        <v>357</v>
      </c>
      <c r="B223" t="s">
        <v>2489</v>
      </c>
      <c r="C223" t="s">
        <v>2489</v>
      </c>
      <c r="D223">
        <f t="shared" si="3"/>
        <v>1</v>
      </c>
    </row>
    <row r="224" spans="1:4" x14ac:dyDescent="0.35">
      <c r="A224" t="s">
        <v>358</v>
      </c>
      <c r="B224" t="s">
        <v>1242</v>
      </c>
      <c r="C224" t="s">
        <v>1242</v>
      </c>
      <c r="D224">
        <f t="shared" si="3"/>
        <v>1</v>
      </c>
    </row>
    <row r="225" spans="1:4" x14ac:dyDescent="0.35">
      <c r="A225" t="s">
        <v>359</v>
      </c>
      <c r="B225" t="s">
        <v>1245</v>
      </c>
      <c r="C225" t="s">
        <v>1245</v>
      </c>
      <c r="D225">
        <f t="shared" si="3"/>
        <v>1</v>
      </c>
    </row>
    <row r="226" spans="1:4" x14ac:dyDescent="0.35">
      <c r="A226" t="s">
        <v>360</v>
      </c>
      <c r="B226" t="s">
        <v>1248</v>
      </c>
      <c r="C226" t="s">
        <v>1248</v>
      </c>
      <c r="D226">
        <f t="shared" si="3"/>
        <v>1</v>
      </c>
    </row>
    <row r="227" spans="1:4" x14ac:dyDescent="0.35">
      <c r="A227" t="s">
        <v>361</v>
      </c>
      <c r="B227" t="s">
        <v>1250</v>
      </c>
      <c r="C227" t="s">
        <v>1250</v>
      </c>
      <c r="D227">
        <f t="shared" si="3"/>
        <v>1</v>
      </c>
    </row>
    <row r="228" spans="1:4" x14ac:dyDescent="0.35">
      <c r="A228" t="s">
        <v>362</v>
      </c>
      <c r="B228" t="s">
        <v>1252</v>
      </c>
      <c r="C228" t="s">
        <v>1252</v>
      </c>
      <c r="D228">
        <f t="shared" si="3"/>
        <v>1</v>
      </c>
    </row>
    <row r="229" spans="1:4" x14ac:dyDescent="0.35">
      <c r="A229" t="s">
        <v>363</v>
      </c>
      <c r="B229" t="s">
        <v>1256</v>
      </c>
      <c r="C229" t="s">
        <v>1256</v>
      </c>
      <c r="D229">
        <f t="shared" si="3"/>
        <v>1</v>
      </c>
    </row>
    <row r="230" spans="1:4" x14ac:dyDescent="0.35">
      <c r="A230" t="s">
        <v>364</v>
      </c>
      <c r="B230" t="s">
        <v>1450</v>
      </c>
      <c r="C230" t="s">
        <v>1450</v>
      </c>
      <c r="D230">
        <f t="shared" si="3"/>
        <v>1</v>
      </c>
    </row>
    <row r="231" spans="1:4" x14ac:dyDescent="0.35">
      <c r="A231" t="s">
        <v>365</v>
      </c>
      <c r="B231" t="s">
        <v>1441</v>
      </c>
      <c r="C231" t="s">
        <v>1441</v>
      </c>
      <c r="D231">
        <f t="shared" si="3"/>
        <v>1</v>
      </c>
    </row>
    <row r="232" spans="1:4" x14ac:dyDescent="0.35">
      <c r="A232" t="s">
        <v>366</v>
      </c>
      <c r="B232" t="s">
        <v>1379</v>
      </c>
      <c r="C232" t="s">
        <v>1379</v>
      </c>
      <c r="D232">
        <f t="shared" si="3"/>
        <v>1</v>
      </c>
    </row>
    <row r="233" spans="1:4" x14ac:dyDescent="0.35">
      <c r="A233" t="s">
        <v>367</v>
      </c>
      <c r="B233" t="s">
        <v>2371</v>
      </c>
      <c r="C233" t="s">
        <v>2371</v>
      </c>
      <c r="D233">
        <f t="shared" si="3"/>
        <v>1</v>
      </c>
    </row>
    <row r="234" spans="1:4" x14ac:dyDescent="0.35">
      <c r="A234" t="s">
        <v>368</v>
      </c>
      <c r="B234" t="s">
        <v>1505</v>
      </c>
      <c r="C234" t="s">
        <v>1505</v>
      </c>
      <c r="D234">
        <f t="shared" si="3"/>
        <v>1</v>
      </c>
    </row>
    <row r="235" spans="1:4" x14ac:dyDescent="0.35">
      <c r="A235" t="s">
        <v>369</v>
      </c>
      <c r="B235" t="s">
        <v>2336</v>
      </c>
      <c r="C235" t="s">
        <v>2336</v>
      </c>
      <c r="D235">
        <f t="shared" si="3"/>
        <v>1</v>
      </c>
    </row>
    <row r="236" spans="1:4" x14ac:dyDescent="0.35">
      <c r="A236" t="s">
        <v>370</v>
      </c>
      <c r="B236" t="s">
        <v>1260</v>
      </c>
      <c r="C236" t="s">
        <v>1260</v>
      </c>
      <c r="D236">
        <f t="shared" si="3"/>
        <v>1</v>
      </c>
    </row>
    <row r="237" spans="1:4" x14ac:dyDescent="0.35">
      <c r="A237" t="s">
        <v>371</v>
      </c>
      <c r="B237" t="s">
        <v>1253</v>
      </c>
      <c r="C237" t="s">
        <v>1253</v>
      </c>
      <c r="D237">
        <f t="shared" si="3"/>
        <v>1</v>
      </c>
    </row>
    <row r="238" spans="1:4" x14ac:dyDescent="0.35">
      <c r="A238" t="s">
        <v>372</v>
      </c>
      <c r="B238" t="s">
        <v>2370</v>
      </c>
      <c r="C238" t="s">
        <v>2370</v>
      </c>
      <c r="D238">
        <f t="shared" si="3"/>
        <v>1</v>
      </c>
    </row>
    <row r="239" spans="1:4" x14ac:dyDescent="0.35">
      <c r="A239" t="s">
        <v>373</v>
      </c>
      <c r="B239" t="s">
        <v>1266</v>
      </c>
      <c r="C239" t="s">
        <v>1266</v>
      </c>
      <c r="D239">
        <f t="shared" si="3"/>
        <v>1</v>
      </c>
    </row>
    <row r="240" spans="1:4" x14ac:dyDescent="0.35">
      <c r="A240" t="s">
        <v>374</v>
      </c>
      <c r="B240" t="s">
        <v>2556</v>
      </c>
      <c r="C240" t="s">
        <v>2556</v>
      </c>
      <c r="D240">
        <f t="shared" si="3"/>
        <v>1</v>
      </c>
    </row>
    <row r="241" spans="1:4" x14ac:dyDescent="0.35">
      <c r="A241" t="s">
        <v>375</v>
      </c>
      <c r="B241" t="s">
        <v>2620</v>
      </c>
      <c r="C241" t="s">
        <v>2620</v>
      </c>
      <c r="D241">
        <f t="shared" si="3"/>
        <v>1</v>
      </c>
    </row>
    <row r="242" spans="1:4" x14ac:dyDescent="0.35">
      <c r="A242" t="s">
        <v>376</v>
      </c>
      <c r="B242" t="s">
        <v>1338</v>
      </c>
      <c r="C242" t="s">
        <v>1338</v>
      </c>
      <c r="D242">
        <f t="shared" si="3"/>
        <v>1</v>
      </c>
    </row>
    <row r="243" spans="1:4" x14ac:dyDescent="0.35">
      <c r="A243" t="s">
        <v>377</v>
      </c>
      <c r="B243" t="s">
        <v>1340</v>
      </c>
      <c r="C243" t="s">
        <v>1340</v>
      </c>
      <c r="D243">
        <f t="shared" si="3"/>
        <v>1</v>
      </c>
    </row>
    <row r="244" spans="1:4" x14ac:dyDescent="0.35">
      <c r="A244" t="s">
        <v>378</v>
      </c>
      <c r="B244" t="s">
        <v>1339</v>
      </c>
      <c r="C244" t="s">
        <v>1339</v>
      </c>
      <c r="D244">
        <f t="shared" si="3"/>
        <v>1</v>
      </c>
    </row>
    <row r="245" spans="1:4" x14ac:dyDescent="0.35">
      <c r="A245" t="s">
        <v>379</v>
      </c>
      <c r="B245" t="s">
        <v>1381</v>
      </c>
      <c r="C245" t="s">
        <v>1381</v>
      </c>
      <c r="D245">
        <f t="shared" si="3"/>
        <v>1</v>
      </c>
    </row>
    <row r="246" spans="1:4" x14ac:dyDescent="0.35">
      <c r="A246" t="s">
        <v>380</v>
      </c>
      <c r="B246" t="s">
        <v>1445</v>
      </c>
      <c r="C246" t="s">
        <v>1445</v>
      </c>
      <c r="D246">
        <f t="shared" si="3"/>
        <v>1</v>
      </c>
    </row>
    <row r="247" spans="1:4" x14ac:dyDescent="0.35">
      <c r="A247" t="s">
        <v>381</v>
      </c>
      <c r="B247" t="s">
        <v>2661</v>
      </c>
      <c r="C247" t="s">
        <v>2661</v>
      </c>
      <c r="D247">
        <f t="shared" si="3"/>
        <v>1</v>
      </c>
    </row>
    <row r="248" spans="1:4" x14ac:dyDescent="0.35">
      <c r="A248" t="s">
        <v>382</v>
      </c>
      <c r="B248" t="s">
        <v>1335</v>
      </c>
      <c r="C248" t="s">
        <v>1335</v>
      </c>
      <c r="D248">
        <f t="shared" si="3"/>
        <v>1</v>
      </c>
    </row>
    <row r="249" spans="1:4" x14ac:dyDescent="0.35">
      <c r="A249" t="s">
        <v>383</v>
      </c>
      <c r="B249" t="s">
        <v>2624</v>
      </c>
      <c r="C249" t="s">
        <v>2624</v>
      </c>
      <c r="D249">
        <f t="shared" si="3"/>
        <v>1</v>
      </c>
    </row>
    <row r="250" spans="1:4" x14ac:dyDescent="0.35">
      <c r="A250" t="s">
        <v>384</v>
      </c>
      <c r="B250" t="s">
        <v>2623</v>
      </c>
      <c r="C250" t="s">
        <v>2623</v>
      </c>
      <c r="D250">
        <f t="shared" si="3"/>
        <v>1</v>
      </c>
    </row>
    <row r="251" spans="1:4" x14ac:dyDescent="0.35">
      <c r="A251" t="s">
        <v>385</v>
      </c>
      <c r="B251" t="s">
        <v>2617</v>
      </c>
      <c r="C251" t="s">
        <v>2617</v>
      </c>
      <c r="D251">
        <f t="shared" si="3"/>
        <v>1</v>
      </c>
    </row>
    <row r="252" spans="1:4" x14ac:dyDescent="0.35">
      <c r="A252" t="s">
        <v>386</v>
      </c>
      <c r="B252" t="s">
        <v>2619</v>
      </c>
      <c r="C252" t="s">
        <v>2619</v>
      </c>
      <c r="D252">
        <f t="shared" si="3"/>
        <v>1</v>
      </c>
    </row>
    <row r="253" spans="1:4" x14ac:dyDescent="0.35">
      <c r="A253" t="s">
        <v>387</v>
      </c>
      <c r="B253" t="s">
        <v>2466</v>
      </c>
      <c r="C253" t="s">
        <v>2466</v>
      </c>
      <c r="D253">
        <f t="shared" si="3"/>
        <v>1</v>
      </c>
    </row>
    <row r="254" spans="1:4" x14ac:dyDescent="0.35">
      <c r="A254" t="s">
        <v>388</v>
      </c>
      <c r="B254" t="s">
        <v>2356</v>
      </c>
      <c r="C254" t="s">
        <v>2356</v>
      </c>
      <c r="D254">
        <f t="shared" si="3"/>
        <v>1</v>
      </c>
    </row>
    <row r="255" spans="1:4" x14ac:dyDescent="0.35">
      <c r="A255" t="s">
        <v>389</v>
      </c>
      <c r="B255" t="s">
        <v>2357</v>
      </c>
      <c r="C255" t="s">
        <v>2357</v>
      </c>
      <c r="D255">
        <f t="shared" si="3"/>
        <v>1</v>
      </c>
    </row>
    <row r="256" spans="1:4" x14ac:dyDescent="0.35">
      <c r="A256" t="s">
        <v>390</v>
      </c>
      <c r="B256" t="s">
        <v>1306</v>
      </c>
      <c r="C256" t="s">
        <v>1306</v>
      </c>
      <c r="D256">
        <f t="shared" si="3"/>
        <v>1</v>
      </c>
    </row>
    <row r="257" spans="1:4" x14ac:dyDescent="0.35">
      <c r="A257" t="s">
        <v>391</v>
      </c>
      <c r="B257" t="s">
        <v>1371</v>
      </c>
      <c r="C257" t="s">
        <v>1371</v>
      </c>
      <c r="D257">
        <f t="shared" si="3"/>
        <v>1</v>
      </c>
    </row>
    <row r="258" spans="1:4" x14ac:dyDescent="0.35">
      <c r="A258" t="s">
        <v>392</v>
      </c>
      <c r="B258" t="s">
        <v>1435</v>
      </c>
      <c r="C258" t="s">
        <v>1435</v>
      </c>
      <c r="D258">
        <f t="shared" si="3"/>
        <v>1</v>
      </c>
    </row>
    <row r="259" spans="1:4" x14ac:dyDescent="0.35">
      <c r="A259" t="s">
        <v>393</v>
      </c>
      <c r="B259" t="s">
        <v>1921</v>
      </c>
      <c r="C259" t="s">
        <v>1921</v>
      </c>
      <c r="D259">
        <f t="shared" ref="D259:D322" si="4">COUNTIF(C:C,C259)</f>
        <v>1</v>
      </c>
    </row>
    <row r="260" spans="1:4" x14ac:dyDescent="0.35">
      <c r="A260" t="s">
        <v>394</v>
      </c>
      <c r="B260" t="s">
        <v>2358</v>
      </c>
      <c r="C260" t="s">
        <v>2358</v>
      </c>
      <c r="D260">
        <f t="shared" si="4"/>
        <v>1</v>
      </c>
    </row>
    <row r="261" spans="1:4" x14ac:dyDescent="0.35">
      <c r="A261" t="s">
        <v>395</v>
      </c>
      <c r="B261" t="s">
        <v>2237</v>
      </c>
      <c r="C261" t="s">
        <v>2237</v>
      </c>
      <c r="D261">
        <f t="shared" si="4"/>
        <v>1</v>
      </c>
    </row>
    <row r="262" spans="1:4" x14ac:dyDescent="0.35">
      <c r="A262" t="s">
        <v>396</v>
      </c>
      <c r="B262" t="s">
        <v>2359</v>
      </c>
      <c r="C262" t="s">
        <v>2359</v>
      </c>
      <c r="D262">
        <f t="shared" si="4"/>
        <v>1</v>
      </c>
    </row>
    <row r="263" spans="1:4" x14ac:dyDescent="0.35">
      <c r="A263" t="s">
        <v>397</v>
      </c>
      <c r="B263" t="s">
        <v>2676</v>
      </c>
      <c r="C263" t="s">
        <v>2676</v>
      </c>
      <c r="D263">
        <f t="shared" si="4"/>
        <v>1</v>
      </c>
    </row>
    <row r="264" spans="1:4" x14ac:dyDescent="0.35">
      <c r="A264" t="s">
        <v>398</v>
      </c>
      <c r="B264" t="s">
        <v>2675</v>
      </c>
      <c r="C264" t="s">
        <v>2675</v>
      </c>
      <c r="D264">
        <f t="shared" si="4"/>
        <v>1</v>
      </c>
    </row>
    <row r="265" spans="1:4" x14ac:dyDescent="0.35">
      <c r="A265" t="s">
        <v>399</v>
      </c>
      <c r="B265" t="s">
        <v>1924</v>
      </c>
      <c r="C265" t="s">
        <v>1924</v>
      </c>
      <c r="D265">
        <f t="shared" si="4"/>
        <v>1</v>
      </c>
    </row>
    <row r="266" spans="1:4" x14ac:dyDescent="0.35">
      <c r="A266" t="s">
        <v>400</v>
      </c>
      <c r="B266" t="s">
        <v>2677</v>
      </c>
      <c r="C266" t="s">
        <v>2677</v>
      </c>
      <c r="D266">
        <f t="shared" si="4"/>
        <v>1</v>
      </c>
    </row>
    <row r="267" spans="1:4" x14ac:dyDescent="0.35">
      <c r="A267" t="s">
        <v>401</v>
      </c>
      <c r="B267" t="s">
        <v>2546</v>
      </c>
      <c r="C267" t="s">
        <v>2546</v>
      </c>
      <c r="D267">
        <f t="shared" si="4"/>
        <v>1</v>
      </c>
    </row>
    <row r="268" spans="1:4" x14ac:dyDescent="0.35">
      <c r="A268" t="s">
        <v>2250</v>
      </c>
      <c r="B268" t="s">
        <v>2360</v>
      </c>
      <c r="C268" t="s">
        <v>2360</v>
      </c>
      <c r="D268">
        <f t="shared" si="4"/>
        <v>1</v>
      </c>
    </row>
    <row r="269" spans="1:4" x14ac:dyDescent="0.35">
      <c r="A269" t="s">
        <v>2251</v>
      </c>
      <c r="B269" t="s">
        <v>403</v>
      </c>
      <c r="C269" t="s">
        <v>403</v>
      </c>
      <c r="D269">
        <f t="shared" si="4"/>
        <v>1</v>
      </c>
    </row>
    <row r="270" spans="1:4" x14ac:dyDescent="0.35">
      <c r="A270" t="s">
        <v>404</v>
      </c>
      <c r="B270" t="s">
        <v>2490</v>
      </c>
      <c r="C270" t="s">
        <v>2490</v>
      </c>
      <c r="D270">
        <f t="shared" si="4"/>
        <v>1</v>
      </c>
    </row>
    <row r="271" spans="1:4" x14ac:dyDescent="0.35">
      <c r="A271" t="s">
        <v>405</v>
      </c>
      <c r="B271" t="s">
        <v>1982</v>
      </c>
      <c r="C271" t="s">
        <v>1982</v>
      </c>
      <c r="D271">
        <f t="shared" si="4"/>
        <v>1</v>
      </c>
    </row>
    <row r="272" spans="1:4" x14ac:dyDescent="0.35">
      <c r="A272" t="s">
        <v>406</v>
      </c>
      <c r="B272" t="s">
        <v>1983</v>
      </c>
      <c r="C272" t="s">
        <v>1983</v>
      </c>
      <c r="D272">
        <f t="shared" si="4"/>
        <v>1</v>
      </c>
    </row>
    <row r="273" spans="1:4" x14ac:dyDescent="0.35">
      <c r="A273" t="s">
        <v>407</v>
      </c>
      <c r="B273" t="s">
        <v>2361</v>
      </c>
      <c r="C273" t="s">
        <v>2361</v>
      </c>
      <c r="D273">
        <f t="shared" si="4"/>
        <v>1</v>
      </c>
    </row>
    <row r="274" spans="1:4" x14ac:dyDescent="0.35">
      <c r="A274" t="s">
        <v>408</v>
      </c>
      <c r="B274" t="s">
        <v>2584</v>
      </c>
      <c r="C274" t="s">
        <v>2584</v>
      </c>
      <c r="D274">
        <f t="shared" si="4"/>
        <v>1</v>
      </c>
    </row>
    <row r="275" spans="1:4" x14ac:dyDescent="0.35">
      <c r="A275" t="s">
        <v>409</v>
      </c>
      <c r="B275" t="s">
        <v>1985</v>
      </c>
      <c r="C275" t="s">
        <v>1985</v>
      </c>
      <c r="D275">
        <f t="shared" si="4"/>
        <v>1</v>
      </c>
    </row>
    <row r="276" spans="1:4" x14ac:dyDescent="0.35">
      <c r="A276" t="s">
        <v>410</v>
      </c>
      <c r="B276" t="s">
        <v>2362</v>
      </c>
      <c r="C276" t="s">
        <v>2362</v>
      </c>
      <c r="D276">
        <f t="shared" si="4"/>
        <v>1</v>
      </c>
    </row>
    <row r="277" spans="1:4" x14ac:dyDescent="0.35">
      <c r="A277" t="s">
        <v>411</v>
      </c>
      <c r="B277" t="s">
        <v>1929</v>
      </c>
      <c r="C277" t="s">
        <v>1929</v>
      </c>
      <c r="D277">
        <f t="shared" si="4"/>
        <v>1</v>
      </c>
    </row>
    <row r="278" spans="1:4" x14ac:dyDescent="0.35">
      <c r="A278" t="s">
        <v>412</v>
      </c>
      <c r="B278" t="s">
        <v>1707</v>
      </c>
      <c r="C278" t="s">
        <v>1707</v>
      </c>
      <c r="D278">
        <f t="shared" si="4"/>
        <v>1</v>
      </c>
    </row>
    <row r="279" spans="1:4" x14ac:dyDescent="0.35">
      <c r="A279" t="s">
        <v>413</v>
      </c>
      <c r="B279" t="s">
        <v>2096</v>
      </c>
      <c r="C279" t="s">
        <v>2096</v>
      </c>
      <c r="D279">
        <f t="shared" si="4"/>
        <v>1</v>
      </c>
    </row>
    <row r="280" spans="1:4" x14ac:dyDescent="0.35">
      <c r="A280" t="s">
        <v>414</v>
      </c>
      <c r="B280" t="s">
        <v>2521</v>
      </c>
      <c r="C280" t="s">
        <v>2521</v>
      </c>
      <c r="D280">
        <f t="shared" si="4"/>
        <v>1</v>
      </c>
    </row>
    <row r="281" spans="1:4" x14ac:dyDescent="0.35">
      <c r="A281" t="s">
        <v>415</v>
      </c>
      <c r="B281" t="s">
        <v>2498</v>
      </c>
      <c r="C281" t="s">
        <v>2498</v>
      </c>
      <c r="D281">
        <f t="shared" si="4"/>
        <v>1</v>
      </c>
    </row>
    <row r="282" spans="1:4" x14ac:dyDescent="0.35">
      <c r="A282" t="s">
        <v>416</v>
      </c>
      <c r="B282" t="s">
        <v>2480</v>
      </c>
      <c r="C282" t="s">
        <v>2480</v>
      </c>
      <c r="D282">
        <f t="shared" si="4"/>
        <v>1</v>
      </c>
    </row>
    <row r="283" spans="1:4" x14ac:dyDescent="0.35">
      <c r="A283" t="s">
        <v>417</v>
      </c>
      <c r="B283" t="s">
        <v>2542</v>
      </c>
      <c r="C283" t="s">
        <v>2542</v>
      </c>
      <c r="D283">
        <f t="shared" si="4"/>
        <v>1</v>
      </c>
    </row>
    <row r="284" spans="1:4" x14ac:dyDescent="0.35">
      <c r="A284" t="s">
        <v>418</v>
      </c>
      <c r="B284" t="s">
        <v>2531</v>
      </c>
      <c r="C284" t="s">
        <v>2531</v>
      </c>
      <c r="D284">
        <f t="shared" si="4"/>
        <v>1</v>
      </c>
    </row>
    <row r="285" spans="1:4" x14ac:dyDescent="0.35">
      <c r="A285" t="s">
        <v>419</v>
      </c>
      <c r="B285" t="s">
        <v>2482</v>
      </c>
      <c r="C285" t="s">
        <v>2482</v>
      </c>
      <c r="D285">
        <f t="shared" si="4"/>
        <v>1</v>
      </c>
    </row>
    <row r="286" spans="1:4" x14ac:dyDescent="0.35">
      <c r="A286" t="s">
        <v>420</v>
      </c>
      <c r="B286" t="s">
        <v>2544</v>
      </c>
      <c r="C286" t="s">
        <v>2544</v>
      </c>
      <c r="D286">
        <f t="shared" si="4"/>
        <v>1</v>
      </c>
    </row>
    <row r="287" spans="1:4" x14ac:dyDescent="0.35">
      <c r="A287" t="s">
        <v>421</v>
      </c>
      <c r="B287" t="s">
        <v>2526</v>
      </c>
      <c r="C287" t="s">
        <v>2526</v>
      </c>
      <c r="D287">
        <f t="shared" si="4"/>
        <v>1</v>
      </c>
    </row>
    <row r="288" spans="1:4" x14ac:dyDescent="0.35">
      <c r="A288" t="s">
        <v>422</v>
      </c>
      <c r="B288" t="s">
        <v>2525</v>
      </c>
      <c r="C288" t="s">
        <v>2525</v>
      </c>
      <c r="D288">
        <f t="shared" si="4"/>
        <v>1</v>
      </c>
    </row>
    <row r="289" spans="1:4" x14ac:dyDescent="0.35">
      <c r="A289" t="s">
        <v>423</v>
      </c>
      <c r="B289" t="s">
        <v>2481</v>
      </c>
      <c r="C289" t="s">
        <v>2481</v>
      </c>
      <c r="D289">
        <f t="shared" si="4"/>
        <v>1</v>
      </c>
    </row>
    <row r="290" spans="1:4" x14ac:dyDescent="0.35">
      <c r="A290" t="s">
        <v>424</v>
      </c>
      <c r="B290" t="s">
        <v>2543</v>
      </c>
      <c r="C290" t="s">
        <v>2543</v>
      </c>
      <c r="D290">
        <f t="shared" si="4"/>
        <v>1</v>
      </c>
    </row>
    <row r="291" spans="1:4" x14ac:dyDescent="0.35">
      <c r="A291" t="s">
        <v>425</v>
      </c>
      <c r="B291" t="s">
        <v>2506</v>
      </c>
      <c r="C291" t="s">
        <v>2506</v>
      </c>
      <c r="D291">
        <f t="shared" si="4"/>
        <v>1</v>
      </c>
    </row>
    <row r="292" spans="1:4" x14ac:dyDescent="0.35">
      <c r="A292" t="s">
        <v>426</v>
      </c>
      <c r="B292" t="s">
        <v>2514</v>
      </c>
      <c r="C292" t="s">
        <v>2514</v>
      </c>
      <c r="D292">
        <f t="shared" si="4"/>
        <v>1</v>
      </c>
    </row>
    <row r="293" spans="1:4" x14ac:dyDescent="0.35">
      <c r="A293" t="s">
        <v>427</v>
      </c>
      <c r="B293" t="s">
        <v>2516</v>
      </c>
      <c r="C293" t="s">
        <v>2516</v>
      </c>
      <c r="D293">
        <f t="shared" si="4"/>
        <v>1</v>
      </c>
    </row>
    <row r="294" spans="1:4" x14ac:dyDescent="0.35">
      <c r="A294" t="s">
        <v>428</v>
      </c>
      <c r="B294" t="s">
        <v>2511</v>
      </c>
      <c r="C294" t="s">
        <v>2511</v>
      </c>
      <c r="D294">
        <f t="shared" si="4"/>
        <v>1</v>
      </c>
    </row>
    <row r="295" spans="1:4" x14ac:dyDescent="0.35">
      <c r="A295" t="s">
        <v>429</v>
      </c>
      <c r="B295" t="s">
        <v>2510</v>
      </c>
      <c r="C295" t="s">
        <v>2510</v>
      </c>
      <c r="D295">
        <f t="shared" si="4"/>
        <v>1</v>
      </c>
    </row>
    <row r="296" spans="1:4" x14ac:dyDescent="0.35">
      <c r="A296" t="s">
        <v>430</v>
      </c>
      <c r="B296" t="s">
        <v>2509</v>
      </c>
      <c r="C296" t="s">
        <v>2509</v>
      </c>
      <c r="D296">
        <f t="shared" si="4"/>
        <v>1</v>
      </c>
    </row>
    <row r="297" spans="1:4" x14ac:dyDescent="0.35">
      <c r="A297" t="s">
        <v>431</v>
      </c>
      <c r="B297" t="s">
        <v>2504</v>
      </c>
      <c r="C297" t="s">
        <v>2504</v>
      </c>
      <c r="D297">
        <f t="shared" si="4"/>
        <v>1</v>
      </c>
    </row>
    <row r="298" spans="1:4" x14ac:dyDescent="0.35">
      <c r="A298" t="s">
        <v>432</v>
      </c>
      <c r="B298" t="s">
        <v>2513</v>
      </c>
      <c r="C298" t="s">
        <v>2513</v>
      </c>
      <c r="D298">
        <f t="shared" si="4"/>
        <v>1</v>
      </c>
    </row>
    <row r="299" spans="1:4" x14ac:dyDescent="0.35">
      <c r="A299" t="s">
        <v>433</v>
      </c>
      <c r="B299" t="s">
        <v>2508</v>
      </c>
      <c r="C299" t="s">
        <v>2508</v>
      </c>
      <c r="D299">
        <f t="shared" si="4"/>
        <v>1</v>
      </c>
    </row>
    <row r="300" spans="1:4" x14ac:dyDescent="0.35">
      <c r="A300" t="s">
        <v>434</v>
      </c>
      <c r="B300" t="s">
        <v>2507</v>
      </c>
      <c r="C300" t="s">
        <v>2507</v>
      </c>
      <c r="D300">
        <f t="shared" si="4"/>
        <v>1</v>
      </c>
    </row>
    <row r="301" spans="1:4" x14ac:dyDescent="0.35">
      <c r="A301" t="s">
        <v>435</v>
      </c>
      <c r="B301" t="s">
        <v>2517</v>
      </c>
      <c r="C301" t="s">
        <v>2517</v>
      </c>
      <c r="D301">
        <f t="shared" si="4"/>
        <v>1</v>
      </c>
    </row>
    <row r="302" spans="1:4" x14ac:dyDescent="0.35">
      <c r="A302" t="s">
        <v>436</v>
      </c>
      <c r="B302" t="s">
        <v>2512</v>
      </c>
      <c r="C302" t="s">
        <v>2512</v>
      </c>
      <c r="D302">
        <f t="shared" si="4"/>
        <v>1</v>
      </c>
    </row>
    <row r="303" spans="1:4" x14ac:dyDescent="0.35">
      <c r="A303" t="s">
        <v>437</v>
      </c>
      <c r="B303" t="s">
        <v>2515</v>
      </c>
      <c r="C303" t="s">
        <v>2515</v>
      </c>
      <c r="D303">
        <f t="shared" si="4"/>
        <v>1</v>
      </c>
    </row>
    <row r="304" spans="1:4" x14ac:dyDescent="0.35">
      <c r="A304" t="s">
        <v>438</v>
      </c>
      <c r="B304" t="s">
        <v>2702</v>
      </c>
      <c r="C304" t="s">
        <v>2702</v>
      </c>
      <c r="D304">
        <f t="shared" si="4"/>
        <v>1</v>
      </c>
    </row>
    <row r="305" spans="1:4" x14ac:dyDescent="0.35">
      <c r="A305" t="s">
        <v>439</v>
      </c>
      <c r="B305" t="s">
        <v>2710</v>
      </c>
      <c r="C305" t="s">
        <v>2710</v>
      </c>
      <c r="D305">
        <f t="shared" si="4"/>
        <v>1</v>
      </c>
    </row>
    <row r="306" spans="1:4" x14ac:dyDescent="0.35">
      <c r="A306" t="s">
        <v>440</v>
      </c>
      <c r="B306" t="s">
        <v>2711</v>
      </c>
      <c r="C306" t="s">
        <v>2711</v>
      </c>
      <c r="D306">
        <f t="shared" si="4"/>
        <v>1</v>
      </c>
    </row>
    <row r="307" spans="1:4" x14ac:dyDescent="0.35">
      <c r="A307" t="s">
        <v>441</v>
      </c>
      <c r="B307" t="s">
        <v>2706</v>
      </c>
      <c r="C307" t="s">
        <v>2706</v>
      </c>
      <c r="D307">
        <f t="shared" si="4"/>
        <v>1</v>
      </c>
    </row>
    <row r="308" spans="1:4" x14ac:dyDescent="0.35">
      <c r="A308" t="s">
        <v>442</v>
      </c>
      <c r="B308" t="s">
        <v>2703</v>
      </c>
      <c r="C308" t="s">
        <v>2703</v>
      </c>
      <c r="D308">
        <f t="shared" si="4"/>
        <v>1</v>
      </c>
    </row>
    <row r="309" spans="1:4" x14ac:dyDescent="0.35">
      <c r="A309" t="s">
        <v>443</v>
      </c>
      <c r="B309" t="s">
        <v>2495</v>
      </c>
      <c r="C309" t="s">
        <v>2495</v>
      </c>
      <c r="D309">
        <f t="shared" si="4"/>
        <v>1</v>
      </c>
    </row>
    <row r="310" spans="1:4" x14ac:dyDescent="0.35">
      <c r="A310" t="s">
        <v>444</v>
      </c>
      <c r="B310" t="s">
        <v>2699</v>
      </c>
      <c r="C310" t="s">
        <v>2699</v>
      </c>
      <c r="D310">
        <f t="shared" si="4"/>
        <v>1</v>
      </c>
    </row>
    <row r="311" spans="1:4" x14ac:dyDescent="0.35">
      <c r="A311" t="s">
        <v>445</v>
      </c>
      <c r="B311" t="s">
        <v>2707</v>
      </c>
      <c r="C311" t="s">
        <v>2707</v>
      </c>
      <c r="D311">
        <f t="shared" si="4"/>
        <v>1</v>
      </c>
    </row>
    <row r="312" spans="1:4" x14ac:dyDescent="0.35">
      <c r="A312" t="s">
        <v>446</v>
      </c>
      <c r="B312" t="s">
        <v>2520</v>
      </c>
      <c r="C312" t="s">
        <v>2520</v>
      </c>
      <c r="D312">
        <f t="shared" si="4"/>
        <v>1</v>
      </c>
    </row>
    <row r="313" spans="1:4" x14ac:dyDescent="0.35">
      <c r="A313" t="s">
        <v>447</v>
      </c>
      <c r="B313" t="s">
        <v>2497</v>
      </c>
      <c r="C313" t="s">
        <v>2497</v>
      </c>
      <c r="D313">
        <f t="shared" si="4"/>
        <v>1</v>
      </c>
    </row>
    <row r="314" spans="1:4" x14ac:dyDescent="0.35">
      <c r="A314" t="s">
        <v>448</v>
      </c>
      <c r="B314" t="s">
        <v>1999</v>
      </c>
      <c r="C314" t="s">
        <v>1999</v>
      </c>
      <c r="D314">
        <f t="shared" si="4"/>
        <v>1</v>
      </c>
    </row>
    <row r="315" spans="1:4" x14ac:dyDescent="0.35">
      <c r="A315" t="s">
        <v>449</v>
      </c>
      <c r="B315" t="s">
        <v>2135</v>
      </c>
      <c r="C315" t="s">
        <v>2135</v>
      </c>
      <c r="D315">
        <f t="shared" si="4"/>
        <v>1</v>
      </c>
    </row>
    <row r="316" spans="1:4" x14ac:dyDescent="0.35">
      <c r="A316" t="s">
        <v>450</v>
      </c>
      <c r="B316" t="s">
        <v>2519</v>
      </c>
      <c r="C316" t="s">
        <v>2519</v>
      </c>
      <c r="D316">
        <f t="shared" si="4"/>
        <v>1</v>
      </c>
    </row>
    <row r="317" spans="1:4" x14ac:dyDescent="0.35">
      <c r="A317" t="s">
        <v>451</v>
      </c>
      <c r="B317" t="s">
        <v>2496</v>
      </c>
      <c r="C317" t="s">
        <v>2496</v>
      </c>
      <c r="D317">
        <f t="shared" si="4"/>
        <v>1</v>
      </c>
    </row>
    <row r="318" spans="1:4" x14ac:dyDescent="0.35">
      <c r="A318" t="s">
        <v>452</v>
      </c>
      <c r="B318" t="s">
        <v>1998</v>
      </c>
      <c r="C318" t="s">
        <v>1998</v>
      </c>
      <c r="D318">
        <f t="shared" si="4"/>
        <v>1</v>
      </c>
    </row>
    <row r="319" spans="1:4" x14ac:dyDescent="0.35">
      <c r="A319" t="s">
        <v>453</v>
      </c>
      <c r="B319" t="s">
        <v>2134</v>
      </c>
      <c r="C319" t="s">
        <v>2134</v>
      </c>
      <c r="D319">
        <f t="shared" si="4"/>
        <v>1</v>
      </c>
    </row>
    <row r="320" spans="1:4" x14ac:dyDescent="0.35">
      <c r="A320" t="s">
        <v>454</v>
      </c>
      <c r="B320" t="s">
        <v>2523</v>
      </c>
      <c r="C320" t="s">
        <v>2523</v>
      </c>
      <c r="D320">
        <f t="shared" si="4"/>
        <v>1</v>
      </c>
    </row>
    <row r="321" spans="1:4" x14ac:dyDescent="0.35">
      <c r="A321" t="s">
        <v>455</v>
      </c>
      <c r="B321" t="s">
        <v>2500</v>
      </c>
      <c r="C321" t="s">
        <v>2500</v>
      </c>
      <c r="D321">
        <f t="shared" si="4"/>
        <v>1</v>
      </c>
    </row>
    <row r="322" spans="1:4" x14ac:dyDescent="0.35">
      <c r="A322" t="s">
        <v>456</v>
      </c>
      <c r="B322" t="s">
        <v>2003</v>
      </c>
      <c r="C322" t="s">
        <v>2003</v>
      </c>
      <c r="D322">
        <f t="shared" si="4"/>
        <v>1</v>
      </c>
    </row>
    <row r="323" spans="1:4" x14ac:dyDescent="0.35">
      <c r="A323" t="s">
        <v>457</v>
      </c>
      <c r="B323" t="s">
        <v>2139</v>
      </c>
      <c r="C323" t="s">
        <v>2139</v>
      </c>
      <c r="D323">
        <f t="shared" ref="D323:D386" si="5">COUNTIF(C:C,C323)</f>
        <v>1</v>
      </c>
    </row>
    <row r="324" spans="1:4" x14ac:dyDescent="0.35">
      <c r="A324" t="s">
        <v>458</v>
      </c>
      <c r="B324" t="s">
        <v>2522</v>
      </c>
      <c r="C324" t="s">
        <v>2522</v>
      </c>
      <c r="D324">
        <f t="shared" si="5"/>
        <v>1</v>
      </c>
    </row>
    <row r="325" spans="1:4" x14ac:dyDescent="0.35">
      <c r="A325" t="s">
        <v>459</v>
      </c>
      <c r="B325" t="s">
        <v>2499</v>
      </c>
      <c r="C325" t="s">
        <v>2499</v>
      </c>
      <c r="D325">
        <f t="shared" si="5"/>
        <v>1</v>
      </c>
    </row>
    <row r="326" spans="1:4" x14ac:dyDescent="0.35">
      <c r="A326" t="s">
        <v>460</v>
      </c>
      <c r="B326" t="s">
        <v>2002</v>
      </c>
      <c r="C326" t="s">
        <v>2002</v>
      </c>
      <c r="D326">
        <f t="shared" si="5"/>
        <v>1</v>
      </c>
    </row>
    <row r="327" spans="1:4" x14ac:dyDescent="0.35">
      <c r="A327" t="s">
        <v>461</v>
      </c>
      <c r="B327" t="s">
        <v>2138</v>
      </c>
      <c r="C327" t="s">
        <v>2138</v>
      </c>
      <c r="D327">
        <f t="shared" si="5"/>
        <v>1</v>
      </c>
    </row>
    <row r="328" spans="1:4" x14ac:dyDescent="0.35">
      <c r="A328" t="s">
        <v>462</v>
      </c>
      <c r="B328" t="s">
        <v>2524</v>
      </c>
      <c r="C328" t="s">
        <v>2524</v>
      </c>
      <c r="D328">
        <f t="shared" si="5"/>
        <v>1</v>
      </c>
    </row>
    <row r="329" spans="1:4" x14ac:dyDescent="0.35">
      <c r="A329" t="s">
        <v>463</v>
      </c>
      <c r="B329" t="s">
        <v>2501</v>
      </c>
      <c r="C329" t="s">
        <v>2501</v>
      </c>
      <c r="D329">
        <f t="shared" si="5"/>
        <v>1</v>
      </c>
    </row>
    <row r="330" spans="1:4" x14ac:dyDescent="0.35">
      <c r="A330" t="s">
        <v>464</v>
      </c>
      <c r="B330" t="s">
        <v>2004</v>
      </c>
      <c r="C330" t="s">
        <v>2004</v>
      </c>
      <c r="D330">
        <f t="shared" si="5"/>
        <v>1</v>
      </c>
    </row>
    <row r="331" spans="1:4" x14ac:dyDescent="0.35">
      <c r="A331" t="s">
        <v>465</v>
      </c>
      <c r="B331" t="s">
        <v>2140</v>
      </c>
      <c r="C331" t="s">
        <v>2140</v>
      </c>
      <c r="D331">
        <f t="shared" si="5"/>
        <v>1</v>
      </c>
    </row>
    <row r="332" spans="1:4" x14ac:dyDescent="0.35">
      <c r="A332" t="s">
        <v>466</v>
      </c>
      <c r="B332" t="s">
        <v>2704</v>
      </c>
      <c r="C332" t="s">
        <v>2704</v>
      </c>
      <c r="D332">
        <f t="shared" si="5"/>
        <v>1</v>
      </c>
    </row>
    <row r="333" spans="1:4" x14ac:dyDescent="0.35">
      <c r="A333" t="s">
        <v>467</v>
      </c>
      <c r="B333" t="s">
        <v>2527</v>
      </c>
      <c r="C333" t="s">
        <v>2527</v>
      </c>
      <c r="D333">
        <f t="shared" si="5"/>
        <v>1</v>
      </c>
    </row>
    <row r="334" spans="1:4" x14ac:dyDescent="0.35">
      <c r="A334" t="s">
        <v>468</v>
      </c>
      <c r="B334" t="s">
        <v>2700</v>
      </c>
      <c r="C334" t="s">
        <v>2700</v>
      </c>
      <c r="D334">
        <f t="shared" si="5"/>
        <v>1</v>
      </c>
    </row>
    <row r="335" spans="1:4" x14ac:dyDescent="0.35">
      <c r="A335" t="s">
        <v>469</v>
      </c>
      <c r="B335" t="s">
        <v>2708</v>
      </c>
      <c r="C335" t="s">
        <v>2708</v>
      </c>
      <c r="D335">
        <f t="shared" si="5"/>
        <v>1</v>
      </c>
    </row>
    <row r="336" spans="1:4" x14ac:dyDescent="0.35">
      <c r="A336" t="s">
        <v>470</v>
      </c>
      <c r="B336" t="s">
        <v>2705</v>
      </c>
      <c r="C336" t="s">
        <v>2705</v>
      </c>
      <c r="D336">
        <f t="shared" si="5"/>
        <v>1</v>
      </c>
    </row>
    <row r="337" spans="1:4" x14ac:dyDescent="0.35">
      <c r="A337" t="s">
        <v>471</v>
      </c>
      <c r="B337" t="s">
        <v>2528</v>
      </c>
      <c r="C337" t="s">
        <v>2528</v>
      </c>
      <c r="D337">
        <f t="shared" si="5"/>
        <v>1</v>
      </c>
    </row>
    <row r="338" spans="1:4" x14ac:dyDescent="0.35">
      <c r="A338" t="s">
        <v>472</v>
      </c>
      <c r="B338" t="s">
        <v>2701</v>
      </c>
      <c r="C338" t="s">
        <v>2701</v>
      </c>
      <c r="D338">
        <f t="shared" si="5"/>
        <v>1</v>
      </c>
    </row>
    <row r="339" spans="1:4" x14ac:dyDescent="0.35">
      <c r="A339" t="s">
        <v>473</v>
      </c>
      <c r="B339" t="s">
        <v>2709</v>
      </c>
      <c r="C339" t="s">
        <v>2709</v>
      </c>
      <c r="D339">
        <f t="shared" si="5"/>
        <v>1</v>
      </c>
    </row>
    <row r="340" spans="1:4" x14ac:dyDescent="0.35">
      <c r="A340" t="s">
        <v>474</v>
      </c>
      <c r="B340" t="s">
        <v>2536</v>
      </c>
      <c r="C340" t="s">
        <v>2536</v>
      </c>
      <c r="D340">
        <f t="shared" si="5"/>
        <v>1</v>
      </c>
    </row>
    <row r="341" spans="1:4" x14ac:dyDescent="0.35">
      <c r="A341" t="s">
        <v>475</v>
      </c>
      <c r="B341" t="s">
        <v>2530</v>
      </c>
      <c r="C341" t="s">
        <v>2530</v>
      </c>
      <c r="D341">
        <f t="shared" si="5"/>
        <v>1</v>
      </c>
    </row>
    <row r="342" spans="1:4" x14ac:dyDescent="0.35">
      <c r="A342" t="s">
        <v>476</v>
      </c>
      <c r="B342" t="s">
        <v>2010</v>
      </c>
      <c r="C342" t="s">
        <v>2010</v>
      </c>
      <c r="D342">
        <f t="shared" si="5"/>
        <v>1</v>
      </c>
    </row>
    <row r="343" spans="1:4" x14ac:dyDescent="0.35">
      <c r="A343" t="s">
        <v>477</v>
      </c>
      <c r="B343" t="s">
        <v>2146</v>
      </c>
      <c r="C343" t="s">
        <v>2146</v>
      </c>
      <c r="D343">
        <f t="shared" si="5"/>
        <v>1</v>
      </c>
    </row>
    <row r="344" spans="1:4" x14ac:dyDescent="0.35">
      <c r="A344" t="s">
        <v>478</v>
      </c>
      <c r="B344" t="s">
        <v>2535</v>
      </c>
      <c r="C344" t="s">
        <v>2535</v>
      </c>
      <c r="D344">
        <f t="shared" si="5"/>
        <v>1</v>
      </c>
    </row>
    <row r="345" spans="1:4" x14ac:dyDescent="0.35">
      <c r="A345" t="s">
        <v>479</v>
      </c>
      <c r="B345" t="s">
        <v>2529</v>
      </c>
      <c r="C345" t="s">
        <v>2529</v>
      </c>
      <c r="D345">
        <f t="shared" si="5"/>
        <v>1</v>
      </c>
    </row>
    <row r="346" spans="1:4" x14ac:dyDescent="0.35">
      <c r="A346" t="s">
        <v>480</v>
      </c>
      <c r="B346" t="s">
        <v>2009</v>
      </c>
      <c r="C346" t="s">
        <v>2009</v>
      </c>
      <c r="D346">
        <f t="shared" si="5"/>
        <v>1</v>
      </c>
    </row>
    <row r="347" spans="1:4" x14ac:dyDescent="0.35">
      <c r="A347" t="s">
        <v>481</v>
      </c>
      <c r="B347" t="s">
        <v>2145</v>
      </c>
      <c r="C347" t="s">
        <v>2145</v>
      </c>
      <c r="D347">
        <f t="shared" si="5"/>
        <v>1</v>
      </c>
    </row>
    <row r="348" spans="1:4" x14ac:dyDescent="0.35">
      <c r="A348" t="s">
        <v>482</v>
      </c>
      <c r="B348" t="s">
        <v>2540</v>
      </c>
      <c r="C348" t="s">
        <v>2540</v>
      </c>
      <c r="D348">
        <f t="shared" si="5"/>
        <v>1</v>
      </c>
    </row>
    <row r="349" spans="1:4" x14ac:dyDescent="0.35">
      <c r="A349" t="s">
        <v>483</v>
      </c>
      <c r="B349" t="s">
        <v>2533</v>
      </c>
      <c r="C349" t="s">
        <v>2533</v>
      </c>
      <c r="D349">
        <f t="shared" si="5"/>
        <v>1</v>
      </c>
    </row>
    <row r="350" spans="1:4" x14ac:dyDescent="0.35">
      <c r="A350" t="s">
        <v>484</v>
      </c>
      <c r="B350" t="s">
        <v>2015</v>
      </c>
      <c r="C350" t="s">
        <v>2015</v>
      </c>
      <c r="D350">
        <f t="shared" si="5"/>
        <v>1</v>
      </c>
    </row>
    <row r="351" spans="1:4" x14ac:dyDescent="0.35">
      <c r="A351" t="s">
        <v>485</v>
      </c>
      <c r="B351" t="s">
        <v>2151</v>
      </c>
      <c r="C351" t="s">
        <v>2151</v>
      </c>
      <c r="D351">
        <f t="shared" si="5"/>
        <v>1</v>
      </c>
    </row>
    <row r="352" spans="1:4" x14ac:dyDescent="0.35">
      <c r="A352" t="s">
        <v>486</v>
      </c>
      <c r="B352" t="s">
        <v>2539</v>
      </c>
      <c r="C352" t="s">
        <v>2539</v>
      </c>
      <c r="D352">
        <f t="shared" si="5"/>
        <v>1</v>
      </c>
    </row>
    <row r="353" spans="1:4" x14ac:dyDescent="0.35">
      <c r="A353" t="s">
        <v>487</v>
      </c>
      <c r="B353" t="s">
        <v>2532</v>
      </c>
      <c r="C353" t="s">
        <v>2532</v>
      </c>
      <c r="D353">
        <f t="shared" si="5"/>
        <v>1</v>
      </c>
    </row>
    <row r="354" spans="1:4" x14ac:dyDescent="0.35">
      <c r="A354" t="s">
        <v>488</v>
      </c>
      <c r="B354" t="s">
        <v>2014</v>
      </c>
      <c r="C354" t="s">
        <v>2014</v>
      </c>
      <c r="D354">
        <f t="shared" si="5"/>
        <v>1</v>
      </c>
    </row>
    <row r="355" spans="1:4" x14ac:dyDescent="0.35">
      <c r="A355" t="s">
        <v>489</v>
      </c>
      <c r="B355" t="s">
        <v>2150</v>
      </c>
      <c r="C355" t="s">
        <v>2150</v>
      </c>
      <c r="D355">
        <f t="shared" si="5"/>
        <v>1</v>
      </c>
    </row>
    <row r="356" spans="1:4" x14ac:dyDescent="0.35">
      <c r="A356" t="s">
        <v>490</v>
      </c>
      <c r="B356" t="s">
        <v>2541</v>
      </c>
      <c r="C356" t="s">
        <v>2541</v>
      </c>
      <c r="D356">
        <f t="shared" si="5"/>
        <v>1</v>
      </c>
    </row>
    <row r="357" spans="1:4" x14ac:dyDescent="0.35">
      <c r="A357" t="s">
        <v>491</v>
      </c>
      <c r="B357" t="s">
        <v>2534</v>
      </c>
      <c r="C357" t="s">
        <v>2534</v>
      </c>
      <c r="D357">
        <f t="shared" si="5"/>
        <v>1</v>
      </c>
    </row>
    <row r="358" spans="1:4" x14ac:dyDescent="0.35">
      <c r="A358" t="s">
        <v>492</v>
      </c>
      <c r="B358" t="s">
        <v>2016</v>
      </c>
      <c r="C358" t="s">
        <v>2016</v>
      </c>
      <c r="D358">
        <f t="shared" si="5"/>
        <v>1</v>
      </c>
    </row>
    <row r="359" spans="1:4" x14ac:dyDescent="0.35">
      <c r="A359" t="s">
        <v>493</v>
      </c>
      <c r="B359" t="s">
        <v>2152</v>
      </c>
      <c r="C359" t="s">
        <v>2152</v>
      </c>
      <c r="D359">
        <f t="shared" si="5"/>
        <v>1</v>
      </c>
    </row>
    <row r="360" spans="1:4" x14ac:dyDescent="0.35">
      <c r="A360" t="s">
        <v>494</v>
      </c>
      <c r="B360" t="s">
        <v>2681</v>
      </c>
      <c r="C360" t="s">
        <v>2681</v>
      </c>
      <c r="D360">
        <f t="shared" si="5"/>
        <v>1</v>
      </c>
    </row>
    <row r="361" spans="1:4" x14ac:dyDescent="0.35">
      <c r="A361" t="s">
        <v>495</v>
      </c>
      <c r="B361" t="s">
        <v>2715</v>
      </c>
      <c r="C361" t="s">
        <v>2715</v>
      </c>
      <c r="D361">
        <f t="shared" si="5"/>
        <v>1</v>
      </c>
    </row>
    <row r="362" spans="1:4" x14ac:dyDescent="0.35">
      <c r="A362" t="s">
        <v>496</v>
      </c>
      <c r="B362" t="s">
        <v>2648</v>
      </c>
      <c r="C362" t="s">
        <v>2648</v>
      </c>
      <c r="D362">
        <f t="shared" si="5"/>
        <v>1</v>
      </c>
    </row>
    <row r="363" spans="1:4" x14ac:dyDescent="0.35">
      <c r="A363" t="s">
        <v>497</v>
      </c>
      <c r="B363" t="s">
        <v>2363</v>
      </c>
      <c r="C363" t="s">
        <v>2363</v>
      </c>
      <c r="D363">
        <f t="shared" si="5"/>
        <v>1</v>
      </c>
    </row>
    <row r="364" spans="1:4" x14ac:dyDescent="0.35">
      <c r="A364" t="s">
        <v>498</v>
      </c>
      <c r="B364" t="s">
        <v>2638</v>
      </c>
      <c r="C364" t="s">
        <v>2638</v>
      </c>
      <c r="D364">
        <f t="shared" si="5"/>
        <v>1</v>
      </c>
    </row>
    <row r="365" spans="1:4" x14ac:dyDescent="0.35">
      <c r="A365" t="s">
        <v>499</v>
      </c>
      <c r="B365" t="s">
        <v>1776</v>
      </c>
      <c r="C365" t="s">
        <v>1776</v>
      </c>
      <c r="D365">
        <f t="shared" si="5"/>
        <v>1</v>
      </c>
    </row>
    <row r="366" spans="1:4" x14ac:dyDescent="0.35">
      <c r="A366" t="s">
        <v>500</v>
      </c>
      <c r="B366" t="s">
        <v>1940</v>
      </c>
      <c r="C366" t="s">
        <v>1940</v>
      </c>
      <c r="D366">
        <f t="shared" si="5"/>
        <v>1</v>
      </c>
    </row>
    <row r="367" spans="1:4" x14ac:dyDescent="0.35">
      <c r="A367" t="s">
        <v>501</v>
      </c>
      <c r="B367" t="s">
        <v>2017</v>
      </c>
      <c r="C367" t="s">
        <v>2017</v>
      </c>
      <c r="D367">
        <f t="shared" si="5"/>
        <v>1</v>
      </c>
    </row>
    <row r="368" spans="1:4" x14ac:dyDescent="0.35">
      <c r="A368" t="s">
        <v>502</v>
      </c>
      <c r="B368" t="s">
        <v>2153</v>
      </c>
      <c r="C368" t="s">
        <v>2153</v>
      </c>
      <c r="D368">
        <f t="shared" si="5"/>
        <v>1</v>
      </c>
    </row>
    <row r="369" spans="1:4" x14ac:dyDescent="0.35">
      <c r="A369" t="s">
        <v>503</v>
      </c>
      <c r="B369" t="s">
        <v>2092</v>
      </c>
      <c r="C369" t="s">
        <v>2092</v>
      </c>
      <c r="D369">
        <f t="shared" si="5"/>
        <v>1</v>
      </c>
    </row>
    <row r="370" spans="1:4" x14ac:dyDescent="0.35">
      <c r="A370" t="s">
        <v>504</v>
      </c>
      <c r="B370" t="s">
        <v>1941</v>
      </c>
      <c r="C370" t="s">
        <v>1941</v>
      </c>
      <c r="D370">
        <f t="shared" si="5"/>
        <v>1</v>
      </c>
    </row>
    <row r="371" spans="1:4" x14ac:dyDescent="0.35">
      <c r="A371" t="s">
        <v>505</v>
      </c>
      <c r="B371" t="s">
        <v>2473</v>
      </c>
      <c r="C371" t="s">
        <v>2473</v>
      </c>
      <c r="D371">
        <f t="shared" si="5"/>
        <v>1</v>
      </c>
    </row>
    <row r="372" spans="1:4" x14ac:dyDescent="0.35">
      <c r="A372" t="s">
        <v>506</v>
      </c>
      <c r="B372" t="s">
        <v>2149</v>
      </c>
      <c r="C372" t="s">
        <v>2149</v>
      </c>
      <c r="D372">
        <f t="shared" si="5"/>
        <v>1</v>
      </c>
    </row>
    <row r="373" spans="1:4" x14ac:dyDescent="0.35">
      <c r="A373" t="s">
        <v>507</v>
      </c>
      <c r="B373" t="s">
        <v>2538</v>
      </c>
      <c r="C373" t="s">
        <v>2538</v>
      </c>
      <c r="D373">
        <f t="shared" si="5"/>
        <v>1</v>
      </c>
    </row>
    <row r="374" spans="1:4" x14ac:dyDescent="0.35">
      <c r="A374" t="s">
        <v>508</v>
      </c>
      <c r="B374" t="s">
        <v>1950</v>
      </c>
      <c r="C374" t="s">
        <v>1950</v>
      </c>
      <c r="D374">
        <f t="shared" si="5"/>
        <v>1</v>
      </c>
    </row>
    <row r="375" spans="1:4" x14ac:dyDescent="0.35">
      <c r="A375" t="s">
        <v>509</v>
      </c>
      <c r="B375" t="s">
        <v>509</v>
      </c>
      <c r="C375" t="s">
        <v>509</v>
      </c>
      <c r="D375">
        <f t="shared" si="5"/>
        <v>1</v>
      </c>
    </row>
    <row r="376" spans="1:4" x14ac:dyDescent="0.35">
      <c r="A376" t="s">
        <v>510</v>
      </c>
      <c r="B376" t="s">
        <v>2293</v>
      </c>
      <c r="C376" t="s">
        <v>2293</v>
      </c>
      <c r="D376">
        <f t="shared" si="5"/>
        <v>1</v>
      </c>
    </row>
    <row r="377" spans="1:4" x14ac:dyDescent="0.35">
      <c r="A377" t="s">
        <v>511</v>
      </c>
      <c r="B377" t="s">
        <v>2056</v>
      </c>
      <c r="C377" t="s">
        <v>2056</v>
      </c>
      <c r="D377">
        <f t="shared" si="5"/>
        <v>1</v>
      </c>
    </row>
    <row r="378" spans="1:4" x14ac:dyDescent="0.35">
      <c r="A378" t="s">
        <v>512</v>
      </c>
      <c r="B378" t="s">
        <v>1957</v>
      </c>
      <c r="C378" t="s">
        <v>1957</v>
      </c>
      <c r="D378">
        <f t="shared" si="5"/>
        <v>1</v>
      </c>
    </row>
    <row r="379" spans="1:4" x14ac:dyDescent="0.35">
      <c r="A379" t="s">
        <v>513</v>
      </c>
      <c r="B379" t="s">
        <v>2116</v>
      </c>
      <c r="C379" t="s">
        <v>2116</v>
      </c>
      <c r="D379">
        <f t="shared" si="5"/>
        <v>1</v>
      </c>
    </row>
    <row r="380" spans="1:4" x14ac:dyDescent="0.35">
      <c r="A380" t="s">
        <v>2252</v>
      </c>
      <c r="B380" t="s">
        <v>2364</v>
      </c>
      <c r="C380" t="s">
        <v>2364</v>
      </c>
      <c r="D380">
        <f t="shared" si="5"/>
        <v>1</v>
      </c>
    </row>
    <row r="381" spans="1:4" x14ac:dyDescent="0.35">
      <c r="A381" t="s">
        <v>515</v>
      </c>
      <c r="B381" t="s">
        <v>2066</v>
      </c>
      <c r="C381" t="s">
        <v>2066</v>
      </c>
      <c r="D381">
        <f t="shared" si="5"/>
        <v>1</v>
      </c>
    </row>
    <row r="382" spans="1:4" x14ac:dyDescent="0.35">
      <c r="A382" t="s">
        <v>516</v>
      </c>
      <c r="B382" t="s">
        <v>2067</v>
      </c>
      <c r="C382" t="s">
        <v>2067</v>
      </c>
      <c r="D382">
        <f t="shared" si="5"/>
        <v>1</v>
      </c>
    </row>
    <row r="383" spans="1:4" x14ac:dyDescent="0.35">
      <c r="A383" t="s">
        <v>517</v>
      </c>
      <c r="B383" t="s">
        <v>2068</v>
      </c>
      <c r="C383" t="s">
        <v>2068</v>
      </c>
      <c r="D383">
        <f t="shared" si="5"/>
        <v>1</v>
      </c>
    </row>
    <row r="384" spans="1:4" x14ac:dyDescent="0.35">
      <c r="A384" t="s">
        <v>518</v>
      </c>
      <c r="B384" t="s">
        <v>1953</v>
      </c>
      <c r="C384" t="s">
        <v>1953</v>
      </c>
      <c r="D384">
        <f t="shared" si="5"/>
        <v>1</v>
      </c>
    </row>
    <row r="385" spans="1:4" x14ac:dyDescent="0.35">
      <c r="A385" t="s">
        <v>519</v>
      </c>
      <c r="B385" t="s">
        <v>1961</v>
      </c>
      <c r="C385" t="s">
        <v>1961</v>
      </c>
      <c r="D385">
        <f t="shared" si="5"/>
        <v>1</v>
      </c>
    </row>
    <row r="386" spans="1:4" x14ac:dyDescent="0.35">
      <c r="A386" t="s">
        <v>520</v>
      </c>
      <c r="B386" t="s">
        <v>1965</v>
      </c>
      <c r="C386" t="s">
        <v>1965</v>
      </c>
      <c r="D386">
        <f t="shared" si="5"/>
        <v>1</v>
      </c>
    </row>
    <row r="387" spans="1:4" x14ac:dyDescent="0.35">
      <c r="A387" t="s">
        <v>521</v>
      </c>
      <c r="B387" t="s">
        <v>1964</v>
      </c>
      <c r="C387" t="s">
        <v>1964</v>
      </c>
      <c r="D387">
        <f t="shared" ref="D387:D450" si="6">COUNTIF(C:C,C387)</f>
        <v>1</v>
      </c>
    </row>
    <row r="388" spans="1:4" x14ac:dyDescent="0.35">
      <c r="A388" t="s">
        <v>522</v>
      </c>
      <c r="B388" t="s">
        <v>2503</v>
      </c>
      <c r="C388" t="s">
        <v>2503</v>
      </c>
      <c r="D388">
        <f t="shared" si="6"/>
        <v>1</v>
      </c>
    </row>
    <row r="389" spans="1:4" x14ac:dyDescent="0.35">
      <c r="A389" t="s">
        <v>523</v>
      </c>
      <c r="B389" t="s">
        <v>1963</v>
      </c>
      <c r="C389" t="s">
        <v>1963</v>
      </c>
      <c r="D389">
        <f t="shared" si="6"/>
        <v>1</v>
      </c>
    </row>
    <row r="390" spans="1:4" x14ac:dyDescent="0.35">
      <c r="A390" t="s">
        <v>524</v>
      </c>
      <c r="B390" t="s">
        <v>1966</v>
      </c>
      <c r="C390" t="s">
        <v>1966</v>
      </c>
      <c r="D390">
        <f t="shared" si="6"/>
        <v>1</v>
      </c>
    </row>
    <row r="391" spans="1:4" x14ac:dyDescent="0.35">
      <c r="A391" t="s">
        <v>525</v>
      </c>
      <c r="B391" t="s">
        <v>2365</v>
      </c>
      <c r="C391" t="s">
        <v>2365</v>
      </c>
      <c r="D391">
        <f t="shared" si="6"/>
        <v>1</v>
      </c>
    </row>
    <row r="392" spans="1:4" x14ac:dyDescent="0.35">
      <c r="A392" t="s">
        <v>526</v>
      </c>
      <c r="B392" t="s">
        <v>2502</v>
      </c>
      <c r="C392" t="s">
        <v>2502</v>
      </c>
      <c r="D392">
        <f t="shared" si="6"/>
        <v>1</v>
      </c>
    </row>
    <row r="393" spans="1:4" x14ac:dyDescent="0.35">
      <c r="A393" t="s">
        <v>527</v>
      </c>
      <c r="B393" t="s">
        <v>2366</v>
      </c>
      <c r="C393" t="s">
        <v>2366</v>
      </c>
      <c r="D393">
        <f t="shared" si="6"/>
        <v>1</v>
      </c>
    </row>
    <row r="394" spans="1:4" x14ac:dyDescent="0.35">
      <c r="A394" t="s">
        <v>528</v>
      </c>
      <c r="B394" t="s">
        <v>1970</v>
      </c>
      <c r="C394" t="s">
        <v>1970</v>
      </c>
      <c r="D394">
        <f t="shared" si="6"/>
        <v>1</v>
      </c>
    </row>
    <row r="395" spans="1:4" x14ac:dyDescent="0.35">
      <c r="A395" t="s">
        <v>529</v>
      </c>
      <c r="B395" t="s">
        <v>2367</v>
      </c>
      <c r="C395" t="s">
        <v>2367</v>
      </c>
      <c r="D395">
        <f t="shared" si="6"/>
        <v>1</v>
      </c>
    </row>
    <row r="396" spans="1:4" x14ac:dyDescent="0.35">
      <c r="A396" t="s">
        <v>530</v>
      </c>
      <c r="B396" t="s">
        <v>1971</v>
      </c>
      <c r="C396" t="s">
        <v>1971</v>
      </c>
      <c r="D396">
        <f t="shared" si="6"/>
        <v>1</v>
      </c>
    </row>
    <row r="397" spans="1:4" x14ac:dyDescent="0.35">
      <c r="A397" t="s">
        <v>531</v>
      </c>
      <c r="B397" t="s">
        <v>1994</v>
      </c>
      <c r="C397" t="s">
        <v>1994</v>
      </c>
      <c r="D397">
        <f t="shared" si="6"/>
        <v>1</v>
      </c>
    </row>
    <row r="398" spans="1:4" x14ac:dyDescent="0.35">
      <c r="A398" t="s">
        <v>532</v>
      </c>
      <c r="B398" t="s">
        <v>2368</v>
      </c>
      <c r="C398" t="s">
        <v>2368</v>
      </c>
      <c r="D398">
        <f t="shared" si="6"/>
        <v>1</v>
      </c>
    </row>
    <row r="399" spans="1:4" x14ac:dyDescent="0.35">
      <c r="A399" t="s">
        <v>533</v>
      </c>
      <c r="B399" t="s">
        <v>2122</v>
      </c>
      <c r="C399" t="s">
        <v>2122</v>
      </c>
      <c r="D399">
        <f t="shared" si="6"/>
        <v>1</v>
      </c>
    </row>
    <row r="400" spans="1:4" x14ac:dyDescent="0.35">
      <c r="A400" t="s">
        <v>534</v>
      </c>
      <c r="B400" t="s">
        <v>2114</v>
      </c>
      <c r="C400" t="s">
        <v>2114</v>
      </c>
      <c r="D400">
        <f t="shared" si="6"/>
        <v>1</v>
      </c>
    </row>
    <row r="401" spans="1:4" x14ac:dyDescent="0.35">
      <c r="A401" t="s">
        <v>535</v>
      </c>
      <c r="B401" t="s">
        <v>2115</v>
      </c>
      <c r="C401" t="s">
        <v>2115</v>
      </c>
      <c r="D401">
        <f t="shared" si="6"/>
        <v>1</v>
      </c>
    </row>
    <row r="402" spans="1:4" x14ac:dyDescent="0.35">
      <c r="A402" t="s">
        <v>536</v>
      </c>
      <c r="B402" t="s">
        <v>2059</v>
      </c>
      <c r="C402" t="s">
        <v>2059</v>
      </c>
      <c r="D402">
        <f t="shared" si="6"/>
        <v>1</v>
      </c>
    </row>
    <row r="403" spans="1:4" x14ac:dyDescent="0.35">
      <c r="A403" t="s">
        <v>537</v>
      </c>
      <c r="B403" t="s">
        <v>1979</v>
      </c>
      <c r="C403" t="s">
        <v>1979</v>
      </c>
      <c r="D403">
        <f t="shared" si="6"/>
        <v>1</v>
      </c>
    </row>
    <row r="404" spans="1:4" x14ac:dyDescent="0.35">
      <c r="A404" t="s">
        <v>538</v>
      </c>
      <c r="B404" t="s">
        <v>2472</v>
      </c>
      <c r="C404" t="s">
        <v>2472</v>
      </c>
      <c r="D404">
        <f t="shared" si="6"/>
        <v>1</v>
      </c>
    </row>
    <row r="405" spans="1:4" x14ac:dyDescent="0.35">
      <c r="A405" t="s">
        <v>539</v>
      </c>
      <c r="B405" t="s">
        <v>2118</v>
      </c>
      <c r="C405" t="s">
        <v>2118</v>
      </c>
      <c r="D405">
        <f t="shared" si="6"/>
        <v>1</v>
      </c>
    </row>
    <row r="406" spans="1:4" x14ac:dyDescent="0.35">
      <c r="A406" t="s">
        <v>540</v>
      </c>
      <c r="B406" t="s">
        <v>2117</v>
      </c>
      <c r="C406" t="s">
        <v>2117</v>
      </c>
      <c r="D406">
        <f t="shared" si="6"/>
        <v>1</v>
      </c>
    </row>
    <row r="407" spans="1:4" x14ac:dyDescent="0.35">
      <c r="A407" t="s">
        <v>541</v>
      </c>
      <c r="B407" t="s">
        <v>2119</v>
      </c>
      <c r="C407" t="s">
        <v>2119</v>
      </c>
      <c r="D407">
        <f t="shared" si="6"/>
        <v>1</v>
      </c>
    </row>
    <row r="408" spans="1:4" x14ac:dyDescent="0.35">
      <c r="A408" t="s">
        <v>542</v>
      </c>
      <c r="B408" t="s">
        <v>1952</v>
      </c>
      <c r="C408" t="s">
        <v>1952</v>
      </c>
      <c r="D408">
        <f t="shared" si="6"/>
        <v>1</v>
      </c>
    </row>
    <row r="409" spans="1:4" x14ac:dyDescent="0.35">
      <c r="A409" t="s">
        <v>543</v>
      </c>
      <c r="B409" t="s">
        <v>1973</v>
      </c>
      <c r="C409" t="s">
        <v>1973</v>
      </c>
      <c r="D409">
        <f t="shared" si="6"/>
        <v>1</v>
      </c>
    </row>
    <row r="410" spans="1:4" x14ac:dyDescent="0.35">
      <c r="A410" t="s">
        <v>544</v>
      </c>
      <c r="B410" t="s">
        <v>1665</v>
      </c>
      <c r="C410" t="s">
        <v>1665</v>
      </c>
      <c r="D410">
        <f t="shared" si="6"/>
        <v>1</v>
      </c>
    </row>
    <row r="411" spans="1:4" x14ac:dyDescent="0.35">
      <c r="A411" t="s">
        <v>545</v>
      </c>
      <c r="B411" t="s">
        <v>1975</v>
      </c>
      <c r="C411" t="s">
        <v>1975</v>
      </c>
      <c r="D411">
        <f t="shared" si="6"/>
        <v>1</v>
      </c>
    </row>
    <row r="412" spans="1:4" x14ac:dyDescent="0.35">
      <c r="A412" t="s">
        <v>546</v>
      </c>
      <c r="B412" t="s">
        <v>1976</v>
      </c>
      <c r="C412" t="s">
        <v>1976</v>
      </c>
      <c r="D412">
        <f t="shared" si="6"/>
        <v>1</v>
      </c>
    </row>
    <row r="413" spans="1:4" x14ac:dyDescent="0.35">
      <c r="A413" t="s">
        <v>547</v>
      </c>
      <c r="B413" t="s">
        <v>1977</v>
      </c>
      <c r="C413" t="s">
        <v>1977</v>
      </c>
      <c r="D413">
        <f t="shared" si="6"/>
        <v>1</v>
      </c>
    </row>
    <row r="414" spans="1:4" x14ac:dyDescent="0.35">
      <c r="A414" t="s">
        <v>548</v>
      </c>
      <c r="B414" t="s">
        <v>1978</v>
      </c>
      <c r="C414" t="s">
        <v>1978</v>
      </c>
      <c r="D414">
        <f t="shared" si="6"/>
        <v>1</v>
      </c>
    </row>
    <row r="415" spans="1:4" x14ac:dyDescent="0.35">
      <c r="A415" t="s">
        <v>549</v>
      </c>
      <c r="B415" t="s">
        <v>2633</v>
      </c>
      <c r="C415" t="s">
        <v>2633</v>
      </c>
      <c r="D415">
        <f t="shared" si="6"/>
        <v>1</v>
      </c>
    </row>
    <row r="416" spans="1:4" x14ac:dyDescent="0.35">
      <c r="A416" t="s">
        <v>550</v>
      </c>
      <c r="B416" t="s">
        <v>1917</v>
      </c>
      <c r="C416" t="s">
        <v>1917</v>
      </c>
      <c r="D416">
        <f t="shared" si="6"/>
        <v>1</v>
      </c>
    </row>
    <row r="417" spans="1:4" x14ac:dyDescent="0.35">
      <c r="A417" t="s">
        <v>551</v>
      </c>
      <c r="B417" t="s">
        <v>2635</v>
      </c>
      <c r="C417" t="s">
        <v>2635</v>
      </c>
      <c r="D417">
        <f t="shared" si="6"/>
        <v>1</v>
      </c>
    </row>
    <row r="418" spans="1:4" x14ac:dyDescent="0.35">
      <c r="A418" t="s">
        <v>552</v>
      </c>
      <c r="B418" t="s">
        <v>1918</v>
      </c>
      <c r="C418" t="s">
        <v>1918</v>
      </c>
      <c r="D418">
        <f t="shared" si="6"/>
        <v>1</v>
      </c>
    </row>
    <row r="419" spans="1:4" x14ac:dyDescent="0.35">
      <c r="A419" t="s">
        <v>553</v>
      </c>
      <c r="B419" t="s">
        <v>1916</v>
      </c>
      <c r="C419" t="s">
        <v>1916</v>
      </c>
      <c r="D419">
        <f t="shared" si="6"/>
        <v>1</v>
      </c>
    </row>
    <row r="420" spans="1:4" x14ac:dyDescent="0.35">
      <c r="A420" t="s">
        <v>554</v>
      </c>
      <c r="B420" t="s">
        <v>2585</v>
      </c>
      <c r="C420" t="s">
        <v>2585</v>
      </c>
      <c r="D420">
        <f t="shared" si="6"/>
        <v>1</v>
      </c>
    </row>
    <row r="421" spans="1:4" x14ac:dyDescent="0.35">
      <c r="A421" t="s">
        <v>555</v>
      </c>
      <c r="B421" t="s">
        <v>1914</v>
      </c>
      <c r="C421" t="s">
        <v>1914</v>
      </c>
      <c r="D421">
        <f t="shared" si="6"/>
        <v>1</v>
      </c>
    </row>
    <row r="422" spans="1:4" x14ac:dyDescent="0.35">
      <c r="A422" t="s">
        <v>556</v>
      </c>
      <c r="B422" t="s">
        <v>2469</v>
      </c>
      <c r="C422" t="s">
        <v>2469</v>
      </c>
      <c r="D422">
        <f t="shared" si="6"/>
        <v>1</v>
      </c>
    </row>
    <row r="423" spans="1:4" x14ac:dyDescent="0.35">
      <c r="A423" t="s">
        <v>557</v>
      </c>
      <c r="B423" t="s">
        <v>2369</v>
      </c>
      <c r="C423" t="s">
        <v>2369</v>
      </c>
      <c r="D423">
        <f t="shared" si="6"/>
        <v>1</v>
      </c>
    </row>
    <row r="424" spans="1:4" x14ac:dyDescent="0.35">
      <c r="A424" t="s">
        <v>558</v>
      </c>
      <c r="B424" t="s">
        <v>2379</v>
      </c>
      <c r="C424" t="s">
        <v>2379</v>
      </c>
      <c r="D424">
        <f t="shared" si="6"/>
        <v>1</v>
      </c>
    </row>
    <row r="425" spans="1:4" x14ac:dyDescent="0.35">
      <c r="A425" t="s">
        <v>559</v>
      </c>
      <c r="B425" t="s">
        <v>1911</v>
      </c>
      <c r="C425" t="s">
        <v>1911</v>
      </c>
      <c r="D425">
        <f t="shared" si="6"/>
        <v>1</v>
      </c>
    </row>
    <row r="426" spans="1:4" x14ac:dyDescent="0.35">
      <c r="A426" t="s">
        <v>560</v>
      </c>
      <c r="B426" t="s">
        <v>1909</v>
      </c>
      <c r="C426" t="s">
        <v>1909</v>
      </c>
      <c r="D426">
        <f t="shared" si="6"/>
        <v>1</v>
      </c>
    </row>
    <row r="427" spans="1:4" x14ac:dyDescent="0.35">
      <c r="A427" t="s">
        <v>561</v>
      </c>
      <c r="B427" t="s">
        <v>2098</v>
      </c>
      <c r="C427" t="s">
        <v>2098</v>
      </c>
      <c r="D427">
        <f t="shared" si="6"/>
        <v>1</v>
      </c>
    </row>
    <row r="428" spans="1:4" x14ac:dyDescent="0.35">
      <c r="A428" t="s">
        <v>562</v>
      </c>
      <c r="B428" t="s">
        <v>2097</v>
      </c>
      <c r="C428" t="s">
        <v>2097</v>
      </c>
      <c r="D428">
        <f t="shared" si="6"/>
        <v>1</v>
      </c>
    </row>
    <row r="429" spans="1:4" x14ac:dyDescent="0.35">
      <c r="A429" t="s">
        <v>563</v>
      </c>
      <c r="B429" t="s">
        <v>2045</v>
      </c>
      <c r="C429" t="s">
        <v>2045</v>
      </c>
      <c r="D429">
        <f t="shared" si="6"/>
        <v>1</v>
      </c>
    </row>
    <row r="430" spans="1:4" x14ac:dyDescent="0.35">
      <c r="A430" t="s">
        <v>564</v>
      </c>
      <c r="B430" t="s">
        <v>2044</v>
      </c>
      <c r="C430" t="s">
        <v>2044</v>
      </c>
      <c r="D430">
        <f t="shared" si="6"/>
        <v>1</v>
      </c>
    </row>
    <row r="431" spans="1:4" x14ac:dyDescent="0.35">
      <c r="A431" t="s">
        <v>565</v>
      </c>
      <c r="B431" t="s">
        <v>2043</v>
      </c>
      <c r="C431" t="s">
        <v>2043</v>
      </c>
      <c r="D431">
        <f t="shared" si="6"/>
        <v>1</v>
      </c>
    </row>
    <row r="432" spans="1:4" x14ac:dyDescent="0.35">
      <c r="A432" t="s">
        <v>566</v>
      </c>
      <c r="B432" t="s">
        <v>1928</v>
      </c>
      <c r="C432" t="s">
        <v>1928</v>
      </c>
      <c r="D432">
        <f t="shared" si="6"/>
        <v>1</v>
      </c>
    </row>
    <row r="433" spans="1:4" x14ac:dyDescent="0.35">
      <c r="A433" t="s">
        <v>567</v>
      </c>
      <c r="B433" t="s">
        <v>2037</v>
      </c>
      <c r="C433" t="s">
        <v>2037</v>
      </c>
      <c r="D433">
        <f t="shared" si="6"/>
        <v>1</v>
      </c>
    </row>
    <row r="434" spans="1:4" x14ac:dyDescent="0.35">
      <c r="A434" t="s">
        <v>568</v>
      </c>
      <c r="B434" t="s">
        <v>1986</v>
      </c>
      <c r="C434" t="s">
        <v>1986</v>
      </c>
      <c r="D434">
        <f t="shared" si="6"/>
        <v>1</v>
      </c>
    </row>
    <row r="435" spans="1:4" x14ac:dyDescent="0.35">
      <c r="A435" t="s">
        <v>569</v>
      </c>
      <c r="B435" t="s">
        <v>1552</v>
      </c>
      <c r="C435" t="s">
        <v>1552</v>
      </c>
      <c r="D435">
        <f t="shared" si="6"/>
        <v>1</v>
      </c>
    </row>
    <row r="436" spans="1:4" x14ac:dyDescent="0.35">
      <c r="A436" t="s">
        <v>570</v>
      </c>
      <c r="B436" t="s">
        <v>2018</v>
      </c>
      <c r="C436" t="s">
        <v>2018</v>
      </c>
      <c r="D436">
        <f t="shared" si="6"/>
        <v>1</v>
      </c>
    </row>
    <row r="437" spans="1:4" x14ac:dyDescent="0.35">
      <c r="A437" t="s">
        <v>571</v>
      </c>
      <c r="B437" t="s">
        <v>1554</v>
      </c>
      <c r="C437" t="s">
        <v>1554</v>
      </c>
      <c r="D437">
        <f t="shared" si="6"/>
        <v>1</v>
      </c>
    </row>
    <row r="438" spans="1:4" x14ac:dyDescent="0.35">
      <c r="A438" t="s">
        <v>572</v>
      </c>
      <c r="B438" t="s">
        <v>1898</v>
      </c>
      <c r="C438" t="s">
        <v>1898</v>
      </c>
      <c r="D438">
        <f t="shared" si="6"/>
        <v>1</v>
      </c>
    </row>
    <row r="439" spans="1:4" x14ac:dyDescent="0.35">
      <c r="A439" t="s">
        <v>573</v>
      </c>
      <c r="B439" t="s">
        <v>1571</v>
      </c>
      <c r="C439" t="s">
        <v>1571</v>
      </c>
      <c r="D439">
        <f t="shared" si="6"/>
        <v>1</v>
      </c>
    </row>
    <row r="440" spans="1:4" x14ac:dyDescent="0.35">
      <c r="A440" t="s">
        <v>574</v>
      </c>
      <c r="B440" t="s">
        <v>2041</v>
      </c>
      <c r="C440" t="s">
        <v>2041</v>
      </c>
      <c r="D440">
        <f t="shared" si="6"/>
        <v>1</v>
      </c>
    </row>
    <row r="441" spans="1:4" x14ac:dyDescent="0.35">
      <c r="A441" t="s">
        <v>575</v>
      </c>
      <c r="B441" t="s">
        <v>2685</v>
      </c>
      <c r="C441" t="s">
        <v>2685</v>
      </c>
      <c r="D441">
        <f t="shared" si="6"/>
        <v>1</v>
      </c>
    </row>
    <row r="442" spans="1:4" x14ac:dyDescent="0.35">
      <c r="A442" t="s">
        <v>576</v>
      </c>
      <c r="B442" t="s">
        <v>2686</v>
      </c>
      <c r="C442" t="s">
        <v>2686</v>
      </c>
      <c r="D442">
        <f t="shared" si="6"/>
        <v>1</v>
      </c>
    </row>
    <row r="443" spans="1:4" x14ac:dyDescent="0.35">
      <c r="A443" t="s">
        <v>577</v>
      </c>
      <c r="B443" t="s">
        <v>2292</v>
      </c>
      <c r="C443" t="s">
        <v>2292</v>
      </c>
      <c r="D443">
        <f t="shared" si="6"/>
        <v>1</v>
      </c>
    </row>
    <row r="444" spans="1:4" x14ac:dyDescent="0.35">
      <c r="A444" t="s">
        <v>578</v>
      </c>
      <c r="B444" t="s">
        <v>2131</v>
      </c>
      <c r="C444" t="s">
        <v>2131</v>
      </c>
      <c r="D444">
        <f t="shared" si="6"/>
        <v>1</v>
      </c>
    </row>
    <row r="445" spans="1:4" x14ac:dyDescent="0.35">
      <c r="A445" t="s">
        <v>579</v>
      </c>
      <c r="B445" t="s">
        <v>2130</v>
      </c>
      <c r="C445" t="s">
        <v>2130</v>
      </c>
      <c r="D445">
        <f t="shared" si="6"/>
        <v>1</v>
      </c>
    </row>
    <row r="446" spans="1:4" x14ac:dyDescent="0.35">
      <c r="A446" t="s">
        <v>580</v>
      </c>
      <c r="B446" t="s">
        <v>2479</v>
      </c>
      <c r="C446" t="s">
        <v>2479</v>
      </c>
      <c r="D446">
        <f t="shared" si="6"/>
        <v>1</v>
      </c>
    </row>
    <row r="447" spans="1:4" x14ac:dyDescent="0.35">
      <c r="A447" t="s">
        <v>581</v>
      </c>
      <c r="B447" t="s">
        <v>2038</v>
      </c>
      <c r="C447" t="s">
        <v>2038</v>
      </c>
      <c r="D447">
        <f t="shared" si="6"/>
        <v>1</v>
      </c>
    </row>
    <row r="448" spans="1:4" x14ac:dyDescent="0.35">
      <c r="A448" t="s">
        <v>582</v>
      </c>
      <c r="B448" t="s">
        <v>1573</v>
      </c>
      <c r="C448" t="s">
        <v>1573</v>
      </c>
      <c r="D448">
        <f t="shared" si="6"/>
        <v>1</v>
      </c>
    </row>
    <row r="449" spans="1:4" x14ac:dyDescent="0.35">
      <c r="A449" t="s">
        <v>583</v>
      </c>
      <c r="B449" t="s">
        <v>1568</v>
      </c>
      <c r="C449" t="s">
        <v>1568</v>
      </c>
      <c r="D449">
        <f t="shared" si="6"/>
        <v>1</v>
      </c>
    </row>
    <row r="450" spans="1:4" x14ac:dyDescent="0.35">
      <c r="A450" t="s">
        <v>584</v>
      </c>
      <c r="B450" t="s">
        <v>1574</v>
      </c>
      <c r="C450" t="s">
        <v>1574</v>
      </c>
      <c r="D450">
        <f t="shared" si="6"/>
        <v>1</v>
      </c>
    </row>
    <row r="451" spans="1:4" x14ac:dyDescent="0.35">
      <c r="A451" t="s">
        <v>585</v>
      </c>
      <c r="B451" t="s">
        <v>1569</v>
      </c>
      <c r="C451" t="s">
        <v>1569</v>
      </c>
      <c r="D451">
        <f t="shared" ref="D451:D514" si="7">COUNTIF(C:C,C451)</f>
        <v>1</v>
      </c>
    </row>
    <row r="452" spans="1:4" x14ac:dyDescent="0.35">
      <c r="A452" t="s">
        <v>2253</v>
      </c>
      <c r="B452" t="s">
        <v>1616</v>
      </c>
      <c r="C452" t="s">
        <v>1616</v>
      </c>
      <c r="D452">
        <f t="shared" si="7"/>
        <v>1</v>
      </c>
    </row>
    <row r="453" spans="1:4" x14ac:dyDescent="0.35">
      <c r="A453" t="s">
        <v>587</v>
      </c>
      <c r="B453" t="s">
        <v>2545</v>
      </c>
      <c r="C453" t="s">
        <v>2545</v>
      </c>
      <c r="D453">
        <f t="shared" si="7"/>
        <v>1</v>
      </c>
    </row>
    <row r="454" spans="1:4" x14ac:dyDescent="0.35">
      <c r="A454" t="s">
        <v>588</v>
      </c>
      <c r="B454" t="s">
        <v>1572</v>
      </c>
      <c r="C454" t="s">
        <v>1572</v>
      </c>
      <c r="D454">
        <f t="shared" si="7"/>
        <v>1</v>
      </c>
    </row>
    <row r="455" spans="1:4" x14ac:dyDescent="0.35">
      <c r="A455" t="s">
        <v>589</v>
      </c>
      <c r="B455" t="s">
        <v>1575</v>
      </c>
      <c r="C455" t="s">
        <v>1575</v>
      </c>
      <c r="D455">
        <f t="shared" si="7"/>
        <v>1</v>
      </c>
    </row>
    <row r="456" spans="1:4" x14ac:dyDescent="0.35">
      <c r="A456" t="s">
        <v>590</v>
      </c>
      <c r="B456" t="s">
        <v>1565</v>
      </c>
      <c r="C456" t="s">
        <v>1565</v>
      </c>
      <c r="D456">
        <f t="shared" si="7"/>
        <v>1</v>
      </c>
    </row>
    <row r="457" spans="1:4" x14ac:dyDescent="0.35">
      <c r="A457" t="s">
        <v>591</v>
      </c>
      <c r="B457" t="s">
        <v>1570</v>
      </c>
      <c r="C457" t="s">
        <v>1570</v>
      </c>
      <c r="D457">
        <f t="shared" si="7"/>
        <v>1</v>
      </c>
    </row>
    <row r="458" spans="1:4" x14ac:dyDescent="0.35">
      <c r="A458" t="s">
        <v>592</v>
      </c>
      <c r="B458" t="s">
        <v>1555</v>
      </c>
      <c r="C458" t="s">
        <v>1555</v>
      </c>
      <c r="D458">
        <f t="shared" si="7"/>
        <v>1</v>
      </c>
    </row>
    <row r="459" spans="1:4" x14ac:dyDescent="0.35">
      <c r="A459" t="s">
        <v>593</v>
      </c>
      <c r="B459" t="s">
        <v>2722</v>
      </c>
      <c r="C459" t="s">
        <v>2722</v>
      </c>
      <c r="D459">
        <f t="shared" si="7"/>
        <v>1</v>
      </c>
    </row>
    <row r="460" spans="1:4" x14ac:dyDescent="0.35">
      <c r="A460" t="s">
        <v>594</v>
      </c>
      <c r="B460" t="s">
        <v>1556</v>
      </c>
      <c r="C460" t="s">
        <v>1556</v>
      </c>
      <c r="D460">
        <f t="shared" si="7"/>
        <v>1</v>
      </c>
    </row>
    <row r="461" spans="1:4" x14ac:dyDescent="0.35">
      <c r="A461" t="s">
        <v>595</v>
      </c>
      <c r="B461" t="s">
        <v>2723</v>
      </c>
      <c r="C461" t="s">
        <v>2723</v>
      </c>
      <c r="D461">
        <f t="shared" si="7"/>
        <v>1</v>
      </c>
    </row>
    <row r="462" spans="1:4" x14ac:dyDescent="0.35">
      <c r="A462" t="s">
        <v>596</v>
      </c>
      <c r="B462" t="s">
        <v>2123</v>
      </c>
      <c r="C462" t="s">
        <v>2123</v>
      </c>
      <c r="D462">
        <f t="shared" si="7"/>
        <v>1</v>
      </c>
    </row>
    <row r="463" spans="1:4" x14ac:dyDescent="0.35">
      <c r="A463" t="s">
        <v>597</v>
      </c>
      <c r="B463" t="s">
        <v>2125</v>
      </c>
      <c r="C463" t="s">
        <v>2125</v>
      </c>
      <c r="D463">
        <f t="shared" si="7"/>
        <v>1</v>
      </c>
    </row>
    <row r="464" spans="1:4" x14ac:dyDescent="0.35">
      <c r="A464" t="s">
        <v>598</v>
      </c>
      <c r="B464" t="s">
        <v>2124</v>
      </c>
      <c r="C464" t="s">
        <v>2124</v>
      </c>
      <c r="D464">
        <f t="shared" si="7"/>
        <v>1</v>
      </c>
    </row>
    <row r="465" spans="1:4" x14ac:dyDescent="0.35">
      <c r="A465" t="s">
        <v>599</v>
      </c>
      <c r="B465" t="s">
        <v>2126</v>
      </c>
      <c r="C465" t="s">
        <v>2126</v>
      </c>
      <c r="D465">
        <f t="shared" si="7"/>
        <v>1</v>
      </c>
    </row>
    <row r="466" spans="1:4" x14ac:dyDescent="0.35">
      <c r="A466" t="s">
        <v>600</v>
      </c>
      <c r="B466" t="s">
        <v>2061</v>
      </c>
      <c r="C466" t="s">
        <v>2061</v>
      </c>
      <c r="D466">
        <f t="shared" si="7"/>
        <v>1</v>
      </c>
    </row>
    <row r="467" spans="1:4" x14ac:dyDescent="0.35">
      <c r="A467" t="s">
        <v>601</v>
      </c>
      <c r="B467" t="s">
        <v>2063</v>
      </c>
      <c r="C467" t="s">
        <v>2063</v>
      </c>
      <c r="D467">
        <f t="shared" si="7"/>
        <v>1</v>
      </c>
    </row>
    <row r="468" spans="1:4" x14ac:dyDescent="0.35">
      <c r="A468" t="s">
        <v>602</v>
      </c>
      <c r="B468" t="s">
        <v>2062</v>
      </c>
      <c r="C468" t="s">
        <v>2062</v>
      </c>
      <c r="D468">
        <f t="shared" si="7"/>
        <v>1</v>
      </c>
    </row>
    <row r="469" spans="1:4" x14ac:dyDescent="0.35">
      <c r="A469" t="s">
        <v>603</v>
      </c>
      <c r="B469" t="s">
        <v>2064</v>
      </c>
      <c r="C469" t="s">
        <v>2064</v>
      </c>
      <c r="D469">
        <f t="shared" si="7"/>
        <v>1</v>
      </c>
    </row>
    <row r="470" spans="1:4" x14ac:dyDescent="0.35">
      <c r="A470" t="s">
        <v>604</v>
      </c>
      <c r="B470" t="s">
        <v>2380</v>
      </c>
      <c r="C470" t="s">
        <v>2380</v>
      </c>
      <c r="D470">
        <f t="shared" si="7"/>
        <v>1</v>
      </c>
    </row>
    <row r="471" spans="1:4" x14ac:dyDescent="0.35">
      <c r="A471" t="s">
        <v>605</v>
      </c>
      <c r="B471" t="s">
        <v>2381</v>
      </c>
      <c r="C471" t="s">
        <v>2381</v>
      </c>
      <c r="D471">
        <f t="shared" si="7"/>
        <v>1</v>
      </c>
    </row>
    <row r="472" spans="1:4" x14ac:dyDescent="0.35">
      <c r="A472" t="s">
        <v>606</v>
      </c>
      <c r="B472" t="s">
        <v>2382</v>
      </c>
      <c r="C472" t="s">
        <v>2382</v>
      </c>
      <c r="D472">
        <f t="shared" si="7"/>
        <v>1</v>
      </c>
    </row>
    <row r="473" spans="1:4" x14ac:dyDescent="0.35">
      <c r="A473" t="s">
        <v>607</v>
      </c>
      <c r="B473" t="s">
        <v>2573</v>
      </c>
      <c r="C473" t="s">
        <v>2573</v>
      </c>
      <c r="D473">
        <f t="shared" si="7"/>
        <v>1</v>
      </c>
    </row>
    <row r="474" spans="1:4" x14ac:dyDescent="0.35">
      <c r="A474" t="s">
        <v>608</v>
      </c>
      <c r="B474" t="s">
        <v>1513</v>
      </c>
      <c r="C474" t="s">
        <v>1513</v>
      </c>
      <c r="D474">
        <f t="shared" si="7"/>
        <v>1</v>
      </c>
    </row>
    <row r="475" spans="1:4" x14ac:dyDescent="0.35">
      <c r="A475" t="s">
        <v>609</v>
      </c>
      <c r="B475" t="s">
        <v>1602</v>
      </c>
      <c r="C475" t="s">
        <v>1602</v>
      </c>
      <c r="D475">
        <f t="shared" si="7"/>
        <v>1</v>
      </c>
    </row>
    <row r="476" spans="1:4" x14ac:dyDescent="0.35">
      <c r="A476" t="s">
        <v>610</v>
      </c>
      <c r="B476" t="s">
        <v>1516</v>
      </c>
      <c r="C476" t="s">
        <v>1516</v>
      </c>
      <c r="D476">
        <f t="shared" si="7"/>
        <v>1</v>
      </c>
    </row>
    <row r="477" spans="1:4" x14ac:dyDescent="0.35">
      <c r="A477" t="s">
        <v>611</v>
      </c>
      <c r="B477" t="s">
        <v>1520</v>
      </c>
      <c r="C477" t="s">
        <v>1520</v>
      </c>
      <c r="D477">
        <f t="shared" si="7"/>
        <v>1</v>
      </c>
    </row>
    <row r="478" spans="1:4" x14ac:dyDescent="0.35">
      <c r="A478" t="s">
        <v>612</v>
      </c>
      <c r="B478" t="s">
        <v>1514</v>
      </c>
      <c r="C478" t="s">
        <v>1514</v>
      </c>
      <c r="D478">
        <f t="shared" si="7"/>
        <v>1</v>
      </c>
    </row>
    <row r="479" spans="1:4" x14ac:dyDescent="0.35">
      <c r="A479" t="s">
        <v>613</v>
      </c>
      <c r="B479" t="s">
        <v>1509</v>
      </c>
      <c r="C479" t="s">
        <v>1509</v>
      </c>
      <c r="D479">
        <f t="shared" si="7"/>
        <v>1</v>
      </c>
    </row>
    <row r="480" spans="1:4" x14ac:dyDescent="0.35">
      <c r="A480" t="s">
        <v>614</v>
      </c>
      <c r="B480" t="s">
        <v>1511</v>
      </c>
      <c r="C480" t="s">
        <v>1511</v>
      </c>
      <c r="D480">
        <f t="shared" si="7"/>
        <v>1</v>
      </c>
    </row>
    <row r="481" spans="1:4" x14ac:dyDescent="0.35">
      <c r="A481" t="s">
        <v>615</v>
      </c>
      <c r="B481" t="s">
        <v>1507</v>
      </c>
      <c r="C481" t="s">
        <v>1507</v>
      </c>
      <c r="D481">
        <f t="shared" si="7"/>
        <v>1</v>
      </c>
    </row>
    <row r="482" spans="1:4" x14ac:dyDescent="0.35">
      <c r="A482" t="s">
        <v>616</v>
      </c>
      <c r="B482" t="s">
        <v>2552</v>
      </c>
      <c r="C482" t="s">
        <v>2552</v>
      </c>
      <c r="D482">
        <f t="shared" si="7"/>
        <v>1</v>
      </c>
    </row>
    <row r="483" spans="1:4" x14ac:dyDescent="0.35">
      <c r="A483" t="s">
        <v>617</v>
      </c>
      <c r="B483" t="s">
        <v>2547</v>
      </c>
      <c r="C483" t="s">
        <v>2547</v>
      </c>
      <c r="D483">
        <f t="shared" si="7"/>
        <v>1</v>
      </c>
    </row>
    <row r="484" spans="1:4" x14ac:dyDescent="0.35">
      <c r="A484" t="s">
        <v>618</v>
      </c>
      <c r="B484" t="s">
        <v>2551</v>
      </c>
      <c r="C484" t="s">
        <v>2551</v>
      </c>
      <c r="D484">
        <f t="shared" si="7"/>
        <v>1</v>
      </c>
    </row>
    <row r="485" spans="1:4" x14ac:dyDescent="0.35">
      <c r="A485" t="s">
        <v>619</v>
      </c>
      <c r="B485" t="s">
        <v>2550</v>
      </c>
      <c r="C485" t="s">
        <v>2550</v>
      </c>
      <c r="D485">
        <f t="shared" si="7"/>
        <v>1</v>
      </c>
    </row>
    <row r="486" spans="1:4" x14ac:dyDescent="0.35">
      <c r="A486" t="s">
        <v>620</v>
      </c>
      <c r="B486" t="s">
        <v>2548</v>
      </c>
      <c r="C486" t="s">
        <v>2548</v>
      </c>
      <c r="D486">
        <f t="shared" si="7"/>
        <v>1</v>
      </c>
    </row>
    <row r="487" spans="1:4" x14ac:dyDescent="0.35">
      <c r="A487" t="s">
        <v>621</v>
      </c>
      <c r="B487" t="s">
        <v>2549</v>
      </c>
      <c r="C487" t="s">
        <v>2549</v>
      </c>
      <c r="D487">
        <f t="shared" si="7"/>
        <v>1</v>
      </c>
    </row>
    <row r="488" spans="1:4" x14ac:dyDescent="0.35">
      <c r="A488" t="s">
        <v>622</v>
      </c>
      <c r="B488" t="s">
        <v>1605</v>
      </c>
      <c r="C488" t="s">
        <v>1605</v>
      </c>
      <c r="D488">
        <f t="shared" si="7"/>
        <v>1</v>
      </c>
    </row>
    <row r="489" spans="1:4" x14ac:dyDescent="0.35">
      <c r="A489" t="s">
        <v>623</v>
      </c>
      <c r="B489" t="s">
        <v>1634</v>
      </c>
      <c r="C489" t="s">
        <v>1634</v>
      </c>
      <c r="D489">
        <f t="shared" si="7"/>
        <v>1</v>
      </c>
    </row>
    <row r="490" spans="1:4" x14ac:dyDescent="0.35">
      <c r="A490" t="s">
        <v>624</v>
      </c>
      <c r="B490" t="s">
        <v>1774</v>
      </c>
      <c r="C490" t="s">
        <v>1774</v>
      </c>
      <c r="D490">
        <f t="shared" si="7"/>
        <v>1</v>
      </c>
    </row>
    <row r="491" spans="1:4" x14ac:dyDescent="0.35">
      <c r="A491" t="s">
        <v>625</v>
      </c>
      <c r="B491" t="s">
        <v>2383</v>
      </c>
      <c r="C491" t="s">
        <v>2383</v>
      </c>
      <c r="D491">
        <f t="shared" si="7"/>
        <v>1</v>
      </c>
    </row>
    <row r="492" spans="1:4" x14ac:dyDescent="0.35">
      <c r="A492" t="s">
        <v>626</v>
      </c>
      <c r="B492" t="s">
        <v>1612</v>
      </c>
      <c r="C492" t="s">
        <v>1612</v>
      </c>
      <c r="D492">
        <f t="shared" si="7"/>
        <v>1</v>
      </c>
    </row>
    <row r="493" spans="1:4" x14ac:dyDescent="0.35">
      <c r="A493" t="s">
        <v>627</v>
      </c>
      <c r="B493" t="s">
        <v>2337</v>
      </c>
      <c r="C493" t="s">
        <v>2337</v>
      </c>
      <c r="D493">
        <f t="shared" si="7"/>
        <v>1</v>
      </c>
    </row>
    <row r="494" spans="1:4" x14ac:dyDescent="0.35">
      <c r="A494" t="s">
        <v>628</v>
      </c>
      <c r="B494" t="s">
        <v>2656</v>
      </c>
      <c r="C494" t="s">
        <v>2656</v>
      </c>
      <c r="D494">
        <f t="shared" si="7"/>
        <v>1</v>
      </c>
    </row>
    <row r="495" spans="1:4" x14ac:dyDescent="0.35">
      <c r="A495" t="s">
        <v>629</v>
      </c>
      <c r="B495" t="s">
        <v>1770</v>
      </c>
      <c r="C495" t="s">
        <v>1770</v>
      </c>
      <c r="D495">
        <f t="shared" si="7"/>
        <v>1</v>
      </c>
    </row>
    <row r="496" spans="1:4" x14ac:dyDescent="0.35">
      <c r="A496" t="s">
        <v>630</v>
      </c>
      <c r="B496" t="s">
        <v>1732</v>
      </c>
      <c r="C496" t="s">
        <v>1732</v>
      </c>
      <c r="D496">
        <f t="shared" si="7"/>
        <v>1</v>
      </c>
    </row>
    <row r="497" spans="1:4" x14ac:dyDescent="0.35">
      <c r="A497" t="s">
        <v>631</v>
      </c>
      <c r="B497" t="s">
        <v>2666</v>
      </c>
      <c r="C497" t="s">
        <v>2666</v>
      </c>
      <c r="D497">
        <f t="shared" si="7"/>
        <v>1</v>
      </c>
    </row>
    <row r="498" spans="1:4" x14ac:dyDescent="0.35">
      <c r="A498" t="s">
        <v>632</v>
      </c>
      <c r="B498" t="s">
        <v>2338</v>
      </c>
      <c r="C498" t="s">
        <v>2338</v>
      </c>
      <c r="D498">
        <f t="shared" si="7"/>
        <v>1</v>
      </c>
    </row>
    <row r="499" spans="1:4" x14ac:dyDescent="0.35">
      <c r="A499" t="s">
        <v>633</v>
      </c>
      <c r="B499" t="s">
        <v>2663</v>
      </c>
      <c r="C499" t="s">
        <v>2663</v>
      </c>
      <c r="D499">
        <f t="shared" si="7"/>
        <v>1</v>
      </c>
    </row>
    <row r="500" spans="1:4" x14ac:dyDescent="0.35">
      <c r="A500" t="s">
        <v>634</v>
      </c>
      <c r="B500" t="s">
        <v>2660</v>
      </c>
      <c r="C500" t="s">
        <v>2660</v>
      </c>
      <c r="D500">
        <f t="shared" si="7"/>
        <v>1</v>
      </c>
    </row>
    <row r="501" spans="1:4" x14ac:dyDescent="0.35">
      <c r="A501" t="s">
        <v>635</v>
      </c>
      <c r="B501" t="s">
        <v>2657</v>
      </c>
      <c r="C501" t="s">
        <v>2657</v>
      </c>
      <c r="D501">
        <f t="shared" si="7"/>
        <v>1</v>
      </c>
    </row>
    <row r="502" spans="1:4" x14ac:dyDescent="0.35">
      <c r="A502" t="s">
        <v>636</v>
      </c>
      <c r="B502" t="s">
        <v>2658</v>
      </c>
      <c r="C502" t="s">
        <v>2658</v>
      </c>
      <c r="D502">
        <f t="shared" si="7"/>
        <v>1</v>
      </c>
    </row>
    <row r="503" spans="1:4" x14ac:dyDescent="0.35">
      <c r="A503" t="s">
        <v>637</v>
      </c>
      <c r="B503" t="s">
        <v>1610</v>
      </c>
      <c r="C503" t="s">
        <v>1610</v>
      </c>
      <c r="D503">
        <f t="shared" si="7"/>
        <v>1</v>
      </c>
    </row>
    <row r="504" spans="1:4" x14ac:dyDescent="0.35">
      <c r="A504" t="s">
        <v>638</v>
      </c>
      <c r="B504" t="s">
        <v>1658</v>
      </c>
      <c r="C504" t="s">
        <v>1658</v>
      </c>
      <c r="D504">
        <f t="shared" si="7"/>
        <v>1</v>
      </c>
    </row>
    <row r="505" spans="1:4" x14ac:dyDescent="0.35">
      <c r="A505" t="s">
        <v>639</v>
      </c>
      <c r="B505" t="s">
        <v>1797</v>
      </c>
      <c r="C505" t="s">
        <v>1797</v>
      </c>
      <c r="D505">
        <f t="shared" si="7"/>
        <v>1</v>
      </c>
    </row>
    <row r="506" spans="1:4" x14ac:dyDescent="0.35">
      <c r="A506" t="s">
        <v>640</v>
      </c>
      <c r="B506" t="s">
        <v>1730</v>
      </c>
      <c r="C506" t="s">
        <v>1730</v>
      </c>
      <c r="D506">
        <f t="shared" si="7"/>
        <v>1</v>
      </c>
    </row>
    <row r="507" spans="1:4" x14ac:dyDescent="0.35">
      <c r="A507" t="s">
        <v>641</v>
      </c>
      <c r="B507" t="s">
        <v>1695</v>
      </c>
      <c r="C507" t="s">
        <v>1695</v>
      </c>
      <c r="D507">
        <f t="shared" si="7"/>
        <v>1</v>
      </c>
    </row>
    <row r="508" spans="1:4" x14ac:dyDescent="0.35">
      <c r="A508" t="s">
        <v>642</v>
      </c>
      <c r="B508" t="s">
        <v>1760</v>
      </c>
      <c r="C508" t="s">
        <v>1760</v>
      </c>
      <c r="D508">
        <f t="shared" si="7"/>
        <v>1</v>
      </c>
    </row>
    <row r="509" spans="1:4" x14ac:dyDescent="0.35">
      <c r="A509" t="s">
        <v>643</v>
      </c>
      <c r="B509" t="s">
        <v>2680</v>
      </c>
      <c r="C509" t="s">
        <v>2680</v>
      </c>
      <c r="D509">
        <f t="shared" si="7"/>
        <v>1</v>
      </c>
    </row>
    <row r="510" spans="1:4" x14ac:dyDescent="0.35">
      <c r="A510" t="s">
        <v>644</v>
      </c>
      <c r="B510" t="s">
        <v>1708</v>
      </c>
      <c r="C510" t="s">
        <v>1708</v>
      </c>
      <c r="D510">
        <f t="shared" si="7"/>
        <v>1</v>
      </c>
    </row>
    <row r="511" spans="1:4" x14ac:dyDescent="0.35">
      <c r="A511" t="s">
        <v>645</v>
      </c>
      <c r="B511" t="s">
        <v>1787</v>
      </c>
      <c r="C511" t="s">
        <v>1787</v>
      </c>
      <c r="D511">
        <f t="shared" si="7"/>
        <v>1</v>
      </c>
    </row>
    <row r="512" spans="1:4" x14ac:dyDescent="0.35">
      <c r="A512" t="s">
        <v>646</v>
      </c>
      <c r="B512" t="s">
        <v>1788</v>
      </c>
      <c r="C512" t="s">
        <v>1788</v>
      </c>
      <c r="D512">
        <f t="shared" si="7"/>
        <v>1</v>
      </c>
    </row>
    <row r="513" spans="1:4" x14ac:dyDescent="0.35">
      <c r="A513" t="s">
        <v>647</v>
      </c>
      <c r="B513" t="s">
        <v>1786</v>
      </c>
      <c r="C513" t="s">
        <v>1786</v>
      </c>
      <c r="D513">
        <f t="shared" si="7"/>
        <v>1</v>
      </c>
    </row>
    <row r="514" spans="1:4" x14ac:dyDescent="0.35">
      <c r="A514" t="s">
        <v>648</v>
      </c>
      <c r="B514" t="s">
        <v>1655</v>
      </c>
      <c r="C514" t="s">
        <v>1655</v>
      </c>
      <c r="D514">
        <f t="shared" si="7"/>
        <v>1</v>
      </c>
    </row>
    <row r="515" spans="1:4" x14ac:dyDescent="0.35">
      <c r="A515" t="s">
        <v>649</v>
      </c>
      <c r="B515" t="s">
        <v>1607</v>
      </c>
      <c r="C515" t="s">
        <v>1607</v>
      </c>
      <c r="D515">
        <f t="shared" ref="D515:D578" si="8">COUNTIF(C:C,C515)</f>
        <v>1</v>
      </c>
    </row>
    <row r="516" spans="1:4" x14ac:dyDescent="0.35">
      <c r="A516" t="s">
        <v>650</v>
      </c>
      <c r="B516" t="s">
        <v>1622</v>
      </c>
      <c r="C516" t="s">
        <v>1622</v>
      </c>
      <c r="D516">
        <f t="shared" si="8"/>
        <v>1</v>
      </c>
    </row>
    <row r="517" spans="1:4" x14ac:dyDescent="0.35">
      <c r="A517" t="s">
        <v>651</v>
      </c>
      <c r="B517" t="s">
        <v>1625</v>
      </c>
      <c r="C517" t="s">
        <v>1625</v>
      </c>
      <c r="D517">
        <f t="shared" si="8"/>
        <v>1</v>
      </c>
    </row>
    <row r="518" spans="1:4" x14ac:dyDescent="0.35">
      <c r="A518" t="s">
        <v>652</v>
      </c>
      <c r="B518" t="s">
        <v>1628</v>
      </c>
      <c r="C518" t="s">
        <v>1628</v>
      </c>
      <c r="D518">
        <f t="shared" si="8"/>
        <v>1</v>
      </c>
    </row>
    <row r="519" spans="1:4" x14ac:dyDescent="0.35">
      <c r="A519" t="s">
        <v>653</v>
      </c>
      <c r="B519" t="s">
        <v>1623</v>
      </c>
      <c r="C519" t="s">
        <v>1623</v>
      </c>
      <c r="D519">
        <f t="shared" si="8"/>
        <v>1</v>
      </c>
    </row>
    <row r="520" spans="1:4" x14ac:dyDescent="0.35">
      <c r="A520" t="s">
        <v>654</v>
      </c>
      <c r="B520" t="s">
        <v>1626</v>
      </c>
      <c r="C520" t="s">
        <v>1626</v>
      </c>
      <c r="D520">
        <f t="shared" si="8"/>
        <v>1</v>
      </c>
    </row>
    <row r="521" spans="1:4" x14ac:dyDescent="0.35">
      <c r="A521" t="s">
        <v>655</v>
      </c>
      <c r="B521" t="s">
        <v>1629</v>
      </c>
      <c r="C521" t="s">
        <v>1629</v>
      </c>
      <c r="D521">
        <f t="shared" si="8"/>
        <v>1</v>
      </c>
    </row>
    <row r="522" spans="1:4" x14ac:dyDescent="0.35">
      <c r="A522" t="s">
        <v>656</v>
      </c>
      <c r="B522" t="s">
        <v>2724</v>
      </c>
      <c r="C522" t="s">
        <v>2724</v>
      </c>
      <c r="D522">
        <f t="shared" si="8"/>
        <v>1</v>
      </c>
    </row>
    <row r="523" spans="1:4" x14ac:dyDescent="0.35">
      <c r="A523" t="s">
        <v>657</v>
      </c>
      <c r="B523" t="s">
        <v>2653</v>
      </c>
      <c r="C523" t="s">
        <v>2653</v>
      </c>
      <c r="D523">
        <f t="shared" si="8"/>
        <v>1</v>
      </c>
    </row>
    <row r="524" spans="1:4" x14ac:dyDescent="0.35">
      <c r="A524" t="s">
        <v>658</v>
      </c>
      <c r="B524" t="s">
        <v>1699</v>
      </c>
      <c r="C524" t="s">
        <v>1699</v>
      </c>
      <c r="D524">
        <f t="shared" si="8"/>
        <v>1</v>
      </c>
    </row>
    <row r="525" spans="1:4" x14ac:dyDescent="0.35">
      <c r="A525" t="s">
        <v>659</v>
      </c>
      <c r="B525" t="s">
        <v>1700</v>
      </c>
      <c r="C525" t="s">
        <v>1700</v>
      </c>
      <c r="D525">
        <f t="shared" si="8"/>
        <v>1</v>
      </c>
    </row>
    <row r="526" spans="1:4" x14ac:dyDescent="0.35">
      <c r="A526" t="s">
        <v>660</v>
      </c>
      <c r="B526" t="s">
        <v>1701</v>
      </c>
      <c r="C526" t="s">
        <v>1701</v>
      </c>
      <c r="D526">
        <f t="shared" si="8"/>
        <v>1</v>
      </c>
    </row>
    <row r="527" spans="1:4" x14ac:dyDescent="0.35">
      <c r="A527" t="s">
        <v>661</v>
      </c>
      <c r="B527" t="s">
        <v>1783</v>
      </c>
      <c r="C527" t="s">
        <v>1783</v>
      </c>
      <c r="D527">
        <f t="shared" si="8"/>
        <v>1</v>
      </c>
    </row>
    <row r="528" spans="1:4" x14ac:dyDescent="0.35">
      <c r="A528" t="s">
        <v>662</v>
      </c>
      <c r="B528" t="s">
        <v>1784</v>
      </c>
      <c r="C528" t="s">
        <v>1784</v>
      </c>
      <c r="D528">
        <f t="shared" si="8"/>
        <v>1</v>
      </c>
    </row>
    <row r="529" spans="1:4" x14ac:dyDescent="0.35">
      <c r="A529" t="s">
        <v>663</v>
      </c>
      <c r="B529" t="s">
        <v>1785</v>
      </c>
      <c r="C529" t="s">
        <v>1785</v>
      </c>
      <c r="D529">
        <f t="shared" si="8"/>
        <v>1</v>
      </c>
    </row>
    <row r="530" spans="1:4" x14ac:dyDescent="0.35">
      <c r="A530" t="s">
        <v>664</v>
      </c>
      <c r="B530" t="s">
        <v>2629</v>
      </c>
      <c r="C530" t="s">
        <v>2629</v>
      </c>
      <c r="D530">
        <f t="shared" si="8"/>
        <v>1</v>
      </c>
    </row>
    <row r="531" spans="1:4" x14ac:dyDescent="0.35">
      <c r="A531" t="s">
        <v>665</v>
      </c>
      <c r="B531" t="s">
        <v>2630</v>
      </c>
      <c r="C531" t="s">
        <v>2630</v>
      </c>
      <c r="D531">
        <f t="shared" si="8"/>
        <v>1</v>
      </c>
    </row>
    <row r="532" spans="1:4" x14ac:dyDescent="0.35">
      <c r="A532" t="s">
        <v>666</v>
      </c>
      <c r="B532" t="s">
        <v>2631</v>
      </c>
      <c r="C532" t="s">
        <v>2631</v>
      </c>
      <c r="D532">
        <f t="shared" si="8"/>
        <v>1</v>
      </c>
    </row>
    <row r="533" spans="1:4" x14ac:dyDescent="0.35">
      <c r="A533" t="s">
        <v>667</v>
      </c>
      <c r="B533" t="s">
        <v>2351</v>
      </c>
      <c r="C533" t="s">
        <v>2351</v>
      </c>
      <c r="D533">
        <f t="shared" si="8"/>
        <v>1</v>
      </c>
    </row>
    <row r="534" spans="1:4" x14ac:dyDescent="0.35">
      <c r="A534" t="s">
        <v>668</v>
      </c>
      <c r="B534" t="s">
        <v>2339</v>
      </c>
      <c r="C534" t="s">
        <v>2339</v>
      </c>
      <c r="D534">
        <f t="shared" si="8"/>
        <v>1</v>
      </c>
    </row>
    <row r="535" spans="1:4" x14ac:dyDescent="0.35">
      <c r="A535" t="s">
        <v>669</v>
      </c>
      <c r="B535" t="s">
        <v>2725</v>
      </c>
      <c r="C535" t="s">
        <v>2725</v>
      </c>
      <c r="D535">
        <f t="shared" si="8"/>
        <v>1</v>
      </c>
    </row>
    <row r="536" spans="1:4" x14ac:dyDescent="0.35">
      <c r="A536" t="s">
        <v>670</v>
      </c>
      <c r="B536" t="s">
        <v>1792</v>
      </c>
      <c r="C536" t="s">
        <v>1792</v>
      </c>
      <c r="D536">
        <f t="shared" si="8"/>
        <v>1</v>
      </c>
    </row>
    <row r="537" spans="1:4" x14ac:dyDescent="0.35">
      <c r="A537" t="s">
        <v>671</v>
      </c>
      <c r="B537" t="s">
        <v>1692</v>
      </c>
      <c r="C537" t="s">
        <v>1692</v>
      </c>
      <c r="D537">
        <f t="shared" si="8"/>
        <v>1</v>
      </c>
    </row>
    <row r="538" spans="1:4" x14ac:dyDescent="0.35">
      <c r="A538" t="s">
        <v>672</v>
      </c>
      <c r="B538" t="s">
        <v>1617</v>
      </c>
      <c r="C538" t="s">
        <v>1617</v>
      </c>
      <c r="D538">
        <f t="shared" si="8"/>
        <v>1</v>
      </c>
    </row>
    <row r="539" spans="1:4" x14ac:dyDescent="0.35">
      <c r="A539" t="s">
        <v>673</v>
      </c>
      <c r="B539" t="s">
        <v>1618</v>
      </c>
      <c r="C539" t="s">
        <v>1618</v>
      </c>
      <c r="D539">
        <f t="shared" si="8"/>
        <v>1</v>
      </c>
    </row>
    <row r="540" spans="1:4" x14ac:dyDescent="0.35">
      <c r="A540" t="s">
        <v>674</v>
      </c>
      <c r="B540" t="s">
        <v>1720</v>
      </c>
      <c r="C540" t="s">
        <v>1720</v>
      </c>
      <c r="D540">
        <f t="shared" si="8"/>
        <v>1</v>
      </c>
    </row>
    <row r="541" spans="1:4" x14ac:dyDescent="0.35">
      <c r="A541" t="s">
        <v>675</v>
      </c>
      <c r="B541" t="s">
        <v>2628</v>
      </c>
      <c r="C541" t="s">
        <v>2628</v>
      </c>
      <c r="D541">
        <f t="shared" si="8"/>
        <v>1</v>
      </c>
    </row>
    <row r="542" spans="1:4" x14ac:dyDescent="0.35">
      <c r="A542" t="s">
        <v>676</v>
      </c>
      <c r="B542" t="s">
        <v>1709</v>
      </c>
      <c r="C542" t="s">
        <v>1709</v>
      </c>
      <c r="D542">
        <f t="shared" si="8"/>
        <v>1</v>
      </c>
    </row>
    <row r="543" spans="1:4" x14ac:dyDescent="0.35">
      <c r="A543" t="s">
        <v>677</v>
      </c>
      <c r="B543" t="s">
        <v>1702</v>
      </c>
      <c r="C543" t="s">
        <v>1702</v>
      </c>
      <c r="D543">
        <f t="shared" si="8"/>
        <v>1</v>
      </c>
    </row>
    <row r="544" spans="1:4" x14ac:dyDescent="0.35">
      <c r="A544" t="s">
        <v>678</v>
      </c>
      <c r="B544" t="s">
        <v>1768</v>
      </c>
      <c r="C544" t="s">
        <v>1768</v>
      </c>
      <c r="D544">
        <f t="shared" si="8"/>
        <v>1</v>
      </c>
    </row>
    <row r="545" spans="1:4" x14ac:dyDescent="0.35">
      <c r="A545" t="s">
        <v>679</v>
      </c>
      <c r="B545" t="s">
        <v>1765</v>
      </c>
      <c r="C545" t="s">
        <v>1765</v>
      </c>
      <c r="D545">
        <f t="shared" si="8"/>
        <v>1</v>
      </c>
    </row>
    <row r="546" spans="1:4" x14ac:dyDescent="0.35">
      <c r="A546" t="s">
        <v>680</v>
      </c>
      <c r="B546" t="s">
        <v>1766</v>
      </c>
      <c r="C546" t="s">
        <v>1766</v>
      </c>
      <c r="D546">
        <f t="shared" si="8"/>
        <v>1</v>
      </c>
    </row>
    <row r="547" spans="1:4" x14ac:dyDescent="0.35">
      <c r="A547" t="s">
        <v>681</v>
      </c>
      <c r="B547" t="s">
        <v>1759</v>
      </c>
      <c r="C547" t="s">
        <v>1759</v>
      </c>
      <c r="D547">
        <f t="shared" si="8"/>
        <v>1</v>
      </c>
    </row>
    <row r="548" spans="1:4" x14ac:dyDescent="0.35">
      <c r="A548" t="s">
        <v>682</v>
      </c>
      <c r="B548" t="s">
        <v>1756</v>
      </c>
      <c r="C548" t="s">
        <v>1756</v>
      </c>
      <c r="D548">
        <f t="shared" si="8"/>
        <v>1</v>
      </c>
    </row>
    <row r="549" spans="1:4" x14ac:dyDescent="0.35">
      <c r="A549" t="s">
        <v>683</v>
      </c>
      <c r="B549" t="s">
        <v>1757</v>
      </c>
      <c r="C549" t="s">
        <v>1757</v>
      </c>
      <c r="D549">
        <f t="shared" si="8"/>
        <v>1</v>
      </c>
    </row>
    <row r="550" spans="1:4" x14ac:dyDescent="0.35">
      <c r="A550" t="s">
        <v>684</v>
      </c>
      <c r="B550" t="s">
        <v>1653</v>
      </c>
      <c r="C550" t="s">
        <v>1653</v>
      </c>
      <c r="D550">
        <f t="shared" si="8"/>
        <v>1</v>
      </c>
    </row>
    <row r="551" spans="1:4" x14ac:dyDescent="0.35">
      <c r="A551" t="s">
        <v>685</v>
      </c>
      <c r="B551" t="s">
        <v>1652</v>
      </c>
      <c r="C551" t="s">
        <v>1652</v>
      </c>
      <c r="D551">
        <f t="shared" si="8"/>
        <v>1</v>
      </c>
    </row>
    <row r="552" spans="1:4" x14ac:dyDescent="0.35">
      <c r="A552" t="s">
        <v>686</v>
      </c>
      <c r="B552" t="s">
        <v>1648</v>
      </c>
      <c r="C552" t="s">
        <v>1648</v>
      </c>
      <c r="D552">
        <f t="shared" si="8"/>
        <v>1</v>
      </c>
    </row>
    <row r="553" spans="1:4" x14ac:dyDescent="0.35">
      <c r="A553" t="s">
        <v>687</v>
      </c>
      <c r="B553" t="s">
        <v>1693</v>
      </c>
      <c r="C553" t="s">
        <v>1693</v>
      </c>
      <c r="D553">
        <f t="shared" si="8"/>
        <v>1</v>
      </c>
    </row>
    <row r="554" spans="1:4" x14ac:dyDescent="0.35">
      <c r="A554" t="s">
        <v>688</v>
      </c>
      <c r="B554" t="s">
        <v>1694</v>
      </c>
      <c r="C554" t="s">
        <v>1694</v>
      </c>
      <c r="D554">
        <f t="shared" si="8"/>
        <v>1</v>
      </c>
    </row>
    <row r="555" spans="1:4" x14ac:dyDescent="0.35">
      <c r="A555" t="s">
        <v>689</v>
      </c>
      <c r="B555" t="s">
        <v>2659</v>
      </c>
      <c r="C555" t="s">
        <v>2659</v>
      </c>
      <c r="D555">
        <f t="shared" si="8"/>
        <v>1</v>
      </c>
    </row>
    <row r="556" spans="1:4" x14ac:dyDescent="0.35">
      <c r="A556" t="s">
        <v>690</v>
      </c>
      <c r="B556" t="s">
        <v>1624</v>
      </c>
      <c r="C556" t="s">
        <v>1624</v>
      </c>
      <c r="D556">
        <f t="shared" si="8"/>
        <v>1</v>
      </c>
    </row>
    <row r="557" spans="1:4" x14ac:dyDescent="0.35">
      <c r="A557" t="s">
        <v>691</v>
      </c>
      <c r="B557" t="s">
        <v>1758</v>
      </c>
      <c r="C557" t="s">
        <v>1758</v>
      </c>
      <c r="D557">
        <f t="shared" si="8"/>
        <v>1</v>
      </c>
    </row>
    <row r="558" spans="1:4" x14ac:dyDescent="0.35">
      <c r="A558" t="s">
        <v>692</v>
      </c>
      <c r="B558" t="s">
        <v>1767</v>
      </c>
      <c r="C558" t="s">
        <v>1767</v>
      </c>
      <c r="D558">
        <f t="shared" si="8"/>
        <v>1</v>
      </c>
    </row>
    <row r="559" spans="1:4" x14ac:dyDescent="0.35">
      <c r="A559" t="s">
        <v>693</v>
      </c>
      <c r="B559" t="s">
        <v>1627</v>
      </c>
      <c r="C559" t="s">
        <v>1627</v>
      </c>
      <c r="D559">
        <f t="shared" si="8"/>
        <v>1</v>
      </c>
    </row>
    <row r="560" spans="1:4" x14ac:dyDescent="0.35">
      <c r="A560" t="s">
        <v>694</v>
      </c>
      <c r="B560" t="s">
        <v>1764</v>
      </c>
      <c r="C560" t="s">
        <v>1764</v>
      </c>
      <c r="D560">
        <f t="shared" si="8"/>
        <v>1</v>
      </c>
    </row>
    <row r="561" spans="1:4" x14ac:dyDescent="0.35">
      <c r="A561" t="s">
        <v>695</v>
      </c>
      <c r="B561" t="s">
        <v>1621</v>
      </c>
      <c r="C561" t="s">
        <v>1621</v>
      </c>
      <c r="D561">
        <f t="shared" si="8"/>
        <v>1</v>
      </c>
    </row>
    <row r="562" spans="1:4" x14ac:dyDescent="0.35">
      <c r="A562" t="s">
        <v>696</v>
      </c>
      <c r="B562" t="s">
        <v>1615</v>
      </c>
      <c r="C562" t="s">
        <v>1615</v>
      </c>
      <c r="D562">
        <f t="shared" si="8"/>
        <v>1</v>
      </c>
    </row>
    <row r="563" spans="1:4" x14ac:dyDescent="0.35">
      <c r="A563" t="s">
        <v>697</v>
      </c>
      <c r="B563" t="s">
        <v>1614</v>
      </c>
      <c r="C563" t="s">
        <v>1614</v>
      </c>
      <c r="D563">
        <f t="shared" si="8"/>
        <v>1</v>
      </c>
    </row>
    <row r="564" spans="1:4" x14ac:dyDescent="0.35">
      <c r="A564" t="s">
        <v>698</v>
      </c>
      <c r="B564" t="s">
        <v>1798</v>
      </c>
      <c r="C564" t="s">
        <v>1798</v>
      </c>
      <c r="D564">
        <f t="shared" si="8"/>
        <v>1</v>
      </c>
    </row>
    <row r="565" spans="1:4" x14ac:dyDescent="0.35">
      <c r="A565" t="s">
        <v>699</v>
      </c>
      <c r="B565" t="s">
        <v>1680</v>
      </c>
      <c r="C565" t="s">
        <v>1680</v>
      </c>
      <c r="D565">
        <f t="shared" si="8"/>
        <v>1</v>
      </c>
    </row>
    <row r="566" spans="1:4" x14ac:dyDescent="0.35">
      <c r="A566" t="s">
        <v>700</v>
      </c>
      <c r="B566" t="s">
        <v>1681</v>
      </c>
      <c r="C566" t="s">
        <v>1681</v>
      </c>
      <c r="D566">
        <f t="shared" si="8"/>
        <v>1</v>
      </c>
    </row>
    <row r="567" spans="1:4" x14ac:dyDescent="0.35">
      <c r="A567" t="s">
        <v>701</v>
      </c>
      <c r="B567" t="s">
        <v>1769</v>
      </c>
      <c r="C567" t="s">
        <v>1769</v>
      </c>
      <c r="D567">
        <f t="shared" si="8"/>
        <v>1</v>
      </c>
    </row>
    <row r="568" spans="1:4" x14ac:dyDescent="0.35">
      <c r="A568" t="s">
        <v>702</v>
      </c>
      <c r="B568" t="s">
        <v>1728</v>
      </c>
      <c r="C568" t="s">
        <v>1728</v>
      </c>
      <c r="D568">
        <f t="shared" si="8"/>
        <v>1</v>
      </c>
    </row>
    <row r="569" spans="1:4" x14ac:dyDescent="0.35">
      <c r="A569" t="s">
        <v>703</v>
      </c>
      <c r="B569" t="s">
        <v>1724</v>
      </c>
      <c r="C569" t="s">
        <v>1724</v>
      </c>
      <c r="D569">
        <f t="shared" si="8"/>
        <v>1</v>
      </c>
    </row>
    <row r="570" spans="1:4" x14ac:dyDescent="0.35">
      <c r="A570" t="s">
        <v>704</v>
      </c>
      <c r="B570" t="s">
        <v>1727</v>
      </c>
      <c r="C570" t="s">
        <v>1727</v>
      </c>
      <c r="D570">
        <f t="shared" si="8"/>
        <v>1</v>
      </c>
    </row>
    <row r="571" spans="1:4" x14ac:dyDescent="0.35">
      <c r="A571" t="s">
        <v>705</v>
      </c>
      <c r="B571" t="s">
        <v>1729</v>
      </c>
      <c r="C571" t="s">
        <v>1729</v>
      </c>
      <c r="D571">
        <f t="shared" si="8"/>
        <v>1</v>
      </c>
    </row>
    <row r="572" spans="1:4" x14ac:dyDescent="0.35">
      <c r="A572" t="s">
        <v>706</v>
      </c>
      <c r="B572" t="s">
        <v>1725</v>
      </c>
      <c r="C572" t="s">
        <v>1725</v>
      </c>
      <c r="D572">
        <f t="shared" si="8"/>
        <v>1</v>
      </c>
    </row>
    <row r="573" spans="1:4" x14ac:dyDescent="0.35">
      <c r="A573" t="s">
        <v>707</v>
      </c>
      <c r="B573" t="s">
        <v>1723</v>
      </c>
      <c r="C573" t="s">
        <v>1723</v>
      </c>
      <c r="D573">
        <f t="shared" si="8"/>
        <v>1</v>
      </c>
    </row>
    <row r="574" spans="1:4" x14ac:dyDescent="0.35">
      <c r="A574" t="s">
        <v>708</v>
      </c>
      <c r="B574" t="s">
        <v>1713</v>
      </c>
      <c r="C574" t="s">
        <v>1713</v>
      </c>
      <c r="D574">
        <f t="shared" si="8"/>
        <v>1</v>
      </c>
    </row>
    <row r="575" spans="1:4" x14ac:dyDescent="0.35">
      <c r="A575" t="s">
        <v>709</v>
      </c>
      <c r="B575" t="s">
        <v>1755</v>
      </c>
      <c r="C575" t="s">
        <v>1755</v>
      </c>
      <c r="D575">
        <f t="shared" si="8"/>
        <v>1</v>
      </c>
    </row>
    <row r="576" spans="1:4" x14ac:dyDescent="0.35">
      <c r="A576" t="s">
        <v>710</v>
      </c>
      <c r="B576" t="s">
        <v>1761</v>
      </c>
      <c r="C576" t="s">
        <v>1761</v>
      </c>
      <c r="D576">
        <f t="shared" si="8"/>
        <v>1</v>
      </c>
    </row>
    <row r="577" spans="1:4" x14ac:dyDescent="0.35">
      <c r="A577" t="s">
        <v>711</v>
      </c>
      <c r="B577" t="s">
        <v>1754</v>
      </c>
      <c r="C577" t="s">
        <v>1754</v>
      </c>
      <c r="D577">
        <f t="shared" si="8"/>
        <v>1</v>
      </c>
    </row>
    <row r="578" spans="1:4" x14ac:dyDescent="0.35">
      <c r="A578" t="s">
        <v>712</v>
      </c>
      <c r="B578" t="s">
        <v>1752</v>
      </c>
      <c r="C578" t="s">
        <v>1752</v>
      </c>
      <c r="D578">
        <f t="shared" si="8"/>
        <v>1</v>
      </c>
    </row>
    <row r="579" spans="1:4" x14ac:dyDescent="0.35">
      <c r="A579" t="s">
        <v>713</v>
      </c>
      <c r="B579" t="s">
        <v>1753</v>
      </c>
      <c r="C579" t="s">
        <v>1753</v>
      </c>
      <c r="D579">
        <f t="shared" ref="D579:D642" si="9">COUNTIF(C:C,C579)</f>
        <v>1</v>
      </c>
    </row>
    <row r="580" spans="1:4" x14ac:dyDescent="0.35">
      <c r="A580" t="s">
        <v>714</v>
      </c>
      <c r="B580" t="s">
        <v>2580</v>
      </c>
      <c r="C580" t="s">
        <v>2580</v>
      </c>
      <c r="D580">
        <f t="shared" si="9"/>
        <v>1</v>
      </c>
    </row>
    <row r="581" spans="1:4" x14ac:dyDescent="0.35">
      <c r="A581" t="s">
        <v>715</v>
      </c>
      <c r="B581" t="s">
        <v>2560</v>
      </c>
      <c r="C581" t="s">
        <v>2560</v>
      </c>
      <c r="D581">
        <f t="shared" si="9"/>
        <v>1</v>
      </c>
    </row>
    <row r="582" spans="1:4" x14ac:dyDescent="0.35">
      <c r="A582" t="s">
        <v>716</v>
      </c>
      <c r="B582" t="s">
        <v>2562</v>
      </c>
      <c r="C582" t="s">
        <v>2562</v>
      </c>
      <c r="D582">
        <f t="shared" si="9"/>
        <v>1</v>
      </c>
    </row>
    <row r="583" spans="1:4" x14ac:dyDescent="0.35">
      <c r="A583" t="s">
        <v>717</v>
      </c>
      <c r="B583" t="s">
        <v>1667</v>
      </c>
      <c r="C583" t="s">
        <v>1667</v>
      </c>
      <c r="D583">
        <f t="shared" si="9"/>
        <v>1</v>
      </c>
    </row>
    <row r="584" spans="1:4" x14ac:dyDescent="0.35">
      <c r="A584" t="s">
        <v>718</v>
      </c>
      <c r="B584" t="s">
        <v>1746</v>
      </c>
      <c r="C584" t="s">
        <v>1746</v>
      </c>
      <c r="D584">
        <f t="shared" si="9"/>
        <v>1</v>
      </c>
    </row>
    <row r="585" spans="1:4" x14ac:dyDescent="0.35">
      <c r="A585" t="s">
        <v>719</v>
      </c>
      <c r="B585" t="s">
        <v>1669</v>
      </c>
      <c r="C585" t="s">
        <v>1669</v>
      </c>
      <c r="D585">
        <f t="shared" si="9"/>
        <v>1</v>
      </c>
    </row>
    <row r="586" spans="1:4" x14ac:dyDescent="0.35">
      <c r="A586" t="s">
        <v>720</v>
      </c>
      <c r="B586" t="s">
        <v>2565</v>
      </c>
      <c r="C586" t="s">
        <v>2565</v>
      </c>
      <c r="D586">
        <f t="shared" si="9"/>
        <v>1</v>
      </c>
    </row>
    <row r="587" spans="1:4" x14ac:dyDescent="0.35">
      <c r="A587" t="s">
        <v>721</v>
      </c>
      <c r="B587" t="s">
        <v>1719</v>
      </c>
      <c r="C587" t="s">
        <v>1719</v>
      </c>
      <c r="D587">
        <f t="shared" si="9"/>
        <v>1</v>
      </c>
    </row>
    <row r="588" spans="1:4" x14ac:dyDescent="0.35">
      <c r="A588" t="s">
        <v>722</v>
      </c>
      <c r="B588" t="s">
        <v>1722</v>
      </c>
      <c r="C588" t="s">
        <v>1722</v>
      </c>
      <c r="D588">
        <f t="shared" si="9"/>
        <v>1</v>
      </c>
    </row>
    <row r="589" spans="1:4" x14ac:dyDescent="0.35">
      <c r="A589" t="s">
        <v>723</v>
      </c>
      <c r="B589" t="s">
        <v>2566</v>
      </c>
      <c r="C589" t="s">
        <v>2566</v>
      </c>
      <c r="D589">
        <f t="shared" si="9"/>
        <v>1</v>
      </c>
    </row>
    <row r="590" spans="1:4" x14ac:dyDescent="0.35">
      <c r="A590" t="s">
        <v>724</v>
      </c>
      <c r="B590" t="s">
        <v>2564</v>
      </c>
      <c r="C590" t="s">
        <v>2564</v>
      </c>
      <c r="D590">
        <f t="shared" si="9"/>
        <v>1</v>
      </c>
    </row>
    <row r="591" spans="1:4" x14ac:dyDescent="0.35">
      <c r="A591" t="s">
        <v>725</v>
      </c>
      <c r="B591" t="s">
        <v>2576</v>
      </c>
      <c r="C591" t="s">
        <v>2576</v>
      </c>
      <c r="D591">
        <f t="shared" si="9"/>
        <v>1</v>
      </c>
    </row>
    <row r="592" spans="1:4" x14ac:dyDescent="0.35">
      <c r="A592" t="s">
        <v>726</v>
      </c>
      <c r="B592" t="s">
        <v>2579</v>
      </c>
      <c r="C592" t="s">
        <v>2579</v>
      </c>
      <c r="D592">
        <f t="shared" si="9"/>
        <v>1</v>
      </c>
    </row>
    <row r="593" spans="1:4" x14ac:dyDescent="0.35">
      <c r="A593" t="s">
        <v>727</v>
      </c>
      <c r="B593" t="s">
        <v>2577</v>
      </c>
      <c r="C593" t="s">
        <v>2577</v>
      </c>
      <c r="D593">
        <f t="shared" si="9"/>
        <v>1</v>
      </c>
    </row>
    <row r="594" spans="1:4" x14ac:dyDescent="0.35">
      <c r="A594" t="s">
        <v>728</v>
      </c>
      <c r="B594" t="s">
        <v>2574</v>
      </c>
      <c r="C594" t="s">
        <v>2574</v>
      </c>
      <c r="D594">
        <f t="shared" si="9"/>
        <v>1</v>
      </c>
    </row>
    <row r="595" spans="1:4" x14ac:dyDescent="0.35">
      <c r="A595" t="s">
        <v>729</v>
      </c>
      <c r="B595" t="s">
        <v>2575</v>
      </c>
      <c r="C595" t="s">
        <v>2575</v>
      </c>
      <c r="D595">
        <f t="shared" si="9"/>
        <v>1</v>
      </c>
    </row>
    <row r="596" spans="1:4" x14ac:dyDescent="0.35">
      <c r="A596" t="s">
        <v>730</v>
      </c>
      <c r="B596" t="s">
        <v>2563</v>
      </c>
      <c r="C596" t="s">
        <v>2563</v>
      </c>
      <c r="D596">
        <f t="shared" si="9"/>
        <v>1</v>
      </c>
    </row>
    <row r="597" spans="1:4" x14ac:dyDescent="0.35">
      <c r="A597" t="s">
        <v>731</v>
      </c>
      <c r="B597" t="s">
        <v>2561</v>
      </c>
      <c r="C597" t="s">
        <v>2561</v>
      </c>
      <c r="D597">
        <f t="shared" si="9"/>
        <v>1</v>
      </c>
    </row>
    <row r="598" spans="1:4" x14ac:dyDescent="0.35">
      <c r="A598" t="s">
        <v>732</v>
      </c>
      <c r="B598" t="s">
        <v>2572</v>
      </c>
      <c r="C598" t="s">
        <v>2572</v>
      </c>
      <c r="D598">
        <f t="shared" si="9"/>
        <v>1</v>
      </c>
    </row>
    <row r="599" spans="1:4" x14ac:dyDescent="0.35">
      <c r="A599" t="s">
        <v>733</v>
      </c>
      <c r="B599" t="s">
        <v>1789</v>
      </c>
      <c r="C599" t="s">
        <v>1789</v>
      </c>
      <c r="D599">
        <f t="shared" si="9"/>
        <v>1</v>
      </c>
    </row>
    <row r="600" spans="1:4" x14ac:dyDescent="0.35">
      <c r="A600" t="s">
        <v>734</v>
      </c>
      <c r="B600" t="s">
        <v>1696</v>
      </c>
      <c r="C600" t="s">
        <v>1696</v>
      </c>
      <c r="D600">
        <f t="shared" si="9"/>
        <v>1</v>
      </c>
    </row>
    <row r="601" spans="1:4" x14ac:dyDescent="0.35">
      <c r="A601" t="s">
        <v>735</v>
      </c>
      <c r="B601" t="s">
        <v>2571</v>
      </c>
      <c r="C601" t="s">
        <v>2571</v>
      </c>
      <c r="D601">
        <f t="shared" si="9"/>
        <v>1</v>
      </c>
    </row>
    <row r="602" spans="1:4" x14ac:dyDescent="0.35">
      <c r="A602" t="s">
        <v>736</v>
      </c>
      <c r="B602" t="s">
        <v>2581</v>
      </c>
      <c r="C602" t="s">
        <v>2581</v>
      </c>
      <c r="D602">
        <f t="shared" si="9"/>
        <v>1</v>
      </c>
    </row>
    <row r="603" spans="1:4" x14ac:dyDescent="0.35">
      <c r="A603" t="s">
        <v>737</v>
      </c>
      <c r="B603" t="s">
        <v>1714</v>
      </c>
      <c r="C603" t="s">
        <v>1714</v>
      </c>
      <c r="D603">
        <f t="shared" si="9"/>
        <v>1</v>
      </c>
    </row>
    <row r="604" spans="1:4" x14ac:dyDescent="0.35">
      <c r="A604" t="s">
        <v>738</v>
      </c>
      <c r="B604" t="s">
        <v>2464</v>
      </c>
      <c r="C604" t="s">
        <v>2464</v>
      </c>
      <c r="D604">
        <f t="shared" si="9"/>
        <v>1</v>
      </c>
    </row>
    <row r="605" spans="1:4" x14ac:dyDescent="0.35">
      <c r="A605" t="s">
        <v>739</v>
      </c>
      <c r="B605" t="s">
        <v>1733</v>
      </c>
      <c r="C605" t="s">
        <v>1733</v>
      </c>
      <c r="D605">
        <f t="shared" si="9"/>
        <v>1</v>
      </c>
    </row>
    <row r="606" spans="1:4" x14ac:dyDescent="0.35">
      <c r="A606" t="s">
        <v>740</v>
      </c>
      <c r="B606" t="s">
        <v>1736</v>
      </c>
      <c r="C606" t="s">
        <v>1736</v>
      </c>
      <c r="D606">
        <f t="shared" si="9"/>
        <v>1</v>
      </c>
    </row>
    <row r="607" spans="1:4" x14ac:dyDescent="0.35">
      <c r="A607" t="s">
        <v>741</v>
      </c>
      <c r="B607" t="s">
        <v>1734</v>
      </c>
      <c r="C607" t="s">
        <v>1734</v>
      </c>
      <c r="D607">
        <f t="shared" si="9"/>
        <v>1</v>
      </c>
    </row>
    <row r="608" spans="1:4" x14ac:dyDescent="0.35">
      <c r="A608" t="s">
        <v>742</v>
      </c>
      <c r="B608" t="s">
        <v>1635</v>
      </c>
      <c r="C608" t="s">
        <v>1635</v>
      </c>
      <c r="D608">
        <f t="shared" si="9"/>
        <v>1</v>
      </c>
    </row>
    <row r="609" spans="1:4" x14ac:dyDescent="0.35">
      <c r="A609" t="s">
        <v>743</v>
      </c>
      <c r="B609" t="s">
        <v>1636</v>
      </c>
      <c r="C609" t="s">
        <v>1636</v>
      </c>
      <c r="D609">
        <f t="shared" si="9"/>
        <v>1</v>
      </c>
    </row>
    <row r="610" spans="1:4" x14ac:dyDescent="0.35">
      <c r="A610" t="s">
        <v>744</v>
      </c>
      <c r="B610" t="s">
        <v>1638</v>
      </c>
      <c r="C610" t="s">
        <v>1638</v>
      </c>
      <c r="D610">
        <f t="shared" si="9"/>
        <v>1</v>
      </c>
    </row>
    <row r="611" spans="1:4" x14ac:dyDescent="0.35">
      <c r="A611" t="s">
        <v>745</v>
      </c>
      <c r="B611" t="s">
        <v>1639</v>
      </c>
      <c r="C611" t="s">
        <v>1639</v>
      </c>
      <c r="D611">
        <f t="shared" si="9"/>
        <v>1</v>
      </c>
    </row>
    <row r="612" spans="1:4" x14ac:dyDescent="0.35">
      <c r="A612" t="s">
        <v>746</v>
      </c>
      <c r="B612" t="s">
        <v>1640</v>
      </c>
      <c r="C612" t="s">
        <v>1640</v>
      </c>
      <c r="D612">
        <f t="shared" si="9"/>
        <v>1</v>
      </c>
    </row>
    <row r="613" spans="1:4" x14ac:dyDescent="0.35">
      <c r="A613" t="s">
        <v>747</v>
      </c>
      <c r="B613" t="s">
        <v>1738</v>
      </c>
      <c r="C613" t="s">
        <v>1738</v>
      </c>
      <c r="D613">
        <f t="shared" si="9"/>
        <v>1</v>
      </c>
    </row>
    <row r="614" spans="1:4" x14ac:dyDescent="0.35">
      <c r="A614" t="s">
        <v>748</v>
      </c>
      <c r="B614" t="s">
        <v>1678</v>
      </c>
      <c r="C614" t="s">
        <v>1678</v>
      </c>
      <c r="D614">
        <f t="shared" si="9"/>
        <v>1</v>
      </c>
    </row>
    <row r="615" spans="1:4" x14ac:dyDescent="0.35">
      <c r="A615" t="s">
        <v>749</v>
      </c>
      <c r="B615" t="s">
        <v>1740</v>
      </c>
      <c r="C615" t="s">
        <v>1740</v>
      </c>
      <c r="D615">
        <f t="shared" si="9"/>
        <v>1</v>
      </c>
    </row>
    <row r="616" spans="1:4" x14ac:dyDescent="0.35">
      <c r="A616" t="s">
        <v>750</v>
      </c>
      <c r="B616" t="s">
        <v>1763</v>
      </c>
      <c r="C616" t="s">
        <v>1763</v>
      </c>
      <c r="D616">
        <f t="shared" si="9"/>
        <v>1</v>
      </c>
    </row>
    <row r="617" spans="1:4" x14ac:dyDescent="0.35">
      <c r="A617" t="s">
        <v>751</v>
      </c>
      <c r="B617" t="s">
        <v>2558</v>
      </c>
      <c r="C617" t="s">
        <v>2558</v>
      </c>
      <c r="D617">
        <f t="shared" si="9"/>
        <v>1</v>
      </c>
    </row>
    <row r="618" spans="1:4" x14ac:dyDescent="0.35">
      <c r="A618" t="s">
        <v>752</v>
      </c>
      <c r="B618" t="s">
        <v>2559</v>
      </c>
      <c r="C618" t="s">
        <v>2559</v>
      </c>
      <c r="D618">
        <f t="shared" si="9"/>
        <v>1</v>
      </c>
    </row>
    <row r="619" spans="1:4" x14ac:dyDescent="0.35">
      <c r="A619" t="s">
        <v>753</v>
      </c>
      <c r="B619" t="s">
        <v>1790</v>
      </c>
      <c r="C619" t="s">
        <v>1790</v>
      </c>
      <c r="D619">
        <f t="shared" si="9"/>
        <v>1</v>
      </c>
    </row>
    <row r="620" spans="1:4" x14ac:dyDescent="0.35">
      <c r="A620" t="s">
        <v>754</v>
      </c>
      <c r="B620" t="s">
        <v>2626</v>
      </c>
      <c r="C620" t="s">
        <v>2626</v>
      </c>
      <c r="D620">
        <f t="shared" si="9"/>
        <v>1</v>
      </c>
    </row>
    <row r="621" spans="1:4" x14ac:dyDescent="0.35">
      <c r="A621" t="s">
        <v>755</v>
      </c>
      <c r="B621" t="s">
        <v>2625</v>
      </c>
      <c r="C621" t="s">
        <v>2625</v>
      </c>
      <c r="D621">
        <f t="shared" si="9"/>
        <v>1</v>
      </c>
    </row>
    <row r="622" spans="1:4" x14ac:dyDescent="0.35">
      <c r="A622" t="s">
        <v>756</v>
      </c>
      <c r="B622" t="s">
        <v>2373</v>
      </c>
      <c r="C622" t="s">
        <v>2373</v>
      </c>
      <c r="D622">
        <f t="shared" si="9"/>
        <v>1</v>
      </c>
    </row>
    <row r="623" spans="1:4" x14ac:dyDescent="0.35">
      <c r="A623" t="s">
        <v>757</v>
      </c>
      <c r="B623" t="s">
        <v>2627</v>
      </c>
      <c r="C623" t="s">
        <v>2627</v>
      </c>
      <c r="D623">
        <f t="shared" si="9"/>
        <v>1</v>
      </c>
    </row>
    <row r="624" spans="1:4" x14ac:dyDescent="0.35">
      <c r="A624" t="s">
        <v>2254</v>
      </c>
      <c r="B624" t="s">
        <v>758</v>
      </c>
      <c r="C624" t="s">
        <v>758</v>
      </c>
      <c r="D624">
        <f t="shared" si="9"/>
        <v>1</v>
      </c>
    </row>
    <row r="625" spans="1:4" x14ac:dyDescent="0.35">
      <c r="A625" t="s">
        <v>2255</v>
      </c>
      <c r="B625" t="s">
        <v>759</v>
      </c>
      <c r="C625" t="s">
        <v>759</v>
      </c>
      <c r="D625">
        <f t="shared" si="9"/>
        <v>1</v>
      </c>
    </row>
    <row r="626" spans="1:4" x14ac:dyDescent="0.35">
      <c r="A626" t="s">
        <v>2256</v>
      </c>
      <c r="B626" t="s">
        <v>760</v>
      </c>
      <c r="C626" t="s">
        <v>760</v>
      </c>
      <c r="D626">
        <f t="shared" si="9"/>
        <v>1</v>
      </c>
    </row>
    <row r="627" spans="1:4" x14ac:dyDescent="0.35">
      <c r="A627" t="s">
        <v>2257</v>
      </c>
      <c r="B627" t="s">
        <v>1698</v>
      </c>
      <c r="C627" t="s">
        <v>1698</v>
      </c>
      <c r="D627">
        <f t="shared" si="9"/>
        <v>1</v>
      </c>
    </row>
    <row r="628" spans="1:4" x14ac:dyDescent="0.35">
      <c r="A628" t="s">
        <v>762</v>
      </c>
      <c r="B628" t="s">
        <v>1630</v>
      </c>
      <c r="C628" t="s">
        <v>1630</v>
      </c>
      <c r="D628">
        <f t="shared" si="9"/>
        <v>1</v>
      </c>
    </row>
    <row r="629" spans="1:4" x14ac:dyDescent="0.35">
      <c r="A629" t="s">
        <v>763</v>
      </c>
      <c r="B629" t="s">
        <v>1666</v>
      </c>
      <c r="C629" t="s">
        <v>1666</v>
      </c>
      <c r="D629">
        <f t="shared" si="9"/>
        <v>1</v>
      </c>
    </row>
    <row r="630" spans="1:4" x14ac:dyDescent="0.35">
      <c r="A630" t="s">
        <v>764</v>
      </c>
      <c r="B630" t="s">
        <v>1796</v>
      </c>
      <c r="C630" t="s">
        <v>1796</v>
      </c>
      <c r="D630">
        <f t="shared" si="9"/>
        <v>1</v>
      </c>
    </row>
    <row r="631" spans="1:4" x14ac:dyDescent="0.35">
      <c r="A631" t="s">
        <v>765</v>
      </c>
      <c r="B631" t="s">
        <v>1679</v>
      </c>
      <c r="C631" t="s">
        <v>1679</v>
      </c>
      <c r="D631">
        <f t="shared" si="9"/>
        <v>1</v>
      </c>
    </row>
    <row r="632" spans="1:4" x14ac:dyDescent="0.35">
      <c r="A632" t="s">
        <v>766</v>
      </c>
      <c r="B632" t="s">
        <v>1762</v>
      </c>
      <c r="C632" t="s">
        <v>1762</v>
      </c>
      <c r="D632">
        <f t="shared" si="9"/>
        <v>1</v>
      </c>
    </row>
    <row r="633" spans="1:4" x14ac:dyDescent="0.35">
      <c r="A633" t="s">
        <v>767</v>
      </c>
      <c r="B633" t="s">
        <v>2384</v>
      </c>
      <c r="C633" t="s">
        <v>2384</v>
      </c>
      <c r="D633">
        <f t="shared" si="9"/>
        <v>1</v>
      </c>
    </row>
    <row r="634" spans="1:4" x14ac:dyDescent="0.35">
      <c r="A634" t="s">
        <v>768</v>
      </c>
      <c r="B634" t="s">
        <v>1632</v>
      </c>
      <c r="C634" t="s">
        <v>1632</v>
      </c>
      <c r="D634">
        <f t="shared" si="9"/>
        <v>1</v>
      </c>
    </row>
    <row r="635" spans="1:4" x14ac:dyDescent="0.35">
      <c r="A635" t="s">
        <v>769</v>
      </c>
      <c r="B635" t="s">
        <v>1631</v>
      </c>
      <c r="C635" t="s">
        <v>1631</v>
      </c>
      <c r="D635">
        <f t="shared" si="9"/>
        <v>1</v>
      </c>
    </row>
    <row r="636" spans="1:4" x14ac:dyDescent="0.35">
      <c r="A636" t="s">
        <v>770</v>
      </c>
      <c r="B636" t="s">
        <v>2586</v>
      </c>
      <c r="C636" t="s">
        <v>2586</v>
      </c>
      <c r="D636">
        <f t="shared" si="9"/>
        <v>1</v>
      </c>
    </row>
    <row r="637" spans="1:4" x14ac:dyDescent="0.35">
      <c r="A637" t="s">
        <v>771</v>
      </c>
      <c r="B637" t="s">
        <v>1676</v>
      </c>
      <c r="C637" t="s">
        <v>1676</v>
      </c>
      <c r="D637">
        <f t="shared" si="9"/>
        <v>1</v>
      </c>
    </row>
    <row r="638" spans="1:4" x14ac:dyDescent="0.35">
      <c r="A638" t="s">
        <v>772</v>
      </c>
      <c r="B638" t="s">
        <v>1675</v>
      </c>
      <c r="C638" t="s">
        <v>1675</v>
      </c>
      <c r="D638">
        <f t="shared" si="9"/>
        <v>1</v>
      </c>
    </row>
    <row r="639" spans="1:4" x14ac:dyDescent="0.35">
      <c r="A639" t="s">
        <v>773</v>
      </c>
      <c r="B639" t="s">
        <v>2385</v>
      </c>
      <c r="C639" t="s">
        <v>2385</v>
      </c>
      <c r="D639">
        <f t="shared" si="9"/>
        <v>1</v>
      </c>
    </row>
    <row r="640" spans="1:4" x14ac:dyDescent="0.35">
      <c r="A640" t="s">
        <v>774</v>
      </c>
      <c r="B640" t="s">
        <v>1795</v>
      </c>
      <c r="C640" t="s">
        <v>1795</v>
      </c>
      <c r="D640">
        <f t="shared" si="9"/>
        <v>1</v>
      </c>
    </row>
    <row r="641" spans="1:4" x14ac:dyDescent="0.35">
      <c r="A641" t="s">
        <v>775</v>
      </c>
      <c r="B641" t="s">
        <v>1794</v>
      </c>
      <c r="C641" t="s">
        <v>1794</v>
      </c>
      <c r="D641">
        <f t="shared" si="9"/>
        <v>1</v>
      </c>
    </row>
    <row r="642" spans="1:4" x14ac:dyDescent="0.35">
      <c r="A642" t="s">
        <v>986</v>
      </c>
      <c r="B642" t="s">
        <v>2386</v>
      </c>
      <c r="C642" t="s">
        <v>2386</v>
      </c>
      <c r="D642">
        <f t="shared" si="9"/>
        <v>1</v>
      </c>
    </row>
    <row r="643" spans="1:4" x14ac:dyDescent="0.35">
      <c r="A643" t="s">
        <v>987</v>
      </c>
      <c r="B643" t="s">
        <v>2720</v>
      </c>
      <c r="C643" t="s">
        <v>2720</v>
      </c>
      <c r="D643">
        <f t="shared" ref="D643:D706" si="10">COUNTIF(C:C,C643)</f>
        <v>1</v>
      </c>
    </row>
    <row r="644" spans="1:4" x14ac:dyDescent="0.35">
      <c r="A644" t="s">
        <v>988</v>
      </c>
      <c r="B644" t="s">
        <v>2721</v>
      </c>
      <c r="C644" t="s">
        <v>2721</v>
      </c>
      <c r="D644">
        <f t="shared" si="10"/>
        <v>1</v>
      </c>
    </row>
    <row r="645" spans="1:4" x14ac:dyDescent="0.35">
      <c r="A645" t="s">
        <v>989</v>
      </c>
      <c r="B645" t="s">
        <v>2387</v>
      </c>
      <c r="C645" t="s">
        <v>2387</v>
      </c>
      <c r="D645">
        <f t="shared" si="10"/>
        <v>1</v>
      </c>
    </row>
    <row r="646" spans="1:4" x14ac:dyDescent="0.35">
      <c r="A646" t="s">
        <v>990</v>
      </c>
      <c r="B646" t="s">
        <v>2388</v>
      </c>
      <c r="C646" t="s">
        <v>2388</v>
      </c>
      <c r="D646">
        <f t="shared" si="10"/>
        <v>1</v>
      </c>
    </row>
    <row r="647" spans="1:4" x14ac:dyDescent="0.35">
      <c r="A647" t="s">
        <v>991</v>
      </c>
      <c r="B647" t="s">
        <v>2389</v>
      </c>
      <c r="C647" t="s">
        <v>2389</v>
      </c>
      <c r="D647">
        <f t="shared" si="10"/>
        <v>1</v>
      </c>
    </row>
    <row r="648" spans="1:4" x14ac:dyDescent="0.35">
      <c r="A648" t="s">
        <v>992</v>
      </c>
      <c r="B648" t="s">
        <v>2390</v>
      </c>
      <c r="C648" t="s">
        <v>2390</v>
      </c>
      <c r="D648">
        <f t="shared" si="10"/>
        <v>1</v>
      </c>
    </row>
    <row r="649" spans="1:4" x14ac:dyDescent="0.35">
      <c r="A649" t="s">
        <v>993</v>
      </c>
      <c r="B649" t="s">
        <v>2391</v>
      </c>
      <c r="C649" t="s">
        <v>2391</v>
      </c>
      <c r="D649">
        <f t="shared" si="10"/>
        <v>1</v>
      </c>
    </row>
    <row r="650" spans="1:4" x14ac:dyDescent="0.35">
      <c r="A650" t="s">
        <v>994</v>
      </c>
      <c r="B650" t="s">
        <v>2392</v>
      </c>
      <c r="C650" t="s">
        <v>2392</v>
      </c>
      <c r="D650">
        <f t="shared" si="10"/>
        <v>1</v>
      </c>
    </row>
    <row r="651" spans="1:4" x14ac:dyDescent="0.35">
      <c r="A651" t="s">
        <v>996</v>
      </c>
      <c r="B651" t="s">
        <v>2393</v>
      </c>
      <c r="C651" t="s">
        <v>2393</v>
      </c>
      <c r="D651">
        <f t="shared" si="10"/>
        <v>1</v>
      </c>
    </row>
    <row r="652" spans="1:4" x14ac:dyDescent="0.35">
      <c r="A652" t="s">
        <v>997</v>
      </c>
      <c r="B652" t="s">
        <v>2394</v>
      </c>
      <c r="C652" t="s">
        <v>2394</v>
      </c>
      <c r="D652">
        <f t="shared" si="10"/>
        <v>1</v>
      </c>
    </row>
    <row r="653" spans="1:4" x14ac:dyDescent="0.35">
      <c r="A653" t="s">
        <v>998</v>
      </c>
      <c r="B653" t="s">
        <v>2395</v>
      </c>
      <c r="C653" t="s">
        <v>2395</v>
      </c>
      <c r="D653">
        <f t="shared" si="10"/>
        <v>1</v>
      </c>
    </row>
    <row r="654" spans="1:4" x14ac:dyDescent="0.35">
      <c r="A654" t="s">
        <v>999</v>
      </c>
      <c r="B654" t="s">
        <v>2396</v>
      </c>
      <c r="C654" t="s">
        <v>2396</v>
      </c>
      <c r="D654">
        <f t="shared" si="10"/>
        <v>1</v>
      </c>
    </row>
    <row r="655" spans="1:4" x14ac:dyDescent="0.35">
      <c r="A655" t="s">
        <v>1000</v>
      </c>
      <c r="B655" t="s">
        <v>2397</v>
      </c>
      <c r="C655" t="s">
        <v>2397</v>
      </c>
      <c r="D655">
        <f t="shared" si="10"/>
        <v>1</v>
      </c>
    </row>
    <row r="656" spans="1:4" x14ac:dyDescent="0.35">
      <c r="A656" t="s">
        <v>1001</v>
      </c>
      <c r="B656" t="s">
        <v>2398</v>
      </c>
      <c r="C656" t="s">
        <v>2398</v>
      </c>
      <c r="D656">
        <f t="shared" si="10"/>
        <v>1</v>
      </c>
    </row>
    <row r="657" spans="1:4" x14ac:dyDescent="0.35">
      <c r="A657" t="s">
        <v>1002</v>
      </c>
      <c r="B657" t="s">
        <v>2399</v>
      </c>
      <c r="C657" t="s">
        <v>2399</v>
      </c>
      <c r="D657">
        <f t="shared" si="10"/>
        <v>1</v>
      </c>
    </row>
    <row r="658" spans="1:4" x14ac:dyDescent="0.35">
      <c r="A658" t="s">
        <v>1003</v>
      </c>
      <c r="B658" t="s">
        <v>2400</v>
      </c>
      <c r="C658" t="s">
        <v>2400</v>
      </c>
      <c r="D658">
        <f t="shared" si="10"/>
        <v>1</v>
      </c>
    </row>
    <row r="659" spans="1:4" x14ac:dyDescent="0.35">
      <c r="A659" t="s">
        <v>1004</v>
      </c>
      <c r="B659" t="s">
        <v>2401</v>
      </c>
      <c r="C659" t="s">
        <v>2401</v>
      </c>
      <c r="D659">
        <f t="shared" si="10"/>
        <v>1</v>
      </c>
    </row>
    <row r="660" spans="1:4" x14ac:dyDescent="0.35">
      <c r="A660" t="s">
        <v>1005</v>
      </c>
      <c r="B660" t="s">
        <v>2402</v>
      </c>
      <c r="C660" t="s">
        <v>2402</v>
      </c>
      <c r="D660">
        <f t="shared" si="10"/>
        <v>1</v>
      </c>
    </row>
    <row r="661" spans="1:4" x14ac:dyDescent="0.35">
      <c r="A661" t="s">
        <v>1006</v>
      </c>
      <c r="B661" t="s">
        <v>2403</v>
      </c>
      <c r="C661" t="s">
        <v>2403</v>
      </c>
      <c r="D661">
        <f t="shared" si="10"/>
        <v>1</v>
      </c>
    </row>
    <row r="662" spans="1:4" x14ac:dyDescent="0.35">
      <c r="A662" t="s">
        <v>1007</v>
      </c>
      <c r="B662" t="s">
        <v>2404</v>
      </c>
      <c r="C662" t="s">
        <v>2404</v>
      </c>
      <c r="D662">
        <f t="shared" si="10"/>
        <v>1</v>
      </c>
    </row>
    <row r="663" spans="1:4" x14ac:dyDescent="0.35">
      <c r="A663" t="s">
        <v>1008</v>
      </c>
      <c r="B663" t="s">
        <v>2405</v>
      </c>
      <c r="C663" t="s">
        <v>2405</v>
      </c>
      <c r="D663">
        <f t="shared" si="10"/>
        <v>1</v>
      </c>
    </row>
    <row r="664" spans="1:4" x14ac:dyDescent="0.35">
      <c r="A664" t="s">
        <v>1009</v>
      </c>
      <c r="B664" t="s">
        <v>2406</v>
      </c>
      <c r="C664" t="s">
        <v>2406</v>
      </c>
      <c r="D664">
        <f t="shared" si="10"/>
        <v>1</v>
      </c>
    </row>
    <row r="665" spans="1:4" x14ac:dyDescent="0.35">
      <c r="A665" t="s">
        <v>1010</v>
      </c>
      <c r="B665" t="s">
        <v>2407</v>
      </c>
      <c r="C665" t="s">
        <v>2407</v>
      </c>
      <c r="D665">
        <f t="shared" si="10"/>
        <v>1</v>
      </c>
    </row>
    <row r="666" spans="1:4" x14ac:dyDescent="0.35">
      <c r="A666" t="s">
        <v>1011</v>
      </c>
      <c r="B666" t="s">
        <v>2408</v>
      </c>
      <c r="C666" t="s">
        <v>2408</v>
      </c>
      <c r="D666">
        <f t="shared" si="10"/>
        <v>1</v>
      </c>
    </row>
    <row r="667" spans="1:4" x14ac:dyDescent="0.35">
      <c r="A667" t="s">
        <v>1012</v>
      </c>
      <c r="B667" t="s">
        <v>2409</v>
      </c>
      <c r="C667" t="s">
        <v>2409</v>
      </c>
      <c r="D667">
        <f t="shared" si="10"/>
        <v>1</v>
      </c>
    </row>
    <row r="668" spans="1:4" x14ac:dyDescent="0.35">
      <c r="A668" t="s">
        <v>1013</v>
      </c>
      <c r="B668" t="s">
        <v>2410</v>
      </c>
      <c r="C668" t="s">
        <v>2410</v>
      </c>
      <c r="D668">
        <f t="shared" si="10"/>
        <v>1</v>
      </c>
    </row>
    <row r="669" spans="1:4" x14ac:dyDescent="0.35">
      <c r="A669" t="s">
        <v>1014</v>
      </c>
      <c r="B669" t="s">
        <v>2470</v>
      </c>
      <c r="C669" t="s">
        <v>2470</v>
      </c>
      <c r="D669">
        <f t="shared" si="10"/>
        <v>1</v>
      </c>
    </row>
    <row r="670" spans="1:4" x14ac:dyDescent="0.35">
      <c r="A670" t="s">
        <v>1015</v>
      </c>
      <c r="B670" t="s">
        <v>2411</v>
      </c>
      <c r="C670" t="s">
        <v>2411</v>
      </c>
      <c r="D670">
        <f t="shared" si="10"/>
        <v>1</v>
      </c>
    </row>
    <row r="671" spans="1:4" x14ac:dyDescent="0.35">
      <c r="A671" t="s">
        <v>1016</v>
      </c>
      <c r="B671" t="s">
        <v>2412</v>
      </c>
      <c r="C671" t="s">
        <v>2412</v>
      </c>
      <c r="D671">
        <f t="shared" si="10"/>
        <v>1</v>
      </c>
    </row>
    <row r="672" spans="1:4" x14ac:dyDescent="0.35">
      <c r="A672" t="s">
        <v>1017</v>
      </c>
      <c r="B672" t="s">
        <v>2413</v>
      </c>
      <c r="C672" t="s">
        <v>2413</v>
      </c>
      <c r="D672">
        <f t="shared" si="10"/>
        <v>1</v>
      </c>
    </row>
    <row r="673" spans="1:4" x14ac:dyDescent="0.35">
      <c r="A673" t="s">
        <v>1018</v>
      </c>
      <c r="B673" t="s">
        <v>2414</v>
      </c>
      <c r="C673" t="s">
        <v>2414</v>
      </c>
      <c r="D673">
        <f t="shared" si="10"/>
        <v>1</v>
      </c>
    </row>
    <row r="674" spans="1:4" x14ac:dyDescent="0.35">
      <c r="A674" t="s">
        <v>1019</v>
      </c>
      <c r="B674" t="s">
        <v>2568</v>
      </c>
      <c r="C674" t="s">
        <v>2568</v>
      </c>
      <c r="D674">
        <f t="shared" si="10"/>
        <v>1</v>
      </c>
    </row>
    <row r="675" spans="1:4" x14ac:dyDescent="0.35">
      <c r="A675" t="s">
        <v>1020</v>
      </c>
      <c r="B675" t="s">
        <v>2415</v>
      </c>
      <c r="C675" t="s">
        <v>2415</v>
      </c>
      <c r="D675">
        <f t="shared" si="10"/>
        <v>1</v>
      </c>
    </row>
    <row r="676" spans="1:4" x14ac:dyDescent="0.35">
      <c r="A676" t="s">
        <v>1021</v>
      </c>
      <c r="B676" t="s">
        <v>2416</v>
      </c>
      <c r="C676" t="s">
        <v>2416</v>
      </c>
      <c r="D676">
        <f t="shared" si="10"/>
        <v>1</v>
      </c>
    </row>
    <row r="677" spans="1:4" x14ac:dyDescent="0.35">
      <c r="A677" t="s">
        <v>1022</v>
      </c>
      <c r="B677" t="s">
        <v>2717</v>
      </c>
      <c r="C677" t="s">
        <v>2717</v>
      </c>
      <c r="D677">
        <f t="shared" si="10"/>
        <v>1</v>
      </c>
    </row>
    <row r="678" spans="1:4" x14ac:dyDescent="0.35">
      <c r="A678" t="s">
        <v>1023</v>
      </c>
      <c r="B678" t="s">
        <v>2697</v>
      </c>
      <c r="C678" t="s">
        <v>2697</v>
      </c>
      <c r="D678">
        <f t="shared" si="10"/>
        <v>1</v>
      </c>
    </row>
    <row r="679" spans="1:4" x14ac:dyDescent="0.35">
      <c r="A679" t="s">
        <v>1024</v>
      </c>
      <c r="B679" t="s">
        <v>2417</v>
      </c>
      <c r="C679" t="s">
        <v>2417</v>
      </c>
      <c r="D679">
        <f t="shared" si="10"/>
        <v>1</v>
      </c>
    </row>
    <row r="680" spans="1:4" x14ac:dyDescent="0.35">
      <c r="A680" t="s">
        <v>1025</v>
      </c>
      <c r="B680" t="s">
        <v>2718</v>
      </c>
      <c r="C680" t="s">
        <v>2718</v>
      </c>
      <c r="D680">
        <f t="shared" si="10"/>
        <v>1</v>
      </c>
    </row>
    <row r="681" spans="1:4" x14ac:dyDescent="0.35">
      <c r="A681" t="s">
        <v>1026</v>
      </c>
      <c r="B681" t="s">
        <v>2719</v>
      </c>
      <c r="C681" t="s">
        <v>2719</v>
      </c>
      <c r="D681">
        <f t="shared" si="10"/>
        <v>1</v>
      </c>
    </row>
    <row r="682" spans="1:4" x14ac:dyDescent="0.35">
      <c r="A682" t="s">
        <v>1027</v>
      </c>
      <c r="B682" t="s">
        <v>2418</v>
      </c>
      <c r="C682" t="s">
        <v>2418</v>
      </c>
      <c r="D682">
        <f t="shared" si="10"/>
        <v>1</v>
      </c>
    </row>
    <row r="683" spans="1:4" x14ac:dyDescent="0.35">
      <c r="A683" t="s">
        <v>1028</v>
      </c>
      <c r="B683" t="s">
        <v>2419</v>
      </c>
      <c r="C683" t="s">
        <v>2419</v>
      </c>
      <c r="D683">
        <f t="shared" si="10"/>
        <v>1</v>
      </c>
    </row>
    <row r="684" spans="1:4" x14ac:dyDescent="0.35">
      <c r="A684" t="s">
        <v>1029</v>
      </c>
      <c r="B684" t="s">
        <v>2420</v>
      </c>
      <c r="C684" t="s">
        <v>2420</v>
      </c>
      <c r="D684">
        <f t="shared" si="10"/>
        <v>1</v>
      </c>
    </row>
    <row r="685" spans="1:4" x14ac:dyDescent="0.35">
      <c r="A685" t="s">
        <v>1030</v>
      </c>
      <c r="B685" t="s">
        <v>2421</v>
      </c>
      <c r="C685" t="s">
        <v>2421</v>
      </c>
      <c r="D685">
        <f t="shared" si="10"/>
        <v>1</v>
      </c>
    </row>
    <row r="686" spans="1:4" x14ac:dyDescent="0.35">
      <c r="A686" t="s">
        <v>1031</v>
      </c>
      <c r="B686" t="s">
        <v>2669</v>
      </c>
      <c r="C686" t="s">
        <v>2669</v>
      </c>
      <c r="D686">
        <f t="shared" si="10"/>
        <v>1</v>
      </c>
    </row>
    <row r="687" spans="1:4" x14ac:dyDescent="0.35">
      <c r="A687" t="s">
        <v>1032</v>
      </c>
      <c r="B687" t="s">
        <v>1032</v>
      </c>
      <c r="C687" t="s">
        <v>1032</v>
      </c>
      <c r="D687">
        <f t="shared" si="10"/>
        <v>1</v>
      </c>
    </row>
    <row r="688" spans="1:4" x14ac:dyDescent="0.35">
      <c r="A688" t="s">
        <v>1033</v>
      </c>
      <c r="B688" t="s">
        <v>2422</v>
      </c>
      <c r="C688" t="s">
        <v>2422</v>
      </c>
      <c r="D688">
        <f t="shared" si="10"/>
        <v>1</v>
      </c>
    </row>
    <row r="689" spans="1:4" x14ac:dyDescent="0.35">
      <c r="A689" t="s">
        <v>1034</v>
      </c>
      <c r="B689" t="s">
        <v>2423</v>
      </c>
      <c r="C689" t="s">
        <v>2423</v>
      </c>
      <c r="D689">
        <f t="shared" si="10"/>
        <v>1</v>
      </c>
    </row>
    <row r="690" spans="1:4" x14ac:dyDescent="0.35">
      <c r="A690" t="s">
        <v>1035</v>
      </c>
      <c r="B690" t="s">
        <v>2230</v>
      </c>
      <c r="C690" t="s">
        <v>2230</v>
      </c>
      <c r="D690">
        <f t="shared" si="10"/>
        <v>1</v>
      </c>
    </row>
    <row r="691" spans="1:4" x14ac:dyDescent="0.35">
      <c r="A691" t="s">
        <v>1036</v>
      </c>
      <c r="B691" t="s">
        <v>2424</v>
      </c>
      <c r="C691" t="s">
        <v>2424</v>
      </c>
      <c r="D691">
        <f t="shared" si="10"/>
        <v>1</v>
      </c>
    </row>
    <row r="692" spans="1:4" x14ac:dyDescent="0.35">
      <c r="A692" t="s">
        <v>1037</v>
      </c>
      <c r="B692" t="s">
        <v>2425</v>
      </c>
      <c r="C692" t="s">
        <v>2425</v>
      </c>
      <c r="D692">
        <f t="shared" si="10"/>
        <v>1</v>
      </c>
    </row>
    <row r="693" spans="1:4" x14ac:dyDescent="0.35">
      <c r="A693" t="s">
        <v>1038</v>
      </c>
      <c r="B693" t="s">
        <v>2426</v>
      </c>
      <c r="C693" t="s">
        <v>2426</v>
      </c>
      <c r="D693">
        <f t="shared" si="10"/>
        <v>1</v>
      </c>
    </row>
    <row r="694" spans="1:4" x14ac:dyDescent="0.35">
      <c r="A694" t="s">
        <v>1039</v>
      </c>
      <c r="B694" t="s">
        <v>2427</v>
      </c>
      <c r="C694" t="s">
        <v>2427</v>
      </c>
      <c r="D694">
        <f t="shared" si="10"/>
        <v>1</v>
      </c>
    </row>
    <row r="695" spans="1:4" x14ac:dyDescent="0.35">
      <c r="A695" t="s">
        <v>1040</v>
      </c>
      <c r="B695" t="s">
        <v>2428</v>
      </c>
      <c r="C695" t="s">
        <v>2428</v>
      </c>
      <c r="D695">
        <f t="shared" si="10"/>
        <v>1</v>
      </c>
    </row>
    <row r="696" spans="1:4" x14ac:dyDescent="0.35">
      <c r="A696" t="s">
        <v>1041</v>
      </c>
      <c r="B696" t="s">
        <v>2429</v>
      </c>
      <c r="C696" t="s">
        <v>2429</v>
      </c>
      <c r="D696">
        <f t="shared" si="10"/>
        <v>1</v>
      </c>
    </row>
    <row r="697" spans="1:4" x14ac:dyDescent="0.35">
      <c r="A697" t="s">
        <v>1042</v>
      </c>
      <c r="B697" t="s">
        <v>2430</v>
      </c>
      <c r="C697" t="s">
        <v>2430</v>
      </c>
      <c r="D697">
        <f t="shared" si="10"/>
        <v>1</v>
      </c>
    </row>
    <row r="698" spans="1:4" x14ac:dyDescent="0.35">
      <c r="A698" t="s">
        <v>1043</v>
      </c>
      <c r="B698" t="s">
        <v>2431</v>
      </c>
      <c r="C698" t="s">
        <v>2431</v>
      </c>
      <c r="D698">
        <f t="shared" si="10"/>
        <v>1</v>
      </c>
    </row>
    <row r="699" spans="1:4" x14ac:dyDescent="0.35">
      <c r="A699" t="s">
        <v>1044</v>
      </c>
      <c r="B699" t="s">
        <v>2432</v>
      </c>
      <c r="C699" t="s">
        <v>2432</v>
      </c>
      <c r="D699">
        <f t="shared" si="10"/>
        <v>1</v>
      </c>
    </row>
    <row r="700" spans="1:4" x14ac:dyDescent="0.35">
      <c r="A700" t="s">
        <v>1045</v>
      </c>
      <c r="B700" t="s">
        <v>2433</v>
      </c>
      <c r="C700" t="s">
        <v>2433</v>
      </c>
      <c r="D700">
        <f t="shared" si="10"/>
        <v>1</v>
      </c>
    </row>
    <row r="701" spans="1:4" x14ac:dyDescent="0.35">
      <c r="A701" t="s">
        <v>1046</v>
      </c>
      <c r="B701" t="s">
        <v>2434</v>
      </c>
      <c r="C701" t="s">
        <v>2434</v>
      </c>
      <c r="D701">
        <f t="shared" si="10"/>
        <v>1</v>
      </c>
    </row>
    <row r="702" spans="1:4" x14ac:dyDescent="0.35">
      <c r="A702" t="s">
        <v>1047</v>
      </c>
      <c r="B702" t="s">
        <v>2435</v>
      </c>
      <c r="C702" t="s">
        <v>2435</v>
      </c>
      <c r="D702">
        <f t="shared" si="10"/>
        <v>1</v>
      </c>
    </row>
    <row r="703" spans="1:4" x14ac:dyDescent="0.35">
      <c r="A703" t="s">
        <v>1048</v>
      </c>
      <c r="B703" t="s">
        <v>2436</v>
      </c>
      <c r="C703" t="s">
        <v>2436</v>
      </c>
      <c r="D703">
        <f t="shared" si="10"/>
        <v>1</v>
      </c>
    </row>
    <row r="704" spans="1:4" x14ac:dyDescent="0.35">
      <c r="A704" t="s">
        <v>1049</v>
      </c>
      <c r="B704" t="s">
        <v>2567</v>
      </c>
      <c r="C704" t="s">
        <v>2567</v>
      </c>
      <c r="D704">
        <f t="shared" si="10"/>
        <v>1</v>
      </c>
    </row>
    <row r="705" spans="1:4" x14ac:dyDescent="0.35">
      <c r="A705" t="s">
        <v>1050</v>
      </c>
      <c r="B705" t="s">
        <v>2471</v>
      </c>
      <c r="C705" t="s">
        <v>2471</v>
      </c>
      <c r="D705">
        <f t="shared" si="10"/>
        <v>1</v>
      </c>
    </row>
    <row r="706" spans="1:4" x14ac:dyDescent="0.35">
      <c r="A706" t="s">
        <v>1051</v>
      </c>
      <c r="B706" t="s">
        <v>2696</v>
      </c>
      <c r="C706" t="s">
        <v>2696</v>
      </c>
      <c r="D706">
        <f t="shared" si="10"/>
        <v>1</v>
      </c>
    </row>
    <row r="707" spans="1:4" x14ac:dyDescent="0.35">
      <c r="A707" t="s">
        <v>1052</v>
      </c>
      <c r="B707" t="s">
        <v>2698</v>
      </c>
      <c r="C707" t="s">
        <v>2698</v>
      </c>
      <c r="D707">
        <f t="shared" ref="D707:D770" si="11">COUNTIF(C:C,C707)</f>
        <v>1</v>
      </c>
    </row>
    <row r="708" spans="1:4" x14ac:dyDescent="0.35">
      <c r="A708" t="s">
        <v>1053</v>
      </c>
      <c r="B708" t="s">
        <v>1053</v>
      </c>
      <c r="C708" t="s">
        <v>1053</v>
      </c>
      <c r="D708">
        <f t="shared" si="11"/>
        <v>1</v>
      </c>
    </row>
    <row r="709" spans="1:4" x14ac:dyDescent="0.35">
      <c r="A709" t="s">
        <v>1054</v>
      </c>
      <c r="B709" t="s">
        <v>2437</v>
      </c>
      <c r="C709" t="s">
        <v>2437</v>
      </c>
      <c r="D709">
        <f t="shared" si="11"/>
        <v>1</v>
      </c>
    </row>
    <row r="710" spans="1:4" x14ac:dyDescent="0.35">
      <c r="A710" t="s">
        <v>1055</v>
      </c>
      <c r="B710" t="s">
        <v>2695</v>
      </c>
      <c r="C710" t="s">
        <v>2695</v>
      </c>
      <c r="D710">
        <f t="shared" si="11"/>
        <v>1</v>
      </c>
    </row>
    <row r="711" spans="1:4" x14ac:dyDescent="0.35">
      <c r="A711" t="s">
        <v>1056</v>
      </c>
      <c r="B711" t="s">
        <v>2438</v>
      </c>
      <c r="C711" t="s">
        <v>2438</v>
      </c>
      <c r="D711">
        <f t="shared" si="11"/>
        <v>1</v>
      </c>
    </row>
    <row r="712" spans="1:4" x14ac:dyDescent="0.35">
      <c r="A712" t="s">
        <v>1057</v>
      </c>
      <c r="B712" t="s">
        <v>2439</v>
      </c>
      <c r="C712" t="s">
        <v>2439</v>
      </c>
      <c r="D712">
        <f t="shared" si="11"/>
        <v>1</v>
      </c>
    </row>
    <row r="713" spans="1:4" x14ac:dyDescent="0.35">
      <c r="A713" t="s">
        <v>1058</v>
      </c>
      <c r="B713" t="s">
        <v>2440</v>
      </c>
      <c r="C713" t="s">
        <v>2440</v>
      </c>
      <c r="D713">
        <f t="shared" si="11"/>
        <v>1</v>
      </c>
    </row>
    <row r="714" spans="1:4" x14ac:dyDescent="0.35">
      <c r="A714" t="s">
        <v>1059</v>
      </c>
      <c r="B714" t="s">
        <v>2441</v>
      </c>
      <c r="C714" t="s">
        <v>2441</v>
      </c>
      <c r="D714">
        <f t="shared" si="11"/>
        <v>1</v>
      </c>
    </row>
    <row r="715" spans="1:4" x14ac:dyDescent="0.35">
      <c r="A715" t="s">
        <v>1060</v>
      </c>
      <c r="B715" t="s">
        <v>2442</v>
      </c>
      <c r="C715" t="s">
        <v>2442</v>
      </c>
      <c r="D715">
        <f t="shared" si="11"/>
        <v>1</v>
      </c>
    </row>
    <row r="716" spans="1:4" x14ac:dyDescent="0.35">
      <c r="A716" t="s">
        <v>1061</v>
      </c>
      <c r="B716" t="s">
        <v>2443</v>
      </c>
      <c r="C716" t="s">
        <v>2443</v>
      </c>
      <c r="D716">
        <f t="shared" si="11"/>
        <v>1</v>
      </c>
    </row>
    <row r="717" spans="1:4" x14ac:dyDescent="0.35">
      <c r="A717" t="s">
        <v>1062</v>
      </c>
      <c r="B717" t="s">
        <v>2444</v>
      </c>
      <c r="C717" t="s">
        <v>2444</v>
      </c>
      <c r="D717">
        <f t="shared" si="11"/>
        <v>1</v>
      </c>
    </row>
    <row r="718" spans="1:4" x14ac:dyDescent="0.35">
      <c r="A718" t="s">
        <v>1063</v>
      </c>
      <c r="B718" t="s">
        <v>2445</v>
      </c>
      <c r="C718" t="s">
        <v>2445</v>
      </c>
      <c r="D718">
        <f t="shared" si="11"/>
        <v>1</v>
      </c>
    </row>
    <row r="719" spans="1:4" x14ac:dyDescent="0.35">
      <c r="A719" t="s">
        <v>1064</v>
      </c>
      <c r="B719" t="s">
        <v>2446</v>
      </c>
      <c r="C719" t="s">
        <v>2446</v>
      </c>
      <c r="D719">
        <f t="shared" si="11"/>
        <v>1</v>
      </c>
    </row>
    <row r="720" spans="1:4" x14ac:dyDescent="0.35">
      <c r="A720" t="s">
        <v>1065</v>
      </c>
      <c r="B720" t="s">
        <v>2447</v>
      </c>
      <c r="C720" t="s">
        <v>2447</v>
      </c>
      <c r="D720">
        <f t="shared" si="11"/>
        <v>1</v>
      </c>
    </row>
    <row r="721" spans="1:4" x14ac:dyDescent="0.35">
      <c r="A721" t="s">
        <v>1066</v>
      </c>
      <c r="B721" t="s">
        <v>1066</v>
      </c>
      <c r="C721" t="s">
        <v>1066</v>
      </c>
      <c r="D721">
        <f t="shared" si="11"/>
        <v>1</v>
      </c>
    </row>
    <row r="722" spans="1:4" x14ac:dyDescent="0.35">
      <c r="A722" t="s">
        <v>1067</v>
      </c>
      <c r="B722" t="s">
        <v>2448</v>
      </c>
      <c r="C722" t="s">
        <v>2448</v>
      </c>
      <c r="D722">
        <f t="shared" si="11"/>
        <v>1</v>
      </c>
    </row>
    <row r="723" spans="1:4" x14ac:dyDescent="0.35">
      <c r="A723" t="s">
        <v>1068</v>
      </c>
      <c r="B723" t="s">
        <v>2449</v>
      </c>
      <c r="C723" t="s">
        <v>2449</v>
      </c>
      <c r="D723">
        <f t="shared" si="11"/>
        <v>1</v>
      </c>
    </row>
    <row r="724" spans="1:4" x14ac:dyDescent="0.35">
      <c r="A724" t="s">
        <v>1070</v>
      </c>
      <c r="B724" t="s">
        <v>1070</v>
      </c>
      <c r="C724" t="s">
        <v>1070</v>
      </c>
      <c r="D724">
        <f t="shared" si="11"/>
        <v>1</v>
      </c>
    </row>
    <row r="725" spans="1:4" x14ac:dyDescent="0.35">
      <c r="A725" t="s">
        <v>1071</v>
      </c>
      <c r="B725" t="s">
        <v>2450</v>
      </c>
      <c r="C725" t="s">
        <v>2450</v>
      </c>
      <c r="D725">
        <f t="shared" si="11"/>
        <v>1</v>
      </c>
    </row>
    <row r="726" spans="1:4" x14ac:dyDescent="0.35">
      <c r="A726" t="s">
        <v>1072</v>
      </c>
      <c r="B726" t="s">
        <v>2451</v>
      </c>
      <c r="C726" t="s">
        <v>2451</v>
      </c>
      <c r="D726">
        <f t="shared" si="11"/>
        <v>1</v>
      </c>
    </row>
    <row r="727" spans="1:4" x14ac:dyDescent="0.35">
      <c r="A727" t="s">
        <v>1073</v>
      </c>
      <c r="B727" t="s">
        <v>2452</v>
      </c>
      <c r="C727" t="s">
        <v>2452</v>
      </c>
      <c r="D727">
        <f t="shared" si="11"/>
        <v>1</v>
      </c>
    </row>
    <row r="728" spans="1:4" x14ac:dyDescent="0.35">
      <c r="A728" t="s">
        <v>1074</v>
      </c>
      <c r="B728" t="s">
        <v>1993</v>
      </c>
      <c r="C728" t="s">
        <v>1993</v>
      </c>
      <c r="D728">
        <f t="shared" si="11"/>
        <v>1</v>
      </c>
    </row>
    <row r="729" spans="1:4" x14ac:dyDescent="0.35">
      <c r="A729" t="s">
        <v>1075</v>
      </c>
      <c r="B729" t="s">
        <v>2453</v>
      </c>
      <c r="C729" t="s">
        <v>2453</v>
      </c>
      <c r="D729">
        <f t="shared" si="11"/>
        <v>1</v>
      </c>
    </row>
    <row r="730" spans="1:4" x14ac:dyDescent="0.35">
      <c r="A730" t="s">
        <v>1077</v>
      </c>
      <c r="B730" t="s">
        <v>2454</v>
      </c>
      <c r="C730" t="s">
        <v>2454</v>
      </c>
      <c r="D730">
        <f t="shared" si="11"/>
        <v>1</v>
      </c>
    </row>
    <row r="731" spans="1:4" x14ac:dyDescent="0.35">
      <c r="A731" t="s">
        <v>1078</v>
      </c>
      <c r="B731" t="s">
        <v>2455</v>
      </c>
      <c r="C731" t="s">
        <v>2455</v>
      </c>
      <c r="D731">
        <f t="shared" si="11"/>
        <v>1</v>
      </c>
    </row>
    <row r="732" spans="1:4" x14ac:dyDescent="0.35">
      <c r="A732" t="s">
        <v>1079</v>
      </c>
      <c r="B732" t="s">
        <v>2456</v>
      </c>
      <c r="C732" t="s">
        <v>2456</v>
      </c>
      <c r="D732">
        <f t="shared" si="11"/>
        <v>1</v>
      </c>
    </row>
    <row r="733" spans="1:4" x14ac:dyDescent="0.35">
      <c r="A733" t="s">
        <v>1080</v>
      </c>
      <c r="B733" t="s">
        <v>1080</v>
      </c>
      <c r="C733" t="s">
        <v>1080</v>
      </c>
      <c r="D733">
        <f t="shared" si="11"/>
        <v>1</v>
      </c>
    </row>
    <row r="734" spans="1:4" x14ac:dyDescent="0.35">
      <c r="A734" t="s">
        <v>1081</v>
      </c>
      <c r="B734" t="s">
        <v>2457</v>
      </c>
      <c r="C734" t="s">
        <v>2457</v>
      </c>
      <c r="D734">
        <f t="shared" si="11"/>
        <v>1</v>
      </c>
    </row>
    <row r="735" spans="1:4" x14ac:dyDescent="0.35">
      <c r="A735" t="s">
        <v>1082</v>
      </c>
      <c r="B735" t="s">
        <v>2458</v>
      </c>
      <c r="C735" t="s">
        <v>2458</v>
      </c>
      <c r="D735">
        <f t="shared" si="11"/>
        <v>1</v>
      </c>
    </row>
    <row r="736" spans="1:4" x14ac:dyDescent="0.35">
      <c r="A736" t="s">
        <v>1083</v>
      </c>
      <c r="B736" t="s">
        <v>2459</v>
      </c>
      <c r="C736" t="s">
        <v>2459</v>
      </c>
      <c r="D736">
        <f t="shared" si="11"/>
        <v>1</v>
      </c>
    </row>
    <row r="737" spans="1:4" x14ac:dyDescent="0.35">
      <c r="A737" t="s">
        <v>1084</v>
      </c>
      <c r="B737" t="s">
        <v>2460</v>
      </c>
      <c r="C737" t="s">
        <v>2460</v>
      </c>
      <c r="D737">
        <f t="shared" si="11"/>
        <v>1</v>
      </c>
    </row>
    <row r="738" spans="1:4" x14ac:dyDescent="0.35">
      <c r="A738" t="s">
        <v>1085</v>
      </c>
      <c r="B738" t="s">
        <v>2461</v>
      </c>
      <c r="C738" t="s">
        <v>2461</v>
      </c>
      <c r="D738">
        <f t="shared" si="11"/>
        <v>1</v>
      </c>
    </row>
    <row r="739" spans="1:4" x14ac:dyDescent="0.35">
      <c r="A739" t="s">
        <v>1086</v>
      </c>
      <c r="B739" t="s">
        <v>2462</v>
      </c>
      <c r="C739" t="s">
        <v>2462</v>
      </c>
      <c r="D739">
        <f t="shared" si="11"/>
        <v>1</v>
      </c>
    </row>
    <row r="740" spans="1:4" x14ac:dyDescent="0.35">
      <c r="A740" t="s">
        <v>1087</v>
      </c>
      <c r="B740" t="s">
        <v>1087</v>
      </c>
      <c r="C740" t="s">
        <v>1087</v>
      </c>
      <c r="D740">
        <f t="shared" si="11"/>
        <v>1</v>
      </c>
    </row>
    <row r="741" spans="1:4" x14ac:dyDescent="0.35">
      <c r="A741" t="s">
        <v>1088</v>
      </c>
      <c r="B741" t="s">
        <v>2463</v>
      </c>
      <c r="C741" t="s">
        <v>2463</v>
      </c>
      <c r="D741">
        <f t="shared" si="11"/>
        <v>1</v>
      </c>
    </row>
    <row r="742" spans="1:4" x14ac:dyDescent="0.35">
      <c r="A742" t="s">
        <v>1089</v>
      </c>
      <c r="B742" t="s">
        <v>2670</v>
      </c>
      <c r="C742" t="s">
        <v>2670</v>
      </c>
      <c r="D742">
        <f t="shared" si="11"/>
        <v>1</v>
      </c>
    </row>
    <row r="743" spans="1:4" x14ac:dyDescent="0.35">
      <c r="A743" t="s">
        <v>1090</v>
      </c>
      <c r="B743" t="s">
        <v>2668</v>
      </c>
      <c r="C743" t="s">
        <v>2668</v>
      </c>
      <c r="D743">
        <f t="shared" si="11"/>
        <v>1</v>
      </c>
    </row>
    <row r="744" spans="1:4" x14ac:dyDescent="0.35">
      <c r="A744" t="s">
        <v>1091</v>
      </c>
      <c r="B744" t="s">
        <v>2169</v>
      </c>
      <c r="C744" t="s">
        <v>2169</v>
      </c>
      <c r="D744">
        <f t="shared" si="11"/>
        <v>1</v>
      </c>
    </row>
    <row r="745" spans="1:4" x14ac:dyDescent="0.35">
      <c r="A745" t="s">
        <v>1092</v>
      </c>
      <c r="B745" t="s">
        <v>2227</v>
      </c>
      <c r="C745" t="s">
        <v>2227</v>
      </c>
      <c r="D745">
        <f t="shared" si="11"/>
        <v>1</v>
      </c>
    </row>
    <row r="746" spans="1:4" x14ac:dyDescent="0.35">
      <c r="A746" t="s">
        <v>1093</v>
      </c>
      <c r="B746" t="s">
        <v>2170</v>
      </c>
      <c r="C746" t="s">
        <v>2170</v>
      </c>
      <c r="D746">
        <f t="shared" si="11"/>
        <v>1</v>
      </c>
    </row>
    <row r="747" spans="1:4" x14ac:dyDescent="0.35">
      <c r="A747" t="s">
        <v>1094</v>
      </c>
      <c r="B747" t="s">
        <v>2171</v>
      </c>
      <c r="C747" t="s">
        <v>2171</v>
      </c>
      <c r="D747">
        <f t="shared" si="11"/>
        <v>1</v>
      </c>
    </row>
    <row r="748" spans="1:4" x14ac:dyDescent="0.35">
      <c r="A748" t="s">
        <v>1095</v>
      </c>
      <c r="B748" t="s">
        <v>2173</v>
      </c>
      <c r="C748" t="s">
        <v>2173</v>
      </c>
      <c r="D748">
        <f t="shared" si="11"/>
        <v>1</v>
      </c>
    </row>
    <row r="749" spans="1:4" x14ac:dyDescent="0.35">
      <c r="A749" t="s">
        <v>1096</v>
      </c>
      <c r="B749" t="s">
        <v>2172</v>
      </c>
      <c r="C749" t="s">
        <v>2172</v>
      </c>
      <c r="D749">
        <f t="shared" si="11"/>
        <v>1</v>
      </c>
    </row>
    <row r="750" spans="1:4" x14ac:dyDescent="0.35">
      <c r="A750" t="s">
        <v>1097</v>
      </c>
      <c r="B750" t="s">
        <v>2174</v>
      </c>
      <c r="C750" t="s">
        <v>2174</v>
      </c>
      <c r="D750">
        <f t="shared" si="11"/>
        <v>1</v>
      </c>
    </row>
    <row r="751" spans="1:4" x14ac:dyDescent="0.35">
      <c r="A751" t="s">
        <v>1098</v>
      </c>
      <c r="B751" t="s">
        <v>2175</v>
      </c>
      <c r="C751" t="s">
        <v>2175</v>
      </c>
      <c r="D751">
        <f t="shared" si="11"/>
        <v>1</v>
      </c>
    </row>
    <row r="752" spans="1:4" x14ac:dyDescent="0.35">
      <c r="A752" t="s">
        <v>1099</v>
      </c>
      <c r="B752" t="s">
        <v>2176</v>
      </c>
      <c r="C752" t="s">
        <v>2176</v>
      </c>
      <c r="D752">
        <f t="shared" si="11"/>
        <v>1</v>
      </c>
    </row>
    <row r="753" spans="1:4" x14ac:dyDescent="0.35">
      <c r="A753" t="s">
        <v>1100</v>
      </c>
      <c r="B753" t="s">
        <v>2177</v>
      </c>
      <c r="C753" t="s">
        <v>2177</v>
      </c>
      <c r="D753">
        <f t="shared" si="11"/>
        <v>1</v>
      </c>
    </row>
    <row r="754" spans="1:4" x14ac:dyDescent="0.35">
      <c r="A754" t="s">
        <v>1101</v>
      </c>
      <c r="B754" t="s">
        <v>2178</v>
      </c>
      <c r="C754" t="s">
        <v>2178</v>
      </c>
      <c r="D754">
        <f t="shared" si="11"/>
        <v>1</v>
      </c>
    </row>
    <row r="755" spans="1:4" x14ac:dyDescent="0.35">
      <c r="A755" t="s">
        <v>1102</v>
      </c>
      <c r="B755" t="s">
        <v>2179</v>
      </c>
      <c r="C755" t="s">
        <v>2179</v>
      </c>
      <c r="D755">
        <f t="shared" si="11"/>
        <v>1</v>
      </c>
    </row>
    <row r="756" spans="1:4" x14ac:dyDescent="0.35">
      <c r="A756" t="s">
        <v>1103</v>
      </c>
      <c r="B756" t="s">
        <v>2180</v>
      </c>
      <c r="C756" t="s">
        <v>2180</v>
      </c>
      <c r="D756">
        <f t="shared" si="11"/>
        <v>1</v>
      </c>
    </row>
    <row r="757" spans="1:4" x14ac:dyDescent="0.35">
      <c r="A757" t="s">
        <v>1104</v>
      </c>
      <c r="B757" t="s">
        <v>2181</v>
      </c>
      <c r="C757" t="s">
        <v>2181</v>
      </c>
      <c r="D757">
        <f t="shared" si="11"/>
        <v>1</v>
      </c>
    </row>
    <row r="758" spans="1:4" x14ac:dyDescent="0.35">
      <c r="A758" t="s">
        <v>1105</v>
      </c>
      <c r="B758" t="s">
        <v>2182</v>
      </c>
      <c r="C758" t="s">
        <v>2182</v>
      </c>
      <c r="D758">
        <f t="shared" si="11"/>
        <v>1</v>
      </c>
    </row>
    <row r="759" spans="1:4" x14ac:dyDescent="0.35">
      <c r="A759" t="s">
        <v>1106</v>
      </c>
      <c r="B759" t="s">
        <v>2183</v>
      </c>
      <c r="C759" t="s">
        <v>2183</v>
      </c>
      <c r="D759">
        <f t="shared" si="11"/>
        <v>1</v>
      </c>
    </row>
    <row r="760" spans="1:4" x14ac:dyDescent="0.35">
      <c r="A760" t="s">
        <v>1107</v>
      </c>
      <c r="B760" t="s">
        <v>2184</v>
      </c>
      <c r="C760" t="s">
        <v>2184</v>
      </c>
      <c r="D760">
        <f t="shared" si="11"/>
        <v>1</v>
      </c>
    </row>
    <row r="761" spans="1:4" x14ac:dyDescent="0.35">
      <c r="A761" t="s">
        <v>1108</v>
      </c>
      <c r="B761" t="s">
        <v>2185</v>
      </c>
      <c r="C761" t="s">
        <v>2185</v>
      </c>
      <c r="D761">
        <f t="shared" si="11"/>
        <v>1</v>
      </c>
    </row>
    <row r="762" spans="1:4" x14ac:dyDescent="0.35">
      <c r="A762" t="s">
        <v>1109</v>
      </c>
      <c r="B762" t="s">
        <v>2186</v>
      </c>
      <c r="C762" t="s">
        <v>2186</v>
      </c>
      <c r="D762">
        <f t="shared" si="11"/>
        <v>1</v>
      </c>
    </row>
    <row r="763" spans="1:4" x14ac:dyDescent="0.35">
      <c r="A763" t="s">
        <v>1110</v>
      </c>
      <c r="B763" t="s">
        <v>2187</v>
      </c>
      <c r="C763" t="s">
        <v>2187</v>
      </c>
      <c r="D763">
        <f t="shared" si="11"/>
        <v>1</v>
      </c>
    </row>
    <row r="764" spans="1:4" x14ac:dyDescent="0.35">
      <c r="A764" t="s">
        <v>1111</v>
      </c>
      <c r="B764" t="s">
        <v>2188</v>
      </c>
      <c r="C764" t="s">
        <v>2188</v>
      </c>
      <c r="D764">
        <f t="shared" si="11"/>
        <v>1</v>
      </c>
    </row>
    <row r="765" spans="1:4" x14ac:dyDescent="0.35">
      <c r="A765" t="s">
        <v>1112</v>
      </c>
      <c r="B765" t="s">
        <v>2189</v>
      </c>
      <c r="C765" t="s">
        <v>2189</v>
      </c>
      <c r="D765">
        <f t="shared" si="11"/>
        <v>1</v>
      </c>
    </row>
    <row r="766" spans="1:4" x14ac:dyDescent="0.35">
      <c r="A766" t="s">
        <v>1113</v>
      </c>
      <c r="B766" t="s">
        <v>2190</v>
      </c>
      <c r="C766" t="s">
        <v>2190</v>
      </c>
      <c r="D766">
        <f t="shared" si="11"/>
        <v>1</v>
      </c>
    </row>
    <row r="767" spans="1:4" x14ac:dyDescent="0.35">
      <c r="A767" t="s">
        <v>1114</v>
      </c>
      <c r="B767" t="s">
        <v>2191</v>
      </c>
      <c r="C767" t="s">
        <v>2191</v>
      </c>
      <c r="D767">
        <f t="shared" si="11"/>
        <v>1</v>
      </c>
    </row>
    <row r="768" spans="1:4" x14ac:dyDescent="0.35">
      <c r="A768" t="s">
        <v>1115</v>
      </c>
      <c r="B768" t="s">
        <v>2192</v>
      </c>
      <c r="C768" t="s">
        <v>2192</v>
      </c>
      <c r="D768">
        <f t="shared" si="11"/>
        <v>1</v>
      </c>
    </row>
    <row r="769" spans="1:4" x14ac:dyDescent="0.35">
      <c r="A769" t="s">
        <v>1116</v>
      </c>
      <c r="B769" t="s">
        <v>2193</v>
      </c>
      <c r="C769" t="s">
        <v>2193</v>
      </c>
      <c r="D769">
        <f t="shared" si="11"/>
        <v>1</v>
      </c>
    </row>
    <row r="770" spans="1:4" x14ac:dyDescent="0.35">
      <c r="A770" t="s">
        <v>1117</v>
      </c>
      <c r="B770" t="s">
        <v>2194</v>
      </c>
      <c r="C770" t="s">
        <v>2194</v>
      </c>
      <c r="D770">
        <f t="shared" si="11"/>
        <v>1</v>
      </c>
    </row>
    <row r="771" spans="1:4" x14ac:dyDescent="0.35">
      <c r="A771" t="s">
        <v>1118</v>
      </c>
      <c r="B771" t="s">
        <v>2195</v>
      </c>
      <c r="C771" t="s">
        <v>2195</v>
      </c>
      <c r="D771">
        <f t="shared" ref="D771:D802" si="12">COUNTIF(C:C,C771)</f>
        <v>1</v>
      </c>
    </row>
    <row r="772" spans="1:4" x14ac:dyDescent="0.35">
      <c r="A772" t="s">
        <v>1119</v>
      </c>
      <c r="B772" t="s">
        <v>2196</v>
      </c>
      <c r="C772" t="s">
        <v>2196</v>
      </c>
      <c r="D772">
        <f t="shared" si="12"/>
        <v>1</v>
      </c>
    </row>
    <row r="773" spans="1:4" x14ac:dyDescent="0.35">
      <c r="A773" t="s">
        <v>1120</v>
      </c>
      <c r="B773" t="s">
        <v>2197</v>
      </c>
      <c r="C773" t="s">
        <v>2197</v>
      </c>
      <c r="D773">
        <f t="shared" si="12"/>
        <v>1</v>
      </c>
    </row>
    <row r="774" spans="1:4" x14ac:dyDescent="0.35">
      <c r="A774" t="s">
        <v>1121</v>
      </c>
      <c r="B774" t="s">
        <v>2474</v>
      </c>
      <c r="C774" t="s">
        <v>2474</v>
      </c>
      <c r="D774">
        <f t="shared" si="12"/>
        <v>1</v>
      </c>
    </row>
    <row r="775" spans="1:4" x14ac:dyDescent="0.35">
      <c r="A775" t="s">
        <v>1122</v>
      </c>
      <c r="B775" t="s">
        <v>2674</v>
      </c>
      <c r="C775" t="s">
        <v>2674</v>
      </c>
      <c r="D775">
        <f t="shared" si="12"/>
        <v>1</v>
      </c>
    </row>
    <row r="776" spans="1:4" x14ac:dyDescent="0.35">
      <c r="A776" t="s">
        <v>1123</v>
      </c>
      <c r="B776" t="s">
        <v>2673</v>
      </c>
      <c r="C776" t="s">
        <v>2673</v>
      </c>
      <c r="D776">
        <f t="shared" si="12"/>
        <v>1</v>
      </c>
    </row>
    <row r="777" spans="1:4" x14ac:dyDescent="0.35">
      <c r="A777" t="s">
        <v>1124</v>
      </c>
      <c r="B777" t="s">
        <v>2672</v>
      </c>
      <c r="C777" t="s">
        <v>2672</v>
      </c>
      <c r="D777">
        <f t="shared" si="12"/>
        <v>1</v>
      </c>
    </row>
    <row r="778" spans="1:4" x14ac:dyDescent="0.35">
      <c r="A778" t="s">
        <v>1125</v>
      </c>
      <c r="B778" t="s">
        <v>2671</v>
      </c>
      <c r="C778" t="s">
        <v>2671</v>
      </c>
      <c r="D778">
        <f t="shared" si="12"/>
        <v>1</v>
      </c>
    </row>
    <row r="779" spans="1:4" x14ac:dyDescent="0.35">
      <c r="A779" t="s">
        <v>1126</v>
      </c>
      <c r="B779" t="s">
        <v>2569</v>
      </c>
      <c r="C779" t="s">
        <v>2569</v>
      </c>
      <c r="D779">
        <f t="shared" si="12"/>
        <v>1</v>
      </c>
    </row>
    <row r="780" spans="1:4" x14ac:dyDescent="0.35">
      <c r="A780" t="s">
        <v>1127</v>
      </c>
      <c r="B780" t="s">
        <v>2465</v>
      </c>
      <c r="C780" t="s">
        <v>2465</v>
      </c>
      <c r="D780">
        <f t="shared" si="12"/>
        <v>1</v>
      </c>
    </row>
    <row r="781" spans="1:4" x14ac:dyDescent="0.35">
      <c r="A781" t="s">
        <v>1128</v>
      </c>
      <c r="B781" t="s">
        <v>2205</v>
      </c>
      <c r="C781" t="s">
        <v>2205</v>
      </c>
      <c r="D781">
        <f t="shared" si="12"/>
        <v>1</v>
      </c>
    </row>
    <row r="782" spans="1:4" x14ac:dyDescent="0.35">
      <c r="A782" t="s">
        <v>1130</v>
      </c>
      <c r="B782" t="s">
        <v>2207</v>
      </c>
      <c r="C782" t="s">
        <v>2207</v>
      </c>
      <c r="D782">
        <f t="shared" si="12"/>
        <v>1</v>
      </c>
    </row>
    <row r="783" spans="1:4" x14ac:dyDescent="0.35">
      <c r="A783" t="s">
        <v>1131</v>
      </c>
      <c r="B783" t="s">
        <v>2208</v>
      </c>
      <c r="C783" t="s">
        <v>2208</v>
      </c>
      <c r="D783">
        <f t="shared" si="12"/>
        <v>1</v>
      </c>
    </row>
    <row r="784" spans="1:4" x14ac:dyDescent="0.35">
      <c r="A784" t="s">
        <v>1132</v>
      </c>
      <c r="B784" t="s">
        <v>2209</v>
      </c>
      <c r="C784" t="s">
        <v>2209</v>
      </c>
      <c r="D784">
        <f t="shared" si="12"/>
        <v>1</v>
      </c>
    </row>
    <row r="785" spans="1:4" x14ac:dyDescent="0.35">
      <c r="A785" t="s">
        <v>1133</v>
      </c>
      <c r="B785" t="s">
        <v>2296</v>
      </c>
      <c r="C785" t="s">
        <v>2296</v>
      </c>
      <c r="D785">
        <f t="shared" si="12"/>
        <v>1</v>
      </c>
    </row>
    <row r="786" spans="1:4" x14ac:dyDescent="0.35">
      <c r="A786" t="s">
        <v>1134</v>
      </c>
      <c r="B786" t="s">
        <v>2212</v>
      </c>
      <c r="C786" t="s">
        <v>2212</v>
      </c>
      <c r="D786">
        <f t="shared" si="12"/>
        <v>1</v>
      </c>
    </row>
    <row r="787" spans="1:4" x14ac:dyDescent="0.35">
      <c r="A787" t="s">
        <v>1135</v>
      </c>
      <c r="B787" t="s">
        <v>2210</v>
      </c>
      <c r="C787" t="s">
        <v>2210</v>
      </c>
      <c r="D787">
        <f t="shared" si="12"/>
        <v>1</v>
      </c>
    </row>
    <row r="788" spans="1:4" x14ac:dyDescent="0.35">
      <c r="A788" t="s">
        <v>1136</v>
      </c>
      <c r="B788" t="s">
        <v>2475</v>
      </c>
      <c r="C788" t="s">
        <v>2475</v>
      </c>
      <c r="D788">
        <f t="shared" si="12"/>
        <v>1</v>
      </c>
    </row>
    <row r="789" spans="1:4" x14ac:dyDescent="0.35">
      <c r="A789" t="s">
        <v>1137</v>
      </c>
      <c r="B789" t="s">
        <v>2570</v>
      </c>
      <c r="C789" t="s">
        <v>2570</v>
      </c>
      <c r="D789">
        <f t="shared" si="12"/>
        <v>1</v>
      </c>
    </row>
    <row r="790" spans="1:4" x14ac:dyDescent="0.35">
      <c r="A790" t="s">
        <v>1138</v>
      </c>
      <c r="B790" t="s">
        <v>2220</v>
      </c>
      <c r="C790" t="s">
        <v>2220</v>
      </c>
      <c r="D790">
        <f t="shared" si="12"/>
        <v>1</v>
      </c>
    </row>
    <row r="791" spans="1:4" x14ac:dyDescent="0.35">
      <c r="A791" t="s">
        <v>1139</v>
      </c>
      <c r="B791" t="s">
        <v>2690</v>
      </c>
      <c r="C791" t="s">
        <v>2690</v>
      </c>
      <c r="D791">
        <f t="shared" si="12"/>
        <v>1</v>
      </c>
    </row>
    <row r="792" spans="1:4" x14ac:dyDescent="0.35">
      <c r="A792" t="s">
        <v>1140</v>
      </c>
      <c r="B792" t="s">
        <v>2689</v>
      </c>
      <c r="C792" t="s">
        <v>2689</v>
      </c>
      <c r="D792">
        <f t="shared" si="12"/>
        <v>1</v>
      </c>
    </row>
    <row r="793" spans="1:4" x14ac:dyDescent="0.35">
      <c r="A793" t="s">
        <v>1141</v>
      </c>
      <c r="B793" t="s">
        <v>2688</v>
      </c>
      <c r="C793" t="s">
        <v>2688</v>
      </c>
      <c r="D793">
        <f t="shared" si="12"/>
        <v>1</v>
      </c>
    </row>
    <row r="794" spans="1:4" x14ac:dyDescent="0.35">
      <c r="A794" t="s">
        <v>1142</v>
      </c>
      <c r="B794" t="s">
        <v>2693</v>
      </c>
      <c r="C794" t="s">
        <v>2693</v>
      </c>
      <c r="D794">
        <f t="shared" si="12"/>
        <v>1</v>
      </c>
    </row>
    <row r="795" spans="1:4" x14ac:dyDescent="0.35">
      <c r="A795" t="s">
        <v>1143</v>
      </c>
      <c r="B795" t="s">
        <v>2692</v>
      </c>
      <c r="C795" t="s">
        <v>2692</v>
      </c>
      <c r="D795">
        <f t="shared" si="12"/>
        <v>1</v>
      </c>
    </row>
    <row r="796" spans="1:4" x14ac:dyDescent="0.35">
      <c r="A796" t="s">
        <v>1144</v>
      </c>
      <c r="B796" t="s">
        <v>2691</v>
      </c>
      <c r="C796" t="s">
        <v>2691</v>
      </c>
      <c r="D796">
        <f t="shared" si="12"/>
        <v>1</v>
      </c>
    </row>
    <row r="797" spans="1:4" x14ac:dyDescent="0.35">
      <c r="A797" t="s">
        <v>1145</v>
      </c>
      <c r="B797" t="s">
        <v>2221</v>
      </c>
      <c r="C797" t="s">
        <v>2221</v>
      </c>
      <c r="D797">
        <f t="shared" si="12"/>
        <v>1</v>
      </c>
    </row>
    <row r="798" spans="1:4" x14ac:dyDescent="0.35">
      <c r="A798" t="s">
        <v>1146</v>
      </c>
      <c r="B798" t="s">
        <v>2223</v>
      </c>
      <c r="C798" t="s">
        <v>2223</v>
      </c>
      <c r="D798">
        <f t="shared" si="12"/>
        <v>1</v>
      </c>
    </row>
    <row r="799" spans="1:4" x14ac:dyDescent="0.35">
      <c r="A799" t="s">
        <v>1147</v>
      </c>
      <c r="B799" t="s">
        <v>2222</v>
      </c>
      <c r="C799" t="s">
        <v>2222</v>
      </c>
      <c r="D799">
        <f t="shared" si="12"/>
        <v>1</v>
      </c>
    </row>
    <row r="800" spans="1:4" x14ac:dyDescent="0.35">
      <c r="A800" t="s">
        <v>1148</v>
      </c>
      <c r="B800" t="s">
        <v>2225</v>
      </c>
      <c r="C800" t="s">
        <v>2225</v>
      </c>
      <c r="D800">
        <f t="shared" si="12"/>
        <v>1</v>
      </c>
    </row>
    <row r="801" spans="1:4" x14ac:dyDescent="0.35">
      <c r="A801" t="s">
        <v>1149</v>
      </c>
      <c r="B801" t="s">
        <v>2226</v>
      </c>
      <c r="C801" t="s">
        <v>2226</v>
      </c>
      <c r="D801">
        <f t="shared" si="12"/>
        <v>1</v>
      </c>
    </row>
    <row r="802" spans="1:4" x14ac:dyDescent="0.35">
      <c r="A802" t="s">
        <v>1150</v>
      </c>
      <c r="B802" t="s">
        <v>2224</v>
      </c>
      <c r="C802" t="s">
        <v>2224</v>
      </c>
      <c r="D802">
        <f t="shared" si="12"/>
        <v>1</v>
      </c>
    </row>
  </sheetData>
  <autoFilter ref="A1:D802" xr:uid="{B3A39122-C993-44C4-B202-20AA6116B85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42E9E-275F-4AFF-86D4-97BCEB54C0FA}">
  <dimension ref="A1:F54"/>
  <sheetViews>
    <sheetView workbookViewId="0">
      <selection activeCell="A2" sqref="A2"/>
    </sheetView>
  </sheetViews>
  <sheetFormatPr defaultColWidth="20.26953125" defaultRowHeight="14.5" x14ac:dyDescent="0.35"/>
  <sheetData>
    <row r="1" spans="1:6" x14ac:dyDescent="0.35">
      <c r="A1" s="1" t="s">
        <v>2712</v>
      </c>
      <c r="B1" s="1" t="s">
        <v>2258</v>
      </c>
      <c r="C1" s="1" t="s">
        <v>1503</v>
      </c>
      <c r="D1" s="1" t="s">
        <v>2284</v>
      </c>
      <c r="E1" s="1" t="s">
        <v>2282</v>
      </c>
      <c r="F1" s="1" t="s">
        <v>2297</v>
      </c>
    </row>
    <row r="2" spans="1:6" ht="29" x14ac:dyDescent="0.35">
      <c r="A2" s="1" t="s">
        <v>776</v>
      </c>
      <c r="B2" s="1" t="s">
        <v>357</v>
      </c>
      <c r="C2" s="1" t="s">
        <v>1236</v>
      </c>
      <c r="D2" s="1" t="s">
        <v>1235</v>
      </c>
      <c r="F2" s="1" t="s">
        <v>2298</v>
      </c>
    </row>
    <row r="3" spans="1:6" ht="29" x14ac:dyDescent="0.35">
      <c r="A3" s="1" t="s">
        <v>776</v>
      </c>
      <c r="B3" s="1" t="s">
        <v>357</v>
      </c>
      <c r="C3" s="1" t="s">
        <v>1235</v>
      </c>
      <c r="D3" s="1" t="s">
        <v>1235</v>
      </c>
      <c r="F3" s="1" t="s">
        <v>2298</v>
      </c>
    </row>
    <row r="4" spans="1:6" x14ac:dyDescent="0.35">
      <c r="A4" s="1" t="s">
        <v>859</v>
      </c>
      <c r="B4" s="1" t="s">
        <v>1524</v>
      </c>
      <c r="C4" s="43" t="s">
        <v>1560</v>
      </c>
      <c r="D4" s="1" t="s">
        <v>1524</v>
      </c>
      <c r="F4" s="1" t="s">
        <v>2298</v>
      </c>
    </row>
    <row r="5" spans="1:6" x14ac:dyDescent="0.35">
      <c r="A5" s="1" t="s">
        <v>776</v>
      </c>
      <c r="B5" s="1" t="s">
        <v>178</v>
      </c>
      <c r="C5" s="1" t="s">
        <v>1291</v>
      </c>
      <c r="D5" s="1" t="s">
        <v>1524</v>
      </c>
      <c r="F5" s="1" t="s">
        <v>2298</v>
      </c>
    </row>
    <row r="6" spans="1:6" ht="87" x14ac:dyDescent="0.35">
      <c r="A6" s="1" t="s">
        <v>859</v>
      </c>
      <c r="B6" s="1" t="s">
        <v>1533</v>
      </c>
      <c r="C6" s="43" t="s">
        <v>1900</v>
      </c>
      <c r="D6" s="1" t="s">
        <v>2282</v>
      </c>
      <c r="E6" t="s">
        <v>2285</v>
      </c>
      <c r="F6" s="1" t="s">
        <v>2299</v>
      </c>
    </row>
    <row r="7" spans="1:6" ht="101.5" x14ac:dyDescent="0.35">
      <c r="A7" s="1" t="s">
        <v>859</v>
      </c>
      <c r="B7" s="1" t="s">
        <v>1533</v>
      </c>
      <c r="C7" s="43" t="s">
        <v>1899</v>
      </c>
      <c r="D7" s="1" t="s">
        <v>2282</v>
      </c>
      <c r="E7" t="s">
        <v>2285</v>
      </c>
      <c r="F7" s="1" t="s">
        <v>2300</v>
      </c>
    </row>
    <row r="8" spans="1:6" ht="29" x14ac:dyDescent="0.35">
      <c r="A8" s="1" t="s">
        <v>859</v>
      </c>
      <c r="B8" s="1" t="s">
        <v>1316</v>
      </c>
      <c r="C8" s="43" t="s">
        <v>1930</v>
      </c>
      <c r="D8" s="1" t="s">
        <v>1316</v>
      </c>
      <c r="F8" s="1" t="s">
        <v>2298</v>
      </c>
    </row>
    <row r="9" spans="1:6" x14ac:dyDescent="0.35">
      <c r="A9" s="1" t="s">
        <v>776</v>
      </c>
      <c r="B9" s="1" t="s">
        <v>164</v>
      </c>
      <c r="C9" s="1" t="s">
        <v>1316</v>
      </c>
      <c r="D9" s="1" t="s">
        <v>1316</v>
      </c>
      <c r="F9" s="1" t="s">
        <v>2298</v>
      </c>
    </row>
    <row r="10" spans="1:6" ht="29" x14ac:dyDescent="0.35">
      <c r="A10" s="1" t="s">
        <v>543</v>
      </c>
      <c r="B10" s="1" t="s">
        <v>762</v>
      </c>
      <c r="C10" s="1" t="s">
        <v>1633</v>
      </c>
      <c r="D10" s="1" t="s">
        <v>1630</v>
      </c>
      <c r="F10" s="1" t="s">
        <v>2298</v>
      </c>
    </row>
    <row r="11" spans="1:6" x14ac:dyDescent="0.35">
      <c r="A11" s="1" t="s">
        <v>543</v>
      </c>
      <c r="B11" s="1" t="s">
        <v>762</v>
      </c>
      <c r="C11" s="1" t="s">
        <v>1630</v>
      </c>
      <c r="D11" s="1" t="s">
        <v>1630</v>
      </c>
      <c r="F11" s="1" t="s">
        <v>2298</v>
      </c>
    </row>
    <row r="12" spans="1:6" ht="29" x14ac:dyDescent="0.35">
      <c r="A12" s="1" t="s">
        <v>859</v>
      </c>
      <c r="B12" s="1" t="s">
        <v>1529</v>
      </c>
      <c r="C12" s="43" t="s">
        <v>1959</v>
      </c>
      <c r="D12" s="1" t="s">
        <v>1529</v>
      </c>
      <c r="F12" s="1" t="s">
        <v>2298</v>
      </c>
    </row>
    <row r="13" spans="1:6" x14ac:dyDescent="0.35">
      <c r="A13" s="1" t="s">
        <v>543</v>
      </c>
      <c r="B13" s="1" t="s">
        <v>202</v>
      </c>
      <c r="C13" s="1" t="s">
        <v>1529</v>
      </c>
      <c r="D13" s="1" t="s">
        <v>1529</v>
      </c>
      <c r="F13" s="1" t="s">
        <v>2298</v>
      </c>
    </row>
    <row r="14" spans="1:6" ht="43.5" x14ac:dyDescent="0.35">
      <c r="A14" s="1" t="s">
        <v>859</v>
      </c>
      <c r="B14" s="1" t="s">
        <v>209</v>
      </c>
      <c r="C14" s="43" t="s">
        <v>1968</v>
      </c>
      <c r="D14" t="s">
        <v>2286</v>
      </c>
      <c r="F14" s="1" t="s">
        <v>2298</v>
      </c>
    </row>
    <row r="15" spans="1:6" ht="43.5" x14ac:dyDescent="0.35">
      <c r="A15" s="1" t="s">
        <v>543</v>
      </c>
      <c r="B15" s="1" t="s">
        <v>209</v>
      </c>
      <c r="C15" s="1" t="s">
        <v>1656</v>
      </c>
      <c r="D15" t="s">
        <v>2286</v>
      </c>
      <c r="F15" s="1" t="s">
        <v>2298</v>
      </c>
    </row>
    <row r="16" spans="1:6" ht="87" x14ac:dyDescent="0.35">
      <c r="A16" s="1" t="s">
        <v>543</v>
      </c>
      <c r="B16" s="1" t="s">
        <v>152</v>
      </c>
      <c r="C16" s="1" t="s">
        <v>1688</v>
      </c>
      <c r="D16" t="s">
        <v>2287</v>
      </c>
      <c r="F16" s="1" t="s">
        <v>2298</v>
      </c>
    </row>
    <row r="17" spans="1:6" ht="29" x14ac:dyDescent="0.35">
      <c r="A17" s="1" t="s">
        <v>543</v>
      </c>
      <c r="B17" s="1" t="s">
        <v>152</v>
      </c>
      <c r="C17" s="1" t="s">
        <v>1686</v>
      </c>
      <c r="D17" t="s">
        <v>2287</v>
      </c>
      <c r="F17" s="1" t="s">
        <v>2298</v>
      </c>
    </row>
    <row r="18" spans="1:6" ht="43.5" x14ac:dyDescent="0.35">
      <c r="A18" s="1" t="s">
        <v>543</v>
      </c>
      <c r="B18" s="1" t="s">
        <v>152</v>
      </c>
      <c r="C18" s="1" t="s">
        <v>1687</v>
      </c>
      <c r="D18" t="s">
        <v>2287</v>
      </c>
      <c r="F18" s="1" t="s">
        <v>2301</v>
      </c>
    </row>
    <row r="19" spans="1:6" x14ac:dyDescent="0.35">
      <c r="A19" s="1" t="s">
        <v>776</v>
      </c>
      <c r="B19" s="1" t="s">
        <v>168</v>
      </c>
      <c r="C19" s="1" t="s">
        <v>174</v>
      </c>
      <c r="D19" s="1" t="s">
        <v>1357</v>
      </c>
      <c r="F19" s="1" t="s">
        <v>2298</v>
      </c>
    </row>
    <row r="20" spans="1:6" x14ac:dyDescent="0.35">
      <c r="A20" s="1" t="s">
        <v>776</v>
      </c>
      <c r="B20" s="1" t="s">
        <v>168</v>
      </c>
      <c r="C20" s="1" t="s">
        <v>1357</v>
      </c>
      <c r="D20" s="1" t="s">
        <v>1357</v>
      </c>
      <c r="F20" s="1" t="s">
        <v>2298</v>
      </c>
    </row>
    <row r="21" spans="1:6" ht="43.5" x14ac:dyDescent="0.35">
      <c r="A21" s="1" t="s">
        <v>776</v>
      </c>
      <c r="B21" s="1" t="s">
        <v>170</v>
      </c>
      <c r="C21" s="1" t="s">
        <v>1311</v>
      </c>
      <c r="D21" s="1" t="s">
        <v>2282</v>
      </c>
      <c r="E21" s="1" t="s">
        <v>2288</v>
      </c>
    </row>
    <row r="22" spans="1:6" ht="43.5" x14ac:dyDescent="0.35">
      <c r="A22" s="1" t="s">
        <v>859</v>
      </c>
      <c r="B22" s="1" t="s">
        <v>1830</v>
      </c>
      <c r="C22" s="43" t="s">
        <v>1991</v>
      </c>
      <c r="D22" s="1" t="s">
        <v>2282</v>
      </c>
      <c r="E22" s="1" t="s">
        <v>2288</v>
      </c>
    </row>
    <row r="23" spans="1:6" ht="43.5" x14ac:dyDescent="0.35">
      <c r="A23" s="1" t="s">
        <v>776</v>
      </c>
      <c r="B23" s="1" t="s">
        <v>171</v>
      </c>
      <c r="C23" s="1" t="s">
        <v>1367</v>
      </c>
      <c r="D23" s="1" t="s">
        <v>2282</v>
      </c>
      <c r="E23" s="1" t="s">
        <v>2288</v>
      </c>
    </row>
    <row r="24" spans="1:6" ht="29" x14ac:dyDescent="0.35">
      <c r="A24" s="1" t="s">
        <v>859</v>
      </c>
      <c r="B24" s="1" t="s">
        <v>570</v>
      </c>
      <c r="C24" s="43" t="s">
        <v>2018</v>
      </c>
      <c r="D24" t="s">
        <v>2018</v>
      </c>
      <c r="F24" t="s">
        <v>2298</v>
      </c>
    </row>
    <row r="25" spans="1:6" ht="29" x14ac:dyDescent="0.35">
      <c r="A25" s="1" t="s">
        <v>543</v>
      </c>
      <c r="B25" s="1" t="s">
        <v>1596</v>
      </c>
      <c r="C25" s="1" t="s">
        <v>1697</v>
      </c>
      <c r="D25" t="s">
        <v>2018</v>
      </c>
      <c r="F25" t="s">
        <v>2298</v>
      </c>
    </row>
    <row r="26" spans="1:6" x14ac:dyDescent="0.35">
      <c r="A26" s="1" t="s">
        <v>859</v>
      </c>
      <c r="B26" s="1" t="s">
        <v>412</v>
      </c>
      <c r="C26" s="43" t="s">
        <v>2019</v>
      </c>
      <c r="D26" s="1" t="s">
        <v>1707</v>
      </c>
      <c r="F26" t="s">
        <v>2298</v>
      </c>
    </row>
    <row r="27" spans="1:6" x14ac:dyDescent="0.35">
      <c r="A27" s="1" t="s">
        <v>543</v>
      </c>
      <c r="B27" s="1" t="s">
        <v>412</v>
      </c>
      <c r="C27" s="1" t="s">
        <v>1707</v>
      </c>
      <c r="D27" s="1" t="s">
        <v>1707</v>
      </c>
      <c r="F27" t="s">
        <v>2298</v>
      </c>
    </row>
    <row r="28" spans="1:6" ht="58" x14ac:dyDescent="0.35">
      <c r="A28" s="1" t="s">
        <v>543</v>
      </c>
      <c r="B28" s="1" t="s">
        <v>676</v>
      </c>
      <c r="C28" s="1" t="s">
        <v>1712</v>
      </c>
      <c r="D28" s="1" t="s">
        <v>1711</v>
      </c>
      <c r="F28" t="s">
        <v>2298</v>
      </c>
    </row>
    <row r="29" spans="1:6" ht="29" x14ac:dyDescent="0.35">
      <c r="A29" s="1" t="s">
        <v>543</v>
      </c>
      <c r="B29" s="1" t="s">
        <v>676</v>
      </c>
      <c r="C29" s="1" t="s">
        <v>1711</v>
      </c>
      <c r="D29" s="1" t="s">
        <v>1711</v>
      </c>
      <c r="F29" t="s">
        <v>2298</v>
      </c>
    </row>
    <row r="30" spans="1:6" ht="58" x14ac:dyDescent="0.35">
      <c r="A30" s="1" t="s">
        <v>543</v>
      </c>
      <c r="B30" s="1" t="s">
        <v>676</v>
      </c>
      <c r="C30" s="1" t="s">
        <v>1709</v>
      </c>
      <c r="D30" s="1" t="s">
        <v>1711</v>
      </c>
      <c r="F30" t="s">
        <v>2298</v>
      </c>
    </row>
    <row r="31" spans="1:6" ht="43.5" x14ac:dyDescent="0.35">
      <c r="A31" s="1" t="s">
        <v>543</v>
      </c>
      <c r="B31" s="1" t="s">
        <v>722</v>
      </c>
      <c r="C31" s="1" t="s">
        <v>1721</v>
      </c>
      <c r="D31" s="1" t="s">
        <v>2282</v>
      </c>
      <c r="E31" s="1" t="s">
        <v>2288</v>
      </c>
      <c r="F31" t="s">
        <v>2298</v>
      </c>
    </row>
    <row r="32" spans="1:6" ht="43.5" x14ac:dyDescent="0.35">
      <c r="A32" s="1" t="s">
        <v>543</v>
      </c>
      <c r="B32" s="1" t="s">
        <v>722</v>
      </c>
      <c r="C32" s="1" t="s">
        <v>1722</v>
      </c>
      <c r="D32" s="1" t="s">
        <v>2282</v>
      </c>
      <c r="E32" s="1" t="s">
        <v>2288</v>
      </c>
      <c r="F32" t="s">
        <v>2298</v>
      </c>
    </row>
    <row r="33" spans="1:6" ht="43.5" x14ac:dyDescent="0.35">
      <c r="A33" s="1" t="s">
        <v>776</v>
      </c>
      <c r="B33" s="1" t="s">
        <v>346</v>
      </c>
      <c r="C33" s="1" t="s">
        <v>1412</v>
      </c>
      <c r="D33" s="1" t="s">
        <v>2282</v>
      </c>
      <c r="E33" s="1" t="s">
        <v>2288</v>
      </c>
      <c r="F33" t="s">
        <v>2298</v>
      </c>
    </row>
    <row r="34" spans="1:6" ht="43.5" x14ac:dyDescent="0.35">
      <c r="A34" s="1" t="s">
        <v>776</v>
      </c>
      <c r="B34" s="1" t="s">
        <v>346</v>
      </c>
      <c r="C34" s="1" t="s">
        <v>1411</v>
      </c>
      <c r="D34" s="1" t="s">
        <v>2282</v>
      </c>
      <c r="E34" s="1" t="s">
        <v>2288</v>
      </c>
      <c r="F34" t="s">
        <v>2298</v>
      </c>
    </row>
    <row r="35" spans="1:6" ht="43.5" x14ac:dyDescent="0.35">
      <c r="A35" s="1" t="s">
        <v>859</v>
      </c>
      <c r="B35" s="1" t="s">
        <v>413</v>
      </c>
      <c r="C35" s="43" t="s">
        <v>1875</v>
      </c>
      <c r="D35" s="1" t="s">
        <v>2282</v>
      </c>
      <c r="E35" s="1" t="s">
        <v>2288</v>
      </c>
      <c r="F35" t="s">
        <v>2298</v>
      </c>
    </row>
    <row r="36" spans="1:6" ht="43.5" x14ac:dyDescent="0.35">
      <c r="A36" s="1" t="s">
        <v>859</v>
      </c>
      <c r="B36" s="1" t="s">
        <v>413</v>
      </c>
      <c r="C36" s="43" t="s">
        <v>2096</v>
      </c>
      <c r="D36" s="1" t="s">
        <v>2282</v>
      </c>
      <c r="E36" s="1" t="s">
        <v>2288</v>
      </c>
      <c r="F36" t="s">
        <v>2298</v>
      </c>
    </row>
    <row r="37" spans="1:6" x14ac:dyDescent="0.35">
      <c r="A37" s="1" t="s">
        <v>776</v>
      </c>
      <c r="B37" s="1" t="s">
        <v>300</v>
      </c>
      <c r="C37" s="1" t="s">
        <v>1447</v>
      </c>
      <c r="D37" s="1" t="s">
        <v>1447</v>
      </c>
      <c r="F37" t="s">
        <v>2298</v>
      </c>
    </row>
    <row r="38" spans="1:6" ht="29" x14ac:dyDescent="0.35">
      <c r="A38" s="1" t="s">
        <v>776</v>
      </c>
      <c r="B38" s="1" t="s">
        <v>300</v>
      </c>
      <c r="C38" s="1" t="s">
        <v>1512</v>
      </c>
      <c r="D38" s="1" t="s">
        <v>1447</v>
      </c>
      <c r="F38" t="s">
        <v>2298</v>
      </c>
    </row>
    <row r="39" spans="1:6" ht="43.5" x14ac:dyDescent="0.35">
      <c r="A39" s="1" t="s">
        <v>859</v>
      </c>
      <c r="B39" s="1" t="s">
        <v>176</v>
      </c>
      <c r="C39" s="43" t="s">
        <v>2105</v>
      </c>
      <c r="D39" t="s">
        <v>2289</v>
      </c>
      <c r="F39" t="s">
        <v>2298</v>
      </c>
    </row>
    <row r="40" spans="1:6" ht="87" x14ac:dyDescent="0.35">
      <c r="A40" s="1" t="s">
        <v>859</v>
      </c>
      <c r="B40" s="1" t="s">
        <v>176</v>
      </c>
      <c r="C40" s="43" t="s">
        <v>2106</v>
      </c>
      <c r="D40" t="s">
        <v>2289</v>
      </c>
      <c r="F40" t="s">
        <v>2298</v>
      </c>
    </row>
    <row r="41" spans="1:6" ht="43.5" x14ac:dyDescent="0.35">
      <c r="A41" s="1" t="s">
        <v>543</v>
      </c>
      <c r="B41" s="1" t="s">
        <v>1600</v>
      </c>
      <c r="C41" s="1" t="s">
        <v>1773</v>
      </c>
      <c r="D41" t="s">
        <v>2289</v>
      </c>
      <c r="F41" t="s">
        <v>2298</v>
      </c>
    </row>
    <row r="42" spans="1:6" ht="43.5" x14ac:dyDescent="0.35">
      <c r="A42" s="1" t="s">
        <v>859</v>
      </c>
      <c r="B42" s="1" t="s">
        <v>499</v>
      </c>
      <c r="C42" s="43" t="s">
        <v>2107</v>
      </c>
      <c r="D42" s="1" t="s">
        <v>2282</v>
      </c>
      <c r="E42" s="1" t="s">
        <v>2288</v>
      </c>
      <c r="F42" t="s">
        <v>2298</v>
      </c>
    </row>
    <row r="43" spans="1:6" ht="43.5" x14ac:dyDescent="0.35">
      <c r="A43" s="1" t="s">
        <v>543</v>
      </c>
      <c r="B43" s="1" t="s">
        <v>499</v>
      </c>
      <c r="C43" s="1" t="s">
        <v>1776</v>
      </c>
      <c r="D43" s="1" t="s">
        <v>2282</v>
      </c>
      <c r="E43" s="1" t="s">
        <v>2288</v>
      </c>
      <c r="F43" t="s">
        <v>2298</v>
      </c>
    </row>
    <row r="44" spans="1:6" ht="43.5" x14ac:dyDescent="0.35">
      <c r="A44" s="1" t="s">
        <v>2236</v>
      </c>
      <c r="B44" s="1" t="s">
        <v>499</v>
      </c>
      <c r="C44" s="1" t="s">
        <v>2233</v>
      </c>
      <c r="D44" s="1" t="s">
        <v>2282</v>
      </c>
      <c r="E44" s="1" t="s">
        <v>2288</v>
      </c>
      <c r="F44" t="s">
        <v>2298</v>
      </c>
    </row>
    <row r="45" spans="1:6" x14ac:dyDescent="0.35">
      <c r="A45" s="1" t="s">
        <v>859</v>
      </c>
      <c r="B45" s="1" t="s">
        <v>1455</v>
      </c>
      <c r="C45" s="43" t="s">
        <v>1455</v>
      </c>
      <c r="D45" s="43" t="s">
        <v>1455</v>
      </c>
      <c r="F45" t="s">
        <v>2298</v>
      </c>
    </row>
    <row r="46" spans="1:6" x14ac:dyDescent="0.35">
      <c r="A46" s="1" t="s">
        <v>776</v>
      </c>
      <c r="B46" s="1" t="s">
        <v>184</v>
      </c>
      <c r="C46" s="1" t="s">
        <v>1455</v>
      </c>
      <c r="D46" s="43" t="s">
        <v>1455</v>
      </c>
      <c r="F46" t="s">
        <v>2298</v>
      </c>
    </row>
    <row r="47" spans="1:6" x14ac:dyDescent="0.35">
      <c r="A47" s="1" t="s">
        <v>543</v>
      </c>
      <c r="B47" s="1" t="s">
        <v>184</v>
      </c>
      <c r="C47" s="1" t="s">
        <v>1592</v>
      </c>
      <c r="D47" s="43" t="s">
        <v>1455</v>
      </c>
      <c r="F47" t="s">
        <v>2298</v>
      </c>
    </row>
    <row r="48" spans="1:6" x14ac:dyDescent="0.35">
      <c r="A48" s="1" t="s">
        <v>543</v>
      </c>
      <c r="B48" s="1" t="s">
        <v>184</v>
      </c>
      <c r="C48" s="1" t="s">
        <v>184</v>
      </c>
      <c r="D48" s="43" t="s">
        <v>1455</v>
      </c>
      <c r="F48" t="s">
        <v>2298</v>
      </c>
    </row>
    <row r="49" spans="1:6" x14ac:dyDescent="0.35">
      <c r="A49" s="1" t="s">
        <v>776</v>
      </c>
      <c r="B49" s="1" t="s">
        <v>238</v>
      </c>
      <c r="C49" s="1" t="s">
        <v>1465</v>
      </c>
      <c r="D49" s="1" t="s">
        <v>1465</v>
      </c>
      <c r="F49" t="s">
        <v>2298</v>
      </c>
    </row>
    <row r="50" spans="1:6" ht="29" x14ac:dyDescent="0.35">
      <c r="A50" s="1" t="s">
        <v>776</v>
      </c>
      <c r="B50" s="1" t="s">
        <v>238</v>
      </c>
      <c r="C50" s="1" t="s">
        <v>1466</v>
      </c>
      <c r="D50" s="1" t="s">
        <v>1465</v>
      </c>
      <c r="F50" t="s">
        <v>2298</v>
      </c>
    </row>
    <row r="51" spans="1:6" ht="43.5" x14ac:dyDescent="0.35">
      <c r="A51" s="1" t="s">
        <v>543</v>
      </c>
      <c r="B51" s="1" t="s">
        <v>646</v>
      </c>
      <c r="C51" s="1" t="s">
        <v>1788</v>
      </c>
      <c r="D51" s="1" t="s">
        <v>1788</v>
      </c>
      <c r="F51" t="s">
        <v>2298</v>
      </c>
    </row>
    <row r="52" spans="1:6" ht="43.5" x14ac:dyDescent="0.35">
      <c r="A52" s="1" t="s">
        <v>543</v>
      </c>
      <c r="B52" s="1" t="s">
        <v>646</v>
      </c>
      <c r="C52" s="1" t="s">
        <v>1788</v>
      </c>
      <c r="D52" s="1" t="s">
        <v>1788</v>
      </c>
      <c r="F52" t="s">
        <v>2298</v>
      </c>
    </row>
    <row r="53" spans="1:6" ht="29" x14ac:dyDescent="0.35">
      <c r="A53" s="1" t="s">
        <v>543</v>
      </c>
      <c r="B53" s="1" t="s">
        <v>764</v>
      </c>
      <c r="C53" s="1" t="s">
        <v>1796</v>
      </c>
      <c r="D53" s="1" t="s">
        <v>1796</v>
      </c>
      <c r="F53" t="s">
        <v>2298</v>
      </c>
    </row>
    <row r="54" spans="1:6" ht="29" x14ac:dyDescent="0.35">
      <c r="A54" s="1" t="s">
        <v>543</v>
      </c>
      <c r="B54" s="1" t="s">
        <v>764</v>
      </c>
      <c r="C54" s="1" t="s">
        <v>1793</v>
      </c>
      <c r="D54" s="1" t="s">
        <v>1796</v>
      </c>
      <c r="F54" t="s">
        <v>2298</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B4924-9029-4808-9A3A-5AF0D511D71C}">
  <sheetPr codeName="Sheet4" filterMode="1"/>
  <dimension ref="A1:E926"/>
  <sheetViews>
    <sheetView workbookViewId="0">
      <selection activeCell="D1" sqref="D1"/>
    </sheetView>
  </sheetViews>
  <sheetFormatPr defaultRowHeight="14.5" x14ac:dyDescent="0.35"/>
  <cols>
    <col min="1" max="1" width="13.81640625" customWidth="1"/>
    <col min="2" max="2" width="50.81640625" bestFit="1" customWidth="1"/>
    <col min="3" max="3" width="44.453125" customWidth="1"/>
    <col min="4" max="4" width="17.36328125" customWidth="1"/>
  </cols>
  <sheetData>
    <row r="1" spans="1:5" ht="29" x14ac:dyDescent="0.35">
      <c r="A1" s="1" t="s">
        <v>2712</v>
      </c>
      <c r="B1" s="1" t="s">
        <v>2713</v>
      </c>
      <c r="C1" s="1" t="s">
        <v>1503</v>
      </c>
      <c r="D1" s="1" t="s">
        <v>2613</v>
      </c>
      <c r="E1" s="1" t="s">
        <v>2283</v>
      </c>
    </row>
    <row r="2" spans="1:5" hidden="1" x14ac:dyDescent="0.35">
      <c r="A2" s="1" t="s">
        <v>859</v>
      </c>
      <c r="B2" s="1" t="s">
        <v>569</v>
      </c>
      <c r="C2" s="43" t="s">
        <v>1552</v>
      </c>
      <c r="D2" s="43" t="s">
        <v>2614</v>
      </c>
      <c r="E2">
        <f>COUNTIF(C:C,C2)</f>
        <v>1</v>
      </c>
    </row>
    <row r="3" spans="1:5" hidden="1" x14ac:dyDescent="0.35">
      <c r="A3" s="1" t="s">
        <v>859</v>
      </c>
      <c r="B3" s="1" t="s">
        <v>571</v>
      </c>
      <c r="C3" s="43" t="s">
        <v>1554</v>
      </c>
      <c r="D3" s="43" t="s">
        <v>2614</v>
      </c>
      <c r="E3">
        <f t="shared" ref="E3:E9" si="0">COUNTIF(C:C,C3)</f>
        <v>1</v>
      </c>
    </row>
    <row r="4" spans="1:5" ht="29" hidden="1" x14ac:dyDescent="0.35">
      <c r="A4" s="1" t="s">
        <v>859</v>
      </c>
      <c r="B4" s="1" t="s">
        <v>592</v>
      </c>
      <c r="C4" s="43" t="s">
        <v>1555</v>
      </c>
      <c r="D4" s="43" t="s">
        <v>2614</v>
      </c>
      <c r="E4">
        <f t="shared" si="0"/>
        <v>1</v>
      </c>
    </row>
    <row r="5" spans="1:5" hidden="1" x14ac:dyDescent="0.35">
      <c r="A5" s="1" t="s">
        <v>859</v>
      </c>
      <c r="B5" s="1" t="s">
        <v>594</v>
      </c>
      <c r="C5" s="43" t="s">
        <v>1556</v>
      </c>
      <c r="D5" s="43" t="s">
        <v>2614</v>
      </c>
      <c r="E5">
        <f t="shared" si="0"/>
        <v>1</v>
      </c>
    </row>
    <row r="6" spans="1:5" ht="29" hidden="1" x14ac:dyDescent="0.35">
      <c r="A6" s="1" t="s">
        <v>859</v>
      </c>
      <c r="B6" s="1" t="s">
        <v>593</v>
      </c>
      <c r="C6" s="43" t="s">
        <v>2722</v>
      </c>
      <c r="D6" s="43" t="s">
        <v>2614</v>
      </c>
      <c r="E6">
        <f t="shared" si="0"/>
        <v>1</v>
      </c>
    </row>
    <row r="7" spans="1:5" ht="29" hidden="1" x14ac:dyDescent="0.35">
      <c r="A7" s="1" t="s">
        <v>859</v>
      </c>
      <c r="B7" s="1" t="s">
        <v>595</v>
      </c>
      <c r="C7" s="43" t="s">
        <v>2723</v>
      </c>
      <c r="D7" s="43" t="s">
        <v>2614</v>
      </c>
      <c r="E7">
        <f t="shared" si="0"/>
        <v>1</v>
      </c>
    </row>
    <row r="8" spans="1:5" hidden="1" x14ac:dyDescent="0.35">
      <c r="A8" s="1" t="s">
        <v>859</v>
      </c>
      <c r="B8" s="1" t="s">
        <v>549</v>
      </c>
      <c r="C8" s="43" t="s">
        <v>2633</v>
      </c>
      <c r="D8" s="43" t="s">
        <v>2615</v>
      </c>
      <c r="E8">
        <f t="shared" si="0"/>
        <v>1</v>
      </c>
    </row>
    <row r="9" spans="1:5" ht="29" hidden="1" x14ac:dyDescent="0.35">
      <c r="A9" s="1" t="s">
        <v>859</v>
      </c>
      <c r="B9" s="1" t="s">
        <v>1561</v>
      </c>
      <c r="C9" s="43" t="s">
        <v>1562</v>
      </c>
      <c r="D9" s="43" t="s">
        <v>2615</v>
      </c>
      <c r="E9">
        <f t="shared" si="0"/>
        <v>1</v>
      </c>
    </row>
    <row r="10" spans="1:5" hidden="1" x14ac:dyDescent="0.35">
      <c r="A10" s="1" t="s">
        <v>776</v>
      </c>
      <c r="B10" s="1" t="s">
        <v>169</v>
      </c>
      <c r="C10" s="1" t="s">
        <v>1234</v>
      </c>
      <c r="D10" s="43" t="s">
        <v>2615</v>
      </c>
      <c r="E10">
        <f t="shared" ref="E10:E73" si="1">COUNTIF(C:C,C10)</f>
        <v>2</v>
      </c>
    </row>
    <row r="11" spans="1:5" hidden="1" x14ac:dyDescent="0.35">
      <c r="A11" s="1" t="s">
        <v>859</v>
      </c>
      <c r="B11" s="1" t="s">
        <v>590</v>
      </c>
      <c r="C11" s="43" t="s">
        <v>1565</v>
      </c>
      <c r="D11" s="43" t="s">
        <v>2614</v>
      </c>
      <c r="E11">
        <f t="shared" si="1"/>
        <v>1</v>
      </c>
    </row>
    <row r="12" spans="1:5" hidden="1" x14ac:dyDescent="0.35">
      <c r="A12" s="1" t="s">
        <v>859</v>
      </c>
      <c r="B12" s="1" t="s">
        <v>1566</v>
      </c>
      <c r="C12" s="43" t="s">
        <v>1567</v>
      </c>
      <c r="D12" s="43" t="s">
        <v>2614</v>
      </c>
      <c r="E12">
        <f t="shared" si="1"/>
        <v>1</v>
      </c>
    </row>
    <row r="13" spans="1:5" hidden="1" x14ac:dyDescent="0.35">
      <c r="A13" s="1" t="s">
        <v>859</v>
      </c>
      <c r="B13" s="1" t="s">
        <v>583</v>
      </c>
      <c r="C13" s="43" t="s">
        <v>1568</v>
      </c>
      <c r="D13" s="43" t="s">
        <v>2614</v>
      </c>
      <c r="E13">
        <f t="shared" si="1"/>
        <v>1</v>
      </c>
    </row>
    <row r="14" spans="1:5" hidden="1" x14ac:dyDescent="0.35">
      <c r="A14" s="1" t="s">
        <v>859</v>
      </c>
      <c r="B14" s="1" t="s">
        <v>585</v>
      </c>
      <c r="C14" s="43" t="s">
        <v>1569</v>
      </c>
      <c r="D14" s="43" t="s">
        <v>2614</v>
      </c>
      <c r="E14">
        <f t="shared" si="1"/>
        <v>1</v>
      </c>
    </row>
    <row r="15" spans="1:5" hidden="1" x14ac:dyDescent="0.35">
      <c r="A15" s="1" t="s">
        <v>859</v>
      </c>
      <c r="B15" s="1" t="s">
        <v>591</v>
      </c>
      <c r="C15" s="43" t="s">
        <v>1570</v>
      </c>
      <c r="D15" s="43" t="s">
        <v>2614</v>
      </c>
      <c r="E15">
        <f t="shared" si="1"/>
        <v>1</v>
      </c>
    </row>
    <row r="16" spans="1:5" hidden="1" x14ac:dyDescent="0.35">
      <c r="A16" s="1" t="s">
        <v>859</v>
      </c>
      <c r="B16" s="1" t="s">
        <v>573</v>
      </c>
      <c r="C16" s="43" t="s">
        <v>1571</v>
      </c>
      <c r="D16" s="43" t="s">
        <v>2614</v>
      </c>
      <c r="E16">
        <f t="shared" si="1"/>
        <v>1</v>
      </c>
    </row>
    <row r="17" spans="1:5" hidden="1" x14ac:dyDescent="0.35">
      <c r="A17" s="1" t="s">
        <v>859</v>
      </c>
      <c r="B17" s="1" t="s">
        <v>588</v>
      </c>
      <c r="C17" s="43" t="s">
        <v>1572</v>
      </c>
      <c r="D17" s="43" t="s">
        <v>2614</v>
      </c>
      <c r="E17">
        <f t="shared" si="1"/>
        <v>1</v>
      </c>
    </row>
    <row r="18" spans="1:5" hidden="1" x14ac:dyDescent="0.35">
      <c r="A18" s="1" t="s">
        <v>859</v>
      </c>
      <c r="B18" s="1" t="s">
        <v>582</v>
      </c>
      <c r="C18" s="43" t="s">
        <v>1573</v>
      </c>
      <c r="D18" s="43" t="s">
        <v>2614</v>
      </c>
      <c r="E18">
        <f t="shared" si="1"/>
        <v>1</v>
      </c>
    </row>
    <row r="19" spans="1:5" hidden="1" x14ac:dyDescent="0.35">
      <c r="A19" s="1" t="s">
        <v>859</v>
      </c>
      <c r="B19" s="1" t="s">
        <v>584</v>
      </c>
      <c r="C19" s="43" t="s">
        <v>1574</v>
      </c>
      <c r="D19" s="43" t="s">
        <v>2614</v>
      </c>
      <c r="E19">
        <f t="shared" si="1"/>
        <v>1</v>
      </c>
    </row>
    <row r="20" spans="1:5" hidden="1" x14ac:dyDescent="0.35">
      <c r="A20" s="1" t="s">
        <v>859</v>
      </c>
      <c r="B20" s="1" t="s">
        <v>589</v>
      </c>
      <c r="C20" s="43" t="s">
        <v>1575</v>
      </c>
      <c r="D20" s="43" t="s">
        <v>2614</v>
      </c>
      <c r="E20">
        <f t="shared" si="1"/>
        <v>1</v>
      </c>
    </row>
    <row r="21" spans="1:5" hidden="1" x14ac:dyDescent="0.35">
      <c r="A21" s="1" t="s">
        <v>859</v>
      </c>
      <c r="B21" s="1" t="s">
        <v>587</v>
      </c>
      <c r="C21" s="43" t="s">
        <v>2545</v>
      </c>
      <c r="D21" s="43" t="s">
        <v>2614</v>
      </c>
      <c r="E21">
        <f t="shared" si="1"/>
        <v>1</v>
      </c>
    </row>
    <row r="22" spans="1:5" hidden="1" x14ac:dyDescent="0.35">
      <c r="A22" s="1" t="s">
        <v>859</v>
      </c>
      <c r="B22" s="1" t="s">
        <v>577</v>
      </c>
      <c r="C22" s="43" t="s">
        <v>2292</v>
      </c>
      <c r="D22" s="43" t="s">
        <v>2614</v>
      </c>
      <c r="E22">
        <f t="shared" si="1"/>
        <v>1</v>
      </c>
    </row>
    <row r="23" spans="1:5" hidden="1" x14ac:dyDescent="0.35">
      <c r="A23" s="1" t="s">
        <v>859</v>
      </c>
      <c r="B23" s="1" t="s">
        <v>572</v>
      </c>
      <c r="C23" s="43" t="s">
        <v>1898</v>
      </c>
      <c r="D23" s="43" t="s">
        <v>2614</v>
      </c>
      <c r="E23">
        <f t="shared" si="1"/>
        <v>1</v>
      </c>
    </row>
    <row r="24" spans="1:5" hidden="1" x14ac:dyDescent="0.35">
      <c r="A24" s="1" t="s">
        <v>776</v>
      </c>
      <c r="B24" s="1" t="s">
        <v>357</v>
      </c>
      <c r="C24" s="1" t="s">
        <v>2489</v>
      </c>
      <c r="D24" s="1" t="s">
        <v>2614</v>
      </c>
      <c r="E24">
        <f t="shared" si="1"/>
        <v>1</v>
      </c>
    </row>
    <row r="25" spans="1:5" hidden="1" x14ac:dyDescent="0.35">
      <c r="A25" s="1" t="s">
        <v>859</v>
      </c>
      <c r="B25" s="1" t="s">
        <v>1524</v>
      </c>
      <c r="C25" s="43" t="s">
        <v>178</v>
      </c>
      <c r="D25" s="43" t="s">
        <v>2615</v>
      </c>
      <c r="E25">
        <f t="shared" si="1"/>
        <v>1</v>
      </c>
    </row>
    <row r="26" spans="1:5" ht="29" hidden="1" x14ac:dyDescent="0.35">
      <c r="A26" s="1" t="s">
        <v>859</v>
      </c>
      <c r="B26" s="1" t="s">
        <v>2259</v>
      </c>
      <c r="C26" s="43" t="s">
        <v>1901</v>
      </c>
      <c r="D26" s="43" t="s">
        <v>2614</v>
      </c>
      <c r="E26">
        <f t="shared" si="1"/>
        <v>1</v>
      </c>
    </row>
    <row r="27" spans="1:5" ht="29" hidden="1" x14ac:dyDescent="0.35">
      <c r="A27" s="1" t="s">
        <v>859</v>
      </c>
      <c r="B27" s="1" t="s">
        <v>1579</v>
      </c>
      <c r="C27" s="43" t="s">
        <v>1902</v>
      </c>
      <c r="D27" s="43" t="s">
        <v>2614</v>
      </c>
      <c r="E27">
        <f t="shared" si="1"/>
        <v>1</v>
      </c>
    </row>
    <row r="28" spans="1:5" ht="29" hidden="1" x14ac:dyDescent="0.35">
      <c r="A28" s="1" t="s">
        <v>859</v>
      </c>
      <c r="B28" s="1" t="s">
        <v>404</v>
      </c>
      <c r="C28" s="43" t="s">
        <v>2490</v>
      </c>
      <c r="D28" s="43" t="s">
        <v>2614</v>
      </c>
      <c r="E28">
        <f t="shared" si="1"/>
        <v>1</v>
      </c>
    </row>
    <row r="29" spans="1:5" ht="29" hidden="1" x14ac:dyDescent="0.35">
      <c r="A29" s="1" t="s">
        <v>859</v>
      </c>
      <c r="B29" s="1" t="s">
        <v>1580</v>
      </c>
      <c r="C29" s="43" t="s">
        <v>1904</v>
      </c>
      <c r="D29" s="43" t="s">
        <v>2614</v>
      </c>
      <c r="E29">
        <f t="shared" si="1"/>
        <v>1</v>
      </c>
    </row>
    <row r="30" spans="1:5" ht="43.5" hidden="1" x14ac:dyDescent="0.35">
      <c r="A30" s="1" t="s">
        <v>859</v>
      </c>
      <c r="B30" s="1" t="s">
        <v>1581</v>
      </c>
      <c r="C30" s="43" t="s">
        <v>1905</v>
      </c>
      <c r="D30" s="43" t="s">
        <v>2614</v>
      </c>
      <c r="E30">
        <f t="shared" si="1"/>
        <v>1</v>
      </c>
    </row>
    <row r="31" spans="1:5" ht="43.5" hidden="1" x14ac:dyDescent="0.35">
      <c r="A31" s="1" t="s">
        <v>859</v>
      </c>
      <c r="B31" s="1" t="s">
        <v>1582</v>
      </c>
      <c r="C31" s="43" t="s">
        <v>2491</v>
      </c>
      <c r="D31" s="43" t="s">
        <v>2614</v>
      </c>
      <c r="E31">
        <f t="shared" si="1"/>
        <v>1</v>
      </c>
    </row>
    <row r="32" spans="1:5" ht="29" hidden="1" x14ac:dyDescent="0.35">
      <c r="A32" s="1" t="s">
        <v>859</v>
      </c>
      <c r="B32" s="1" t="s">
        <v>2260</v>
      </c>
      <c r="C32" s="43" t="s">
        <v>2492</v>
      </c>
      <c r="D32" s="43" t="s">
        <v>2614</v>
      </c>
      <c r="E32">
        <f t="shared" si="1"/>
        <v>1</v>
      </c>
    </row>
    <row r="33" spans="1:5" ht="29" hidden="1" x14ac:dyDescent="0.35">
      <c r="A33" s="1" t="s">
        <v>859</v>
      </c>
      <c r="B33" s="1" t="s">
        <v>1584</v>
      </c>
      <c r="C33" s="43" t="s">
        <v>1908</v>
      </c>
      <c r="D33" s="43" t="s">
        <v>2614</v>
      </c>
      <c r="E33">
        <f t="shared" si="1"/>
        <v>1</v>
      </c>
    </row>
    <row r="34" spans="1:5" hidden="1" x14ac:dyDescent="0.35">
      <c r="A34" s="1" t="s">
        <v>859</v>
      </c>
      <c r="B34" s="1" t="s">
        <v>560</v>
      </c>
      <c r="C34" s="43" t="s">
        <v>1909</v>
      </c>
      <c r="D34" s="43" t="s">
        <v>2614</v>
      </c>
      <c r="E34">
        <f t="shared" si="1"/>
        <v>1</v>
      </c>
    </row>
    <row r="35" spans="1:5" hidden="1" x14ac:dyDescent="0.35">
      <c r="A35" s="1" t="s">
        <v>859</v>
      </c>
      <c r="B35" s="1" t="s">
        <v>1586</v>
      </c>
      <c r="C35" s="43" t="s">
        <v>1910</v>
      </c>
      <c r="D35" s="43" t="s">
        <v>2614</v>
      </c>
      <c r="E35">
        <f t="shared" si="1"/>
        <v>1</v>
      </c>
    </row>
    <row r="36" spans="1:5" hidden="1" x14ac:dyDescent="0.35">
      <c r="A36" s="1" t="s">
        <v>859</v>
      </c>
      <c r="B36" s="1" t="s">
        <v>559</v>
      </c>
      <c r="C36" s="43" t="s">
        <v>1911</v>
      </c>
      <c r="D36" s="43" t="s">
        <v>2614</v>
      </c>
      <c r="E36">
        <f t="shared" si="1"/>
        <v>1</v>
      </c>
    </row>
    <row r="37" spans="1:5" hidden="1" x14ac:dyDescent="0.35">
      <c r="A37" s="1" t="s">
        <v>859</v>
      </c>
      <c r="B37" s="1" t="s">
        <v>2263</v>
      </c>
      <c r="C37" s="43" t="s">
        <v>1912</v>
      </c>
      <c r="D37" s="43" t="s">
        <v>2614</v>
      </c>
      <c r="E37">
        <f t="shared" si="1"/>
        <v>1</v>
      </c>
    </row>
    <row r="38" spans="1:5" hidden="1" x14ac:dyDescent="0.35">
      <c r="A38" s="1" t="s">
        <v>859</v>
      </c>
      <c r="B38" s="1" t="s">
        <v>555</v>
      </c>
      <c r="C38" s="43" t="s">
        <v>1914</v>
      </c>
      <c r="D38" s="43" t="s">
        <v>2614</v>
      </c>
      <c r="E38">
        <f t="shared" si="1"/>
        <v>1</v>
      </c>
    </row>
    <row r="39" spans="1:5" ht="29" hidden="1" x14ac:dyDescent="0.35">
      <c r="A39" s="1" t="s">
        <v>859</v>
      </c>
      <c r="B39" s="1" t="s">
        <v>553</v>
      </c>
      <c r="C39" s="43" t="s">
        <v>1916</v>
      </c>
      <c r="D39" s="43" t="s">
        <v>2614</v>
      </c>
      <c r="E39">
        <f t="shared" si="1"/>
        <v>1</v>
      </c>
    </row>
    <row r="40" spans="1:5" hidden="1" x14ac:dyDescent="0.35">
      <c r="A40" s="1" t="s">
        <v>859</v>
      </c>
      <c r="B40" s="1" t="s">
        <v>550</v>
      </c>
      <c r="C40" s="43" t="s">
        <v>1917</v>
      </c>
      <c r="D40" s="43" t="s">
        <v>2614</v>
      </c>
      <c r="E40">
        <f t="shared" si="1"/>
        <v>1</v>
      </c>
    </row>
    <row r="41" spans="1:5" hidden="1" x14ac:dyDescent="0.35">
      <c r="A41" s="1" t="s">
        <v>859</v>
      </c>
      <c r="B41" s="1" t="s">
        <v>552</v>
      </c>
      <c r="C41" s="43" t="s">
        <v>1918</v>
      </c>
      <c r="D41" s="43" t="s">
        <v>2614</v>
      </c>
      <c r="E41">
        <f t="shared" si="1"/>
        <v>1</v>
      </c>
    </row>
    <row r="42" spans="1:5" hidden="1" x14ac:dyDescent="0.35">
      <c r="A42" s="1" t="s">
        <v>859</v>
      </c>
      <c r="B42" s="1" t="s">
        <v>2261</v>
      </c>
      <c r="C42" s="43" t="s">
        <v>2302</v>
      </c>
      <c r="D42" s="43" t="s">
        <v>2614</v>
      </c>
      <c r="E42">
        <f t="shared" si="1"/>
        <v>1</v>
      </c>
    </row>
    <row r="43" spans="1:5" hidden="1" x14ac:dyDescent="0.35">
      <c r="A43" s="1" t="s">
        <v>859</v>
      </c>
      <c r="B43" s="1" t="s">
        <v>538</v>
      </c>
      <c r="C43" s="43" t="s">
        <v>2472</v>
      </c>
      <c r="D43" s="43" t="s">
        <v>2614</v>
      </c>
      <c r="E43">
        <f t="shared" si="1"/>
        <v>1</v>
      </c>
    </row>
    <row r="44" spans="1:5" hidden="1" x14ac:dyDescent="0.35">
      <c r="A44" s="1" t="s">
        <v>859</v>
      </c>
      <c r="B44" s="1" t="s">
        <v>551</v>
      </c>
      <c r="C44" s="43" t="s">
        <v>2635</v>
      </c>
      <c r="D44" s="43" t="s">
        <v>2615</v>
      </c>
      <c r="E44">
        <f t="shared" si="1"/>
        <v>1</v>
      </c>
    </row>
    <row r="45" spans="1:5" hidden="1" x14ac:dyDescent="0.35">
      <c r="A45" s="1" t="s">
        <v>859</v>
      </c>
      <c r="B45" s="1" t="s">
        <v>1805</v>
      </c>
      <c r="C45" s="43" t="s">
        <v>1920</v>
      </c>
      <c r="D45" s="43" t="s">
        <v>2614</v>
      </c>
      <c r="E45">
        <f t="shared" si="1"/>
        <v>1</v>
      </c>
    </row>
    <row r="46" spans="1:5" hidden="1" x14ac:dyDescent="0.35">
      <c r="A46" s="1" t="s">
        <v>859</v>
      </c>
      <c r="B46" s="1" t="s">
        <v>398</v>
      </c>
      <c r="C46" s="43" t="s">
        <v>2675</v>
      </c>
      <c r="D46" s="43" t="s">
        <v>2614</v>
      </c>
      <c r="E46">
        <f t="shared" si="1"/>
        <v>1</v>
      </c>
    </row>
    <row r="47" spans="1:5" ht="29" hidden="1" x14ac:dyDescent="0.35">
      <c r="A47" s="1" t="s">
        <v>859</v>
      </c>
      <c r="B47" s="1" t="s">
        <v>397</v>
      </c>
      <c r="C47" s="43" t="s">
        <v>2676</v>
      </c>
      <c r="D47" s="43" t="s">
        <v>2614</v>
      </c>
      <c r="E47">
        <f t="shared" si="1"/>
        <v>1</v>
      </c>
    </row>
    <row r="48" spans="1:5" hidden="1" x14ac:dyDescent="0.35">
      <c r="A48" s="1" t="s">
        <v>859</v>
      </c>
      <c r="B48" s="1" t="s">
        <v>399</v>
      </c>
      <c r="C48" s="43" t="s">
        <v>1924</v>
      </c>
      <c r="D48" s="43" t="s">
        <v>2614</v>
      </c>
      <c r="E48">
        <f t="shared" si="1"/>
        <v>1</v>
      </c>
    </row>
    <row r="49" spans="1:5" hidden="1" x14ac:dyDescent="0.35">
      <c r="A49" s="1" t="s">
        <v>859</v>
      </c>
      <c r="B49" s="1" t="s">
        <v>208</v>
      </c>
      <c r="C49" s="43" t="s">
        <v>2636</v>
      </c>
      <c r="D49" s="43" t="s">
        <v>2615</v>
      </c>
      <c r="E49">
        <f t="shared" si="1"/>
        <v>1</v>
      </c>
    </row>
    <row r="50" spans="1:5" hidden="1" x14ac:dyDescent="0.35">
      <c r="A50" s="1" t="s">
        <v>859</v>
      </c>
      <c r="B50" s="1" t="s">
        <v>1809</v>
      </c>
      <c r="C50" s="43" t="s">
        <v>2493</v>
      </c>
      <c r="D50" s="43" t="s">
        <v>2614</v>
      </c>
      <c r="E50">
        <f t="shared" si="1"/>
        <v>1</v>
      </c>
    </row>
    <row r="51" spans="1:5" hidden="1" x14ac:dyDescent="0.35">
      <c r="A51" s="1" t="s">
        <v>859</v>
      </c>
      <c r="B51" s="1" t="s">
        <v>201</v>
      </c>
      <c r="C51" s="43" t="s">
        <v>2637</v>
      </c>
      <c r="D51" s="43" t="s">
        <v>2615</v>
      </c>
      <c r="E51">
        <f t="shared" si="1"/>
        <v>1</v>
      </c>
    </row>
    <row r="52" spans="1:5" hidden="1" x14ac:dyDescent="0.35">
      <c r="A52" s="1" t="s">
        <v>859</v>
      </c>
      <c r="B52" s="1" t="s">
        <v>566</v>
      </c>
      <c r="C52" s="43" t="s">
        <v>1928</v>
      </c>
      <c r="D52" s="43" t="s">
        <v>2614</v>
      </c>
      <c r="E52">
        <f t="shared" si="1"/>
        <v>1</v>
      </c>
    </row>
    <row r="53" spans="1:5" hidden="1" x14ac:dyDescent="0.35">
      <c r="A53" s="1" t="s">
        <v>859</v>
      </c>
      <c r="B53" s="1" t="s">
        <v>411</v>
      </c>
      <c r="C53" s="43" t="s">
        <v>1929</v>
      </c>
      <c r="D53" s="43" t="s">
        <v>2615</v>
      </c>
      <c r="E53">
        <f t="shared" si="1"/>
        <v>1</v>
      </c>
    </row>
    <row r="54" spans="1:5" hidden="1" x14ac:dyDescent="0.35">
      <c r="A54" s="1" t="s">
        <v>859</v>
      </c>
      <c r="B54" s="1" t="s">
        <v>393</v>
      </c>
      <c r="C54" s="43" t="s">
        <v>1921</v>
      </c>
      <c r="D54" s="43" t="s">
        <v>2614</v>
      </c>
      <c r="E54">
        <f t="shared" si="1"/>
        <v>1</v>
      </c>
    </row>
    <row r="55" spans="1:5" hidden="1" x14ac:dyDescent="0.35">
      <c r="A55" s="1" t="s">
        <v>859</v>
      </c>
      <c r="B55" s="1" t="s">
        <v>1812</v>
      </c>
      <c r="C55" s="43" t="s">
        <v>1933</v>
      </c>
      <c r="D55" s="43" t="s">
        <v>2614</v>
      </c>
      <c r="E55">
        <f t="shared" si="1"/>
        <v>1</v>
      </c>
    </row>
    <row r="56" spans="1:5" ht="29" hidden="1" x14ac:dyDescent="0.35">
      <c r="A56" s="1" t="s">
        <v>859</v>
      </c>
      <c r="B56" s="1" t="s">
        <v>1813</v>
      </c>
      <c r="C56" s="43" t="s">
        <v>2494</v>
      </c>
      <c r="D56" s="43" t="s">
        <v>2614</v>
      </c>
      <c r="E56">
        <f t="shared" si="1"/>
        <v>1</v>
      </c>
    </row>
    <row r="57" spans="1:5" hidden="1" x14ac:dyDescent="0.35">
      <c r="A57" s="1" t="s">
        <v>859</v>
      </c>
      <c r="B57" s="1" t="s">
        <v>395</v>
      </c>
      <c r="C57" s="43" t="s">
        <v>2237</v>
      </c>
      <c r="D57" s="43" t="s">
        <v>2615</v>
      </c>
      <c r="E57">
        <f t="shared" si="1"/>
        <v>1</v>
      </c>
    </row>
    <row r="58" spans="1:5" hidden="1" x14ac:dyDescent="0.35">
      <c r="A58" s="1" t="s">
        <v>859</v>
      </c>
      <c r="B58" s="1" t="s">
        <v>2270</v>
      </c>
      <c r="C58" s="43" t="s">
        <v>1936</v>
      </c>
      <c r="D58" s="43" t="s">
        <v>2614</v>
      </c>
      <c r="E58">
        <f t="shared" si="1"/>
        <v>1</v>
      </c>
    </row>
    <row r="59" spans="1:5" ht="29" hidden="1" x14ac:dyDescent="0.35">
      <c r="A59" s="1" t="s">
        <v>859</v>
      </c>
      <c r="B59" s="1" t="s">
        <v>1815</v>
      </c>
      <c r="C59" s="43" t="s">
        <v>2477</v>
      </c>
      <c r="D59" s="43" t="s">
        <v>2614</v>
      </c>
      <c r="E59">
        <f t="shared" si="1"/>
        <v>1</v>
      </c>
    </row>
    <row r="60" spans="1:5" ht="29" hidden="1" x14ac:dyDescent="0.35">
      <c r="A60" s="1" t="s">
        <v>859</v>
      </c>
      <c r="B60" s="1" t="s">
        <v>1816</v>
      </c>
      <c r="C60" s="43" t="s">
        <v>2478</v>
      </c>
      <c r="D60" s="43" t="s">
        <v>2614</v>
      </c>
      <c r="E60">
        <f t="shared" si="1"/>
        <v>1</v>
      </c>
    </row>
    <row r="61" spans="1:5" ht="29" hidden="1" x14ac:dyDescent="0.35">
      <c r="A61" s="1" t="s">
        <v>859</v>
      </c>
      <c r="B61" s="1" t="s">
        <v>500</v>
      </c>
      <c r="C61" s="43" t="s">
        <v>1940</v>
      </c>
      <c r="D61" s="43" t="s">
        <v>2614</v>
      </c>
      <c r="E61">
        <f t="shared" si="1"/>
        <v>1</v>
      </c>
    </row>
    <row r="62" spans="1:5" ht="29" hidden="1" x14ac:dyDescent="0.35">
      <c r="A62" s="1" t="s">
        <v>859</v>
      </c>
      <c r="B62" s="1" t="s">
        <v>504</v>
      </c>
      <c r="C62" s="43" t="s">
        <v>1941</v>
      </c>
      <c r="D62" s="43" t="s">
        <v>2614</v>
      </c>
      <c r="E62">
        <f t="shared" si="1"/>
        <v>1</v>
      </c>
    </row>
    <row r="63" spans="1:5" ht="43.5" hidden="1" x14ac:dyDescent="0.35">
      <c r="A63" s="1" t="s">
        <v>859</v>
      </c>
      <c r="B63" s="1" t="s">
        <v>443</v>
      </c>
      <c r="C63" s="43" t="s">
        <v>2495</v>
      </c>
      <c r="D63" s="43" t="s">
        <v>2614</v>
      </c>
      <c r="E63">
        <f t="shared" si="1"/>
        <v>1</v>
      </c>
    </row>
    <row r="64" spans="1:5" ht="43.5" hidden="1" x14ac:dyDescent="0.35">
      <c r="A64" s="1" t="s">
        <v>859</v>
      </c>
      <c r="B64" s="1" t="s">
        <v>451</v>
      </c>
      <c r="C64" s="43" t="s">
        <v>2496</v>
      </c>
      <c r="D64" s="43" t="s">
        <v>2614</v>
      </c>
      <c r="E64">
        <f t="shared" si="1"/>
        <v>1</v>
      </c>
    </row>
    <row r="65" spans="1:5" ht="43.5" hidden="1" x14ac:dyDescent="0.35">
      <c r="A65" s="1" t="s">
        <v>859</v>
      </c>
      <c r="B65" s="1" t="s">
        <v>447</v>
      </c>
      <c r="C65" s="43" t="s">
        <v>2497</v>
      </c>
      <c r="D65" s="43" t="s">
        <v>2614</v>
      </c>
      <c r="E65">
        <f t="shared" si="1"/>
        <v>1</v>
      </c>
    </row>
    <row r="66" spans="1:5" ht="29" hidden="1" x14ac:dyDescent="0.35">
      <c r="A66" s="1" t="s">
        <v>859</v>
      </c>
      <c r="B66" s="1" t="s">
        <v>415</v>
      </c>
      <c r="C66" s="43" t="s">
        <v>2498</v>
      </c>
      <c r="D66" s="43" t="s">
        <v>2614</v>
      </c>
      <c r="E66">
        <f t="shared" si="1"/>
        <v>1</v>
      </c>
    </row>
    <row r="67" spans="1:5" ht="29" hidden="1" x14ac:dyDescent="0.35">
      <c r="A67" s="1" t="s">
        <v>859</v>
      </c>
      <c r="B67" s="1" t="s">
        <v>426</v>
      </c>
      <c r="C67" s="43" t="s">
        <v>2514</v>
      </c>
      <c r="D67" s="43" t="s">
        <v>2614</v>
      </c>
      <c r="E67">
        <f t="shared" si="1"/>
        <v>1</v>
      </c>
    </row>
    <row r="68" spans="1:5" ht="43.5" hidden="1" x14ac:dyDescent="0.35">
      <c r="A68" s="1" t="s">
        <v>859</v>
      </c>
      <c r="B68" s="1" t="s">
        <v>459</v>
      </c>
      <c r="C68" s="43" t="s">
        <v>2499</v>
      </c>
      <c r="D68" s="43" t="s">
        <v>2614</v>
      </c>
      <c r="E68">
        <f t="shared" si="1"/>
        <v>1</v>
      </c>
    </row>
    <row r="69" spans="1:5" ht="43.5" hidden="1" x14ac:dyDescent="0.35">
      <c r="A69" s="1" t="s">
        <v>859</v>
      </c>
      <c r="B69" s="1" t="s">
        <v>455</v>
      </c>
      <c r="C69" s="43" t="s">
        <v>2500</v>
      </c>
      <c r="D69" s="43" t="s">
        <v>2614</v>
      </c>
      <c r="E69">
        <f t="shared" si="1"/>
        <v>1</v>
      </c>
    </row>
    <row r="70" spans="1:5" ht="43.5" hidden="1" x14ac:dyDescent="0.35">
      <c r="A70" s="1" t="s">
        <v>859</v>
      </c>
      <c r="B70" s="1" t="s">
        <v>463</v>
      </c>
      <c r="C70" s="43" t="s">
        <v>2501</v>
      </c>
      <c r="D70" s="43" t="s">
        <v>2614</v>
      </c>
      <c r="E70">
        <f t="shared" si="1"/>
        <v>1</v>
      </c>
    </row>
    <row r="71" spans="1:5" hidden="1" x14ac:dyDescent="0.35">
      <c r="A71" s="1" t="s">
        <v>859</v>
      </c>
      <c r="B71" s="1" t="s">
        <v>508</v>
      </c>
      <c r="C71" s="43" t="s">
        <v>1950</v>
      </c>
      <c r="D71" s="43" t="s">
        <v>2615</v>
      </c>
      <c r="E71">
        <f t="shared" si="1"/>
        <v>1</v>
      </c>
    </row>
    <row r="72" spans="1:5" hidden="1" x14ac:dyDescent="0.35">
      <c r="A72" s="1" t="s">
        <v>859</v>
      </c>
      <c r="B72" s="1" t="s">
        <v>324</v>
      </c>
      <c r="C72" s="43" t="s">
        <v>1951</v>
      </c>
      <c r="D72" s="43" t="s">
        <v>2615</v>
      </c>
      <c r="E72">
        <f t="shared" si="1"/>
        <v>1</v>
      </c>
    </row>
    <row r="73" spans="1:5" hidden="1" x14ac:dyDescent="0.35">
      <c r="A73" s="1" t="s">
        <v>859</v>
      </c>
      <c r="B73" s="1" t="s">
        <v>542</v>
      </c>
      <c r="C73" s="43" t="s">
        <v>1952</v>
      </c>
      <c r="D73" s="43" t="s">
        <v>2614</v>
      </c>
      <c r="E73">
        <f t="shared" si="1"/>
        <v>1</v>
      </c>
    </row>
    <row r="74" spans="1:5" hidden="1" x14ac:dyDescent="0.35">
      <c r="A74" s="1" t="s">
        <v>859</v>
      </c>
      <c r="B74" s="1" t="s">
        <v>518</v>
      </c>
      <c r="C74" s="43" t="s">
        <v>1953</v>
      </c>
      <c r="D74" s="43" t="s">
        <v>2614</v>
      </c>
      <c r="E74">
        <f t="shared" ref="E74:E137" si="2">COUNTIF(C:C,C74)</f>
        <v>1</v>
      </c>
    </row>
    <row r="75" spans="1:5" hidden="1" x14ac:dyDescent="0.35">
      <c r="A75" s="1" t="s">
        <v>859</v>
      </c>
      <c r="B75" s="1" t="s">
        <v>308</v>
      </c>
      <c r="C75" s="43" t="s">
        <v>1954</v>
      </c>
      <c r="D75" s="43" t="s">
        <v>2614</v>
      </c>
      <c r="E75">
        <f t="shared" si="2"/>
        <v>1</v>
      </c>
    </row>
    <row r="76" spans="1:5" ht="29" hidden="1" x14ac:dyDescent="0.35">
      <c r="A76" s="1" t="s">
        <v>859</v>
      </c>
      <c r="B76" s="1" t="s">
        <v>437</v>
      </c>
      <c r="C76" s="43" t="s">
        <v>2515</v>
      </c>
      <c r="D76" s="43" t="s">
        <v>2614</v>
      </c>
      <c r="E76">
        <f t="shared" si="2"/>
        <v>1</v>
      </c>
    </row>
    <row r="77" spans="1:5" hidden="1" x14ac:dyDescent="0.35">
      <c r="A77" s="1" t="s">
        <v>859</v>
      </c>
      <c r="B77" s="1" t="s">
        <v>307</v>
      </c>
      <c r="C77" s="43" t="s">
        <v>1956</v>
      </c>
      <c r="D77" s="43" t="s">
        <v>2614</v>
      </c>
      <c r="E77">
        <f t="shared" si="2"/>
        <v>1</v>
      </c>
    </row>
    <row r="78" spans="1:5" hidden="1" x14ac:dyDescent="0.35">
      <c r="A78" s="1" t="s">
        <v>859</v>
      </c>
      <c r="B78" s="1" t="s">
        <v>526</v>
      </c>
      <c r="C78" s="43" t="s">
        <v>2502</v>
      </c>
      <c r="D78" s="43" t="s">
        <v>2614</v>
      </c>
      <c r="E78">
        <f t="shared" si="2"/>
        <v>1</v>
      </c>
    </row>
    <row r="79" spans="1:5" hidden="1" x14ac:dyDescent="0.35">
      <c r="A79" s="1" t="s">
        <v>859</v>
      </c>
      <c r="B79" s="1" t="s">
        <v>268</v>
      </c>
      <c r="C79" s="43" t="s">
        <v>1900</v>
      </c>
      <c r="D79" s="43" t="s">
        <v>2614</v>
      </c>
      <c r="E79">
        <f t="shared" si="2"/>
        <v>1</v>
      </c>
    </row>
    <row r="80" spans="1:5" hidden="1" x14ac:dyDescent="0.35">
      <c r="B80" t="s">
        <v>2243</v>
      </c>
      <c r="C80" s="1" t="s">
        <v>2329</v>
      </c>
      <c r="D80" s="43" t="s">
        <v>2615</v>
      </c>
      <c r="E80">
        <f t="shared" si="2"/>
        <v>2</v>
      </c>
    </row>
    <row r="81" spans="1:5" hidden="1" x14ac:dyDescent="0.35">
      <c r="A81" s="1" t="s">
        <v>859</v>
      </c>
      <c r="B81" s="1" t="s">
        <v>519</v>
      </c>
      <c r="C81" s="43" t="s">
        <v>1961</v>
      </c>
      <c r="D81" s="43" t="s">
        <v>2614</v>
      </c>
      <c r="E81">
        <f t="shared" si="2"/>
        <v>1</v>
      </c>
    </row>
    <row r="82" spans="1:5" hidden="1" x14ac:dyDescent="0.35">
      <c r="A82" s="1" t="s">
        <v>859</v>
      </c>
      <c r="B82" s="1" t="s">
        <v>522</v>
      </c>
      <c r="C82" s="43" t="s">
        <v>2503</v>
      </c>
      <c r="D82" s="43" t="s">
        <v>2614</v>
      </c>
      <c r="E82">
        <f t="shared" si="2"/>
        <v>1</v>
      </c>
    </row>
    <row r="83" spans="1:5" ht="43.5" hidden="1" x14ac:dyDescent="0.35">
      <c r="A83" s="1" t="s">
        <v>859</v>
      </c>
      <c r="B83" s="1" t="s">
        <v>523</v>
      </c>
      <c r="C83" s="43" t="s">
        <v>1963</v>
      </c>
      <c r="D83" s="43" t="s">
        <v>2614</v>
      </c>
      <c r="E83">
        <f t="shared" si="2"/>
        <v>1</v>
      </c>
    </row>
    <row r="84" spans="1:5" ht="29" hidden="1" x14ac:dyDescent="0.35">
      <c r="A84" s="1" t="s">
        <v>859</v>
      </c>
      <c r="B84" s="1" t="s">
        <v>521</v>
      </c>
      <c r="C84" s="43" t="s">
        <v>1964</v>
      </c>
      <c r="D84" s="43" t="s">
        <v>2614</v>
      </c>
      <c r="E84">
        <f t="shared" si="2"/>
        <v>1</v>
      </c>
    </row>
    <row r="85" spans="1:5" ht="29" hidden="1" x14ac:dyDescent="0.35">
      <c r="A85" s="1" t="s">
        <v>859</v>
      </c>
      <c r="B85" s="1" t="s">
        <v>520</v>
      </c>
      <c r="C85" s="43" t="s">
        <v>1965</v>
      </c>
      <c r="D85" s="43" t="s">
        <v>2614</v>
      </c>
      <c r="E85">
        <f t="shared" si="2"/>
        <v>1</v>
      </c>
    </row>
    <row r="86" spans="1:5" hidden="1" x14ac:dyDescent="0.35">
      <c r="A86" s="1" t="s">
        <v>859</v>
      </c>
      <c r="B86" s="1" t="s">
        <v>524</v>
      </c>
      <c r="C86" s="43" t="s">
        <v>1966</v>
      </c>
      <c r="D86" s="43" t="s">
        <v>2614</v>
      </c>
      <c r="E86">
        <f t="shared" si="2"/>
        <v>1</v>
      </c>
    </row>
    <row r="87" spans="1:5" ht="29" hidden="1" x14ac:dyDescent="0.35">
      <c r="A87" s="1" t="s">
        <v>859</v>
      </c>
      <c r="B87" s="1" t="s">
        <v>290</v>
      </c>
      <c r="C87" s="43" t="s">
        <v>1967</v>
      </c>
      <c r="D87" s="43" t="s">
        <v>2614</v>
      </c>
      <c r="E87">
        <f t="shared" si="2"/>
        <v>1</v>
      </c>
    </row>
    <row r="88" spans="1:5" ht="29" hidden="1" x14ac:dyDescent="0.35">
      <c r="A88" s="1" t="s">
        <v>859</v>
      </c>
      <c r="B88" s="1" t="s">
        <v>2303</v>
      </c>
      <c r="C88" s="43" t="s">
        <v>1899</v>
      </c>
      <c r="D88" s="43" t="s">
        <v>2614</v>
      </c>
      <c r="E88">
        <f t="shared" si="2"/>
        <v>1</v>
      </c>
    </row>
    <row r="89" spans="1:5" hidden="1" x14ac:dyDescent="0.35">
      <c r="A89" s="1" t="s">
        <v>859</v>
      </c>
      <c r="B89" s="1" t="s">
        <v>2266</v>
      </c>
      <c r="C89" s="43" t="s">
        <v>1969</v>
      </c>
      <c r="D89" s="43" t="s">
        <v>2614</v>
      </c>
      <c r="E89">
        <f t="shared" si="2"/>
        <v>1</v>
      </c>
    </row>
    <row r="90" spans="1:5" hidden="1" x14ac:dyDescent="0.35">
      <c r="A90" s="1" t="s">
        <v>859</v>
      </c>
      <c r="B90" s="1" t="s">
        <v>528</v>
      </c>
      <c r="C90" s="43" t="s">
        <v>1970</v>
      </c>
      <c r="D90" s="43" t="s">
        <v>2614</v>
      </c>
      <c r="E90">
        <f t="shared" si="2"/>
        <v>1</v>
      </c>
    </row>
    <row r="91" spans="1:5" hidden="1" x14ac:dyDescent="0.35">
      <c r="A91" s="1" t="s">
        <v>859</v>
      </c>
      <c r="B91" s="1" t="s">
        <v>530</v>
      </c>
      <c r="C91" s="43" t="s">
        <v>1971</v>
      </c>
      <c r="D91" s="43" t="s">
        <v>2614</v>
      </c>
      <c r="E91">
        <f t="shared" si="2"/>
        <v>1</v>
      </c>
    </row>
    <row r="92" spans="1:5" hidden="1" x14ac:dyDescent="0.35">
      <c r="A92" s="1" t="s">
        <v>859</v>
      </c>
      <c r="B92" s="1" t="s">
        <v>543</v>
      </c>
      <c r="C92" s="43" t="s">
        <v>1973</v>
      </c>
      <c r="D92" s="43" t="s">
        <v>2615</v>
      </c>
      <c r="E92">
        <f t="shared" si="2"/>
        <v>1</v>
      </c>
    </row>
    <row r="93" spans="1:5" hidden="1" x14ac:dyDescent="0.35">
      <c r="A93" s="1" t="s">
        <v>859</v>
      </c>
      <c r="B93" s="1" t="s">
        <v>498</v>
      </c>
      <c r="C93" s="43" t="s">
        <v>2638</v>
      </c>
      <c r="D93" s="43" t="s">
        <v>2615</v>
      </c>
      <c r="E93">
        <f t="shared" si="2"/>
        <v>1</v>
      </c>
    </row>
    <row r="94" spans="1:5" hidden="1" x14ac:dyDescent="0.35">
      <c r="A94" s="1" t="s">
        <v>859</v>
      </c>
      <c r="B94" s="1" t="s">
        <v>545</v>
      </c>
      <c r="C94" s="43" t="s">
        <v>1975</v>
      </c>
      <c r="D94" s="43" t="s">
        <v>2614</v>
      </c>
      <c r="E94">
        <f t="shared" si="2"/>
        <v>1</v>
      </c>
    </row>
    <row r="95" spans="1:5" ht="29" hidden="1" x14ac:dyDescent="0.35">
      <c r="A95" s="1" t="s">
        <v>859</v>
      </c>
      <c r="B95" s="1" t="s">
        <v>546</v>
      </c>
      <c r="C95" s="43" t="s">
        <v>1976</v>
      </c>
      <c r="D95" s="43" t="s">
        <v>2614</v>
      </c>
      <c r="E95">
        <f t="shared" si="2"/>
        <v>1</v>
      </c>
    </row>
    <row r="96" spans="1:5" hidden="1" x14ac:dyDescent="0.35">
      <c r="A96" s="1" t="s">
        <v>859</v>
      </c>
      <c r="B96" s="1" t="s">
        <v>547</v>
      </c>
      <c r="C96" s="43" t="s">
        <v>1977</v>
      </c>
      <c r="D96" s="43" t="s">
        <v>2614</v>
      </c>
      <c r="E96">
        <f t="shared" si="2"/>
        <v>1</v>
      </c>
    </row>
    <row r="97" spans="1:5" hidden="1" x14ac:dyDescent="0.35">
      <c r="A97" s="1" t="s">
        <v>859</v>
      </c>
      <c r="B97" s="1" t="s">
        <v>548</v>
      </c>
      <c r="C97" s="43" t="s">
        <v>1978</v>
      </c>
      <c r="D97" s="43" t="s">
        <v>2614</v>
      </c>
      <c r="E97">
        <f t="shared" si="2"/>
        <v>1</v>
      </c>
    </row>
    <row r="98" spans="1:5" hidden="1" x14ac:dyDescent="0.35">
      <c r="A98" s="1" t="s">
        <v>859</v>
      </c>
      <c r="B98" s="1" t="s">
        <v>537</v>
      </c>
      <c r="C98" s="43" t="s">
        <v>1979</v>
      </c>
      <c r="D98" s="43" t="s">
        <v>2614</v>
      </c>
      <c r="E98">
        <f t="shared" si="2"/>
        <v>1</v>
      </c>
    </row>
    <row r="99" spans="1:5" hidden="1" x14ac:dyDescent="0.35">
      <c r="A99" s="1" t="s">
        <v>859</v>
      </c>
      <c r="B99" s="1" t="s">
        <v>1543</v>
      </c>
      <c r="C99" s="43" t="s">
        <v>1980</v>
      </c>
      <c r="D99" s="43" t="s">
        <v>2614</v>
      </c>
      <c r="E99">
        <f t="shared" si="2"/>
        <v>1</v>
      </c>
    </row>
    <row r="100" spans="1:5" hidden="1" x14ac:dyDescent="0.35">
      <c r="A100" s="1" t="s">
        <v>859</v>
      </c>
      <c r="B100" s="1" t="s">
        <v>510</v>
      </c>
      <c r="C100" s="43" t="s">
        <v>2293</v>
      </c>
      <c r="D100" s="43" t="s">
        <v>2614</v>
      </c>
      <c r="E100">
        <f t="shared" si="2"/>
        <v>1</v>
      </c>
    </row>
    <row r="101" spans="1:5" hidden="1" x14ac:dyDescent="0.35">
      <c r="A101" s="1" t="s">
        <v>859</v>
      </c>
      <c r="B101" s="1" t="s">
        <v>405</v>
      </c>
      <c r="C101" s="43" t="s">
        <v>1982</v>
      </c>
      <c r="D101" s="43" t="s">
        <v>2615</v>
      </c>
      <c r="E101">
        <f t="shared" si="2"/>
        <v>1</v>
      </c>
    </row>
    <row r="102" spans="1:5" hidden="1" x14ac:dyDescent="0.35">
      <c r="A102" s="1" t="s">
        <v>859</v>
      </c>
      <c r="B102" s="1" t="s">
        <v>406</v>
      </c>
      <c r="C102" s="43" t="s">
        <v>1983</v>
      </c>
      <c r="D102" s="43" t="s">
        <v>2615</v>
      </c>
      <c r="E102">
        <f t="shared" si="2"/>
        <v>1</v>
      </c>
    </row>
    <row r="103" spans="1:5" ht="58" hidden="1" x14ac:dyDescent="0.35">
      <c r="A103" s="1" t="s">
        <v>859</v>
      </c>
      <c r="B103" s="1" t="s">
        <v>1826</v>
      </c>
      <c r="C103" s="43" t="s">
        <v>1984</v>
      </c>
      <c r="D103" s="43" t="s">
        <v>2614</v>
      </c>
      <c r="E103">
        <f t="shared" si="2"/>
        <v>1</v>
      </c>
    </row>
    <row r="104" spans="1:5" hidden="1" x14ac:dyDescent="0.35">
      <c r="A104" s="1" t="s">
        <v>859</v>
      </c>
      <c r="B104" s="1" t="s">
        <v>409</v>
      </c>
      <c r="C104" s="43" t="s">
        <v>1985</v>
      </c>
      <c r="D104" s="43" t="s">
        <v>2615</v>
      </c>
      <c r="E104">
        <f t="shared" si="2"/>
        <v>1</v>
      </c>
    </row>
    <row r="105" spans="1:5" hidden="1" x14ac:dyDescent="0.35">
      <c r="A105" s="1" t="s">
        <v>859</v>
      </c>
      <c r="B105" s="1" t="s">
        <v>568</v>
      </c>
      <c r="C105" s="43" t="s">
        <v>1986</v>
      </c>
      <c r="D105" s="43" t="s">
        <v>2614</v>
      </c>
      <c r="E105">
        <f t="shared" si="2"/>
        <v>1</v>
      </c>
    </row>
    <row r="106" spans="1:5" ht="29" hidden="1" x14ac:dyDescent="0.35">
      <c r="A106" s="1" t="s">
        <v>859</v>
      </c>
      <c r="B106" s="1" t="s">
        <v>325</v>
      </c>
      <c r="C106" s="43" t="s">
        <v>1987</v>
      </c>
      <c r="D106" s="43" t="s">
        <v>2614</v>
      </c>
      <c r="E106">
        <f t="shared" si="2"/>
        <v>1</v>
      </c>
    </row>
    <row r="107" spans="1:5" hidden="1" x14ac:dyDescent="0.35">
      <c r="A107" s="1" t="s">
        <v>859</v>
      </c>
      <c r="B107" s="1" t="s">
        <v>1540</v>
      </c>
      <c r="C107" s="43" t="s">
        <v>2639</v>
      </c>
      <c r="D107" s="43" t="s">
        <v>2615</v>
      </c>
      <c r="E107">
        <f t="shared" si="2"/>
        <v>1</v>
      </c>
    </row>
    <row r="108" spans="1:5" hidden="1" x14ac:dyDescent="0.35">
      <c r="A108" s="1" t="s">
        <v>859</v>
      </c>
      <c r="B108" s="1" t="s">
        <v>286</v>
      </c>
      <c r="C108" s="43" t="s">
        <v>1989</v>
      </c>
      <c r="D108" s="43" t="s">
        <v>2614</v>
      </c>
      <c r="E108">
        <f t="shared" si="2"/>
        <v>1</v>
      </c>
    </row>
    <row r="109" spans="1:5" hidden="1" x14ac:dyDescent="0.35">
      <c r="A109" s="1" t="s">
        <v>859</v>
      </c>
      <c r="B109" s="1" t="s">
        <v>1829</v>
      </c>
      <c r="C109" s="43" t="s">
        <v>1990</v>
      </c>
      <c r="D109" s="43" t="s">
        <v>2614</v>
      </c>
      <c r="E109">
        <f t="shared" si="2"/>
        <v>1</v>
      </c>
    </row>
    <row r="110" spans="1:5" ht="29" hidden="1" x14ac:dyDescent="0.35">
      <c r="A110" s="1" t="s">
        <v>859</v>
      </c>
      <c r="B110" s="1" t="s">
        <v>580</v>
      </c>
      <c r="C110" s="43" t="s">
        <v>2479</v>
      </c>
      <c r="D110" s="43" t="s">
        <v>2615</v>
      </c>
      <c r="E110">
        <f t="shared" si="2"/>
        <v>1</v>
      </c>
    </row>
    <row r="111" spans="1:5" hidden="1" x14ac:dyDescent="0.35">
      <c r="A111" s="1" t="s">
        <v>859</v>
      </c>
      <c r="B111" s="1" t="s">
        <v>531</v>
      </c>
      <c r="C111" s="43" t="s">
        <v>1994</v>
      </c>
      <c r="D111" s="43" t="s">
        <v>2614</v>
      </c>
      <c r="E111">
        <f t="shared" si="2"/>
        <v>1</v>
      </c>
    </row>
    <row r="112" spans="1:5" hidden="1" x14ac:dyDescent="0.35">
      <c r="A112" s="1" t="s">
        <v>859</v>
      </c>
      <c r="B112" s="1" t="s">
        <v>342</v>
      </c>
      <c r="C112" s="43" t="s">
        <v>2640</v>
      </c>
      <c r="D112" s="43" t="s">
        <v>2615</v>
      </c>
      <c r="E112">
        <f t="shared" si="2"/>
        <v>1</v>
      </c>
    </row>
    <row r="113" spans="1:5" hidden="1" x14ac:dyDescent="0.35">
      <c r="A113" s="1" t="s">
        <v>859</v>
      </c>
      <c r="B113" s="1" t="s">
        <v>341</v>
      </c>
      <c r="C113" s="43" t="s">
        <v>2641</v>
      </c>
      <c r="D113" s="43" t="s">
        <v>2615</v>
      </c>
      <c r="E113">
        <f t="shared" si="2"/>
        <v>1</v>
      </c>
    </row>
    <row r="114" spans="1:5" ht="29" hidden="1" x14ac:dyDescent="0.35">
      <c r="A114" s="1" t="s">
        <v>859</v>
      </c>
      <c r="B114" s="1" t="s">
        <v>444</v>
      </c>
      <c r="C114" s="43" t="s">
        <v>2699</v>
      </c>
      <c r="D114" s="43" t="s">
        <v>2614</v>
      </c>
      <c r="E114">
        <f t="shared" si="2"/>
        <v>1</v>
      </c>
    </row>
    <row r="115" spans="1:5" hidden="1" x14ac:dyDescent="0.35">
      <c r="A115" s="1" t="s">
        <v>859</v>
      </c>
      <c r="B115" s="1" t="s">
        <v>452</v>
      </c>
      <c r="C115" s="43" t="s">
        <v>1998</v>
      </c>
      <c r="D115" s="43" t="s">
        <v>2614</v>
      </c>
      <c r="E115">
        <f t="shared" si="2"/>
        <v>1</v>
      </c>
    </row>
    <row r="116" spans="1:5" hidden="1" x14ac:dyDescent="0.35">
      <c r="A116" s="1" t="s">
        <v>859</v>
      </c>
      <c r="B116" s="1" t="s">
        <v>448</v>
      </c>
      <c r="C116" s="43" t="s">
        <v>1999</v>
      </c>
      <c r="D116" s="43" t="s">
        <v>2614</v>
      </c>
      <c r="E116">
        <f t="shared" si="2"/>
        <v>1</v>
      </c>
    </row>
    <row r="117" spans="1:5" ht="29" hidden="1" x14ac:dyDescent="0.35">
      <c r="A117" s="1" t="s">
        <v>859</v>
      </c>
      <c r="B117" s="1" t="s">
        <v>416</v>
      </c>
      <c r="C117" s="43" t="s">
        <v>2480</v>
      </c>
      <c r="D117" s="43" t="s">
        <v>2614</v>
      </c>
      <c r="E117">
        <f t="shared" si="2"/>
        <v>1</v>
      </c>
    </row>
    <row r="118" spans="1:5" hidden="1" x14ac:dyDescent="0.35">
      <c r="A118" s="1" t="s">
        <v>859</v>
      </c>
      <c r="B118" s="1" t="s">
        <v>427</v>
      </c>
      <c r="C118" s="43" t="s">
        <v>2516</v>
      </c>
      <c r="D118" s="43" t="s">
        <v>2614</v>
      </c>
      <c r="E118">
        <f t="shared" si="2"/>
        <v>1</v>
      </c>
    </row>
    <row r="119" spans="1:5" ht="29" hidden="1" x14ac:dyDescent="0.35">
      <c r="A119" s="1" t="s">
        <v>859</v>
      </c>
      <c r="B119" s="1" t="s">
        <v>460</v>
      </c>
      <c r="C119" s="43" t="s">
        <v>2002</v>
      </c>
      <c r="D119" s="43" t="s">
        <v>2614</v>
      </c>
      <c r="E119">
        <f t="shared" si="2"/>
        <v>1</v>
      </c>
    </row>
    <row r="120" spans="1:5" ht="29" hidden="1" x14ac:dyDescent="0.35">
      <c r="A120" s="1" t="s">
        <v>859</v>
      </c>
      <c r="B120" s="1" t="s">
        <v>456</v>
      </c>
      <c r="C120" s="43" t="s">
        <v>2003</v>
      </c>
      <c r="D120" s="43" t="s">
        <v>2614</v>
      </c>
      <c r="E120">
        <f t="shared" si="2"/>
        <v>1</v>
      </c>
    </row>
    <row r="121" spans="1:5" hidden="1" x14ac:dyDescent="0.35">
      <c r="A121" s="1" t="s">
        <v>859</v>
      </c>
      <c r="B121" s="1" t="s">
        <v>464</v>
      </c>
      <c r="C121" s="43" t="s">
        <v>2004</v>
      </c>
      <c r="D121" s="43" t="s">
        <v>2614</v>
      </c>
      <c r="E121">
        <f t="shared" si="2"/>
        <v>1</v>
      </c>
    </row>
    <row r="122" spans="1:5" ht="29" hidden="1" x14ac:dyDescent="0.35">
      <c r="A122" s="1" t="s">
        <v>859</v>
      </c>
      <c r="B122" s="1" t="s">
        <v>423</v>
      </c>
      <c r="C122" s="43" t="s">
        <v>2481</v>
      </c>
      <c r="D122" s="43" t="s">
        <v>2614</v>
      </c>
      <c r="E122">
        <f t="shared" si="2"/>
        <v>1</v>
      </c>
    </row>
    <row r="123" spans="1:5" ht="29" hidden="1" x14ac:dyDescent="0.35">
      <c r="A123" s="1" t="s">
        <v>859</v>
      </c>
      <c r="B123" s="1" t="s">
        <v>435</v>
      </c>
      <c r="C123" s="43" t="s">
        <v>2517</v>
      </c>
      <c r="D123" s="43" t="s">
        <v>2614</v>
      </c>
      <c r="E123">
        <f t="shared" si="2"/>
        <v>1</v>
      </c>
    </row>
    <row r="124" spans="1:5" ht="29" hidden="1" x14ac:dyDescent="0.35">
      <c r="A124" s="1" t="s">
        <v>859</v>
      </c>
      <c r="B124" s="1" t="s">
        <v>468</v>
      </c>
      <c r="C124" s="43" t="s">
        <v>2700</v>
      </c>
      <c r="D124" s="43" t="s">
        <v>2614</v>
      </c>
      <c r="E124">
        <f t="shared" si="2"/>
        <v>1</v>
      </c>
    </row>
    <row r="125" spans="1:5" ht="29" hidden="1" x14ac:dyDescent="0.35">
      <c r="A125" s="1" t="s">
        <v>859</v>
      </c>
      <c r="B125" s="1" t="s">
        <v>472</v>
      </c>
      <c r="C125" s="43" t="s">
        <v>2701</v>
      </c>
      <c r="D125" s="43" t="s">
        <v>2614</v>
      </c>
      <c r="E125">
        <f t="shared" si="2"/>
        <v>1</v>
      </c>
    </row>
    <row r="126" spans="1:5" hidden="1" x14ac:dyDescent="0.35">
      <c r="A126" s="1" t="s">
        <v>859</v>
      </c>
      <c r="B126" s="1" t="s">
        <v>480</v>
      </c>
      <c r="C126" s="43" t="s">
        <v>2009</v>
      </c>
      <c r="D126" s="43" t="s">
        <v>2614</v>
      </c>
      <c r="E126">
        <f t="shared" si="2"/>
        <v>1</v>
      </c>
    </row>
    <row r="127" spans="1:5" hidden="1" x14ac:dyDescent="0.35">
      <c r="A127" s="1" t="s">
        <v>859</v>
      </c>
      <c r="B127" s="1" t="s">
        <v>476</v>
      </c>
      <c r="C127" s="43" t="s">
        <v>2010</v>
      </c>
      <c r="D127" s="43" t="s">
        <v>2614</v>
      </c>
      <c r="E127">
        <f t="shared" si="2"/>
        <v>1</v>
      </c>
    </row>
    <row r="128" spans="1:5" ht="29" hidden="1" x14ac:dyDescent="0.35">
      <c r="A128" s="1" t="s">
        <v>859</v>
      </c>
      <c r="B128" s="1" t="s">
        <v>419</v>
      </c>
      <c r="C128" s="43" t="s">
        <v>2482</v>
      </c>
      <c r="D128" s="43" t="s">
        <v>2614</v>
      </c>
      <c r="E128">
        <f t="shared" si="2"/>
        <v>1</v>
      </c>
    </row>
    <row r="129" spans="1:5" hidden="1" x14ac:dyDescent="0.35">
      <c r="A129" s="1" t="s">
        <v>859</v>
      </c>
      <c r="B129" s="1" t="s">
        <v>431</v>
      </c>
      <c r="C129" s="43" t="s">
        <v>2504</v>
      </c>
      <c r="D129" s="43" t="s">
        <v>2614</v>
      </c>
      <c r="E129">
        <f t="shared" si="2"/>
        <v>1</v>
      </c>
    </row>
    <row r="130" spans="1:5" ht="29" hidden="1" x14ac:dyDescent="0.35">
      <c r="A130" s="1" t="s">
        <v>859</v>
      </c>
      <c r="B130" s="1" t="s">
        <v>505</v>
      </c>
      <c r="C130" s="43" t="s">
        <v>2473</v>
      </c>
      <c r="D130" s="43" t="s">
        <v>2614</v>
      </c>
      <c r="E130">
        <f t="shared" si="2"/>
        <v>1</v>
      </c>
    </row>
    <row r="131" spans="1:5" ht="29" hidden="1" x14ac:dyDescent="0.35">
      <c r="A131" s="1" t="s">
        <v>859</v>
      </c>
      <c r="B131" s="1" t="s">
        <v>488</v>
      </c>
      <c r="C131" s="43" t="s">
        <v>2014</v>
      </c>
      <c r="D131" s="43" t="s">
        <v>2614</v>
      </c>
      <c r="E131">
        <f t="shared" si="2"/>
        <v>1</v>
      </c>
    </row>
    <row r="132" spans="1:5" ht="29" hidden="1" x14ac:dyDescent="0.35">
      <c r="A132" s="1" t="s">
        <v>859</v>
      </c>
      <c r="B132" s="1" t="s">
        <v>484</v>
      </c>
      <c r="C132" s="43" t="s">
        <v>2015</v>
      </c>
      <c r="D132" s="43" t="s">
        <v>2614</v>
      </c>
      <c r="E132">
        <f t="shared" si="2"/>
        <v>1</v>
      </c>
    </row>
    <row r="133" spans="1:5" hidden="1" x14ac:dyDescent="0.35">
      <c r="A133" s="1" t="s">
        <v>859</v>
      </c>
      <c r="B133" s="1" t="s">
        <v>492</v>
      </c>
      <c r="C133" s="43" t="s">
        <v>2016</v>
      </c>
      <c r="D133" s="43" t="s">
        <v>2614</v>
      </c>
      <c r="E133">
        <f t="shared" si="2"/>
        <v>1</v>
      </c>
    </row>
    <row r="134" spans="1:5" ht="29" hidden="1" x14ac:dyDescent="0.35">
      <c r="A134" s="1" t="s">
        <v>859</v>
      </c>
      <c r="B134" s="1" t="s">
        <v>501</v>
      </c>
      <c r="C134" s="43" t="s">
        <v>2017</v>
      </c>
      <c r="D134" s="43" t="s">
        <v>2614</v>
      </c>
      <c r="E134">
        <f t="shared" si="2"/>
        <v>1</v>
      </c>
    </row>
    <row r="135" spans="1:5" hidden="1" x14ac:dyDescent="0.35">
      <c r="A135" s="1" t="s">
        <v>776</v>
      </c>
      <c r="B135" s="1" t="s">
        <v>164</v>
      </c>
      <c r="C135" s="1" t="s">
        <v>1316</v>
      </c>
      <c r="D135" s="43" t="s">
        <v>2615</v>
      </c>
      <c r="E135">
        <f t="shared" si="2"/>
        <v>1</v>
      </c>
    </row>
    <row r="136" spans="1:5" ht="29" hidden="1" x14ac:dyDescent="0.35">
      <c r="A136" s="1" t="s">
        <v>859</v>
      </c>
      <c r="B136" s="1" t="s">
        <v>494</v>
      </c>
      <c r="C136" s="43" t="s">
        <v>2681</v>
      </c>
      <c r="D136" s="43" t="s">
        <v>2614</v>
      </c>
      <c r="E136">
        <f t="shared" si="2"/>
        <v>1</v>
      </c>
    </row>
    <row r="137" spans="1:5" ht="43.5" hidden="1" x14ac:dyDescent="0.35">
      <c r="A137" s="1" t="s">
        <v>859</v>
      </c>
      <c r="B137" s="1" t="s">
        <v>1838</v>
      </c>
      <c r="C137" s="43" t="s">
        <v>2583</v>
      </c>
      <c r="D137" s="43" t="s">
        <v>2614</v>
      </c>
      <c r="E137">
        <f t="shared" si="2"/>
        <v>1</v>
      </c>
    </row>
    <row r="138" spans="1:5" ht="43.5" hidden="1" x14ac:dyDescent="0.35">
      <c r="A138" s="1" t="s">
        <v>859</v>
      </c>
      <c r="B138" s="1" t="s">
        <v>1839</v>
      </c>
      <c r="C138" s="43" t="s">
        <v>2483</v>
      </c>
      <c r="D138" s="43" t="s">
        <v>2614</v>
      </c>
      <c r="E138">
        <f t="shared" ref="E138:E201" si="3">COUNTIF(C:C,C138)</f>
        <v>1</v>
      </c>
    </row>
    <row r="139" spans="1:5" ht="29" hidden="1" x14ac:dyDescent="0.35">
      <c r="A139" s="1" t="s">
        <v>859</v>
      </c>
      <c r="B139" s="1" t="s">
        <v>1840</v>
      </c>
      <c r="C139" s="43" t="s">
        <v>2484</v>
      </c>
      <c r="D139" s="43" t="s">
        <v>2614</v>
      </c>
      <c r="E139">
        <f t="shared" si="3"/>
        <v>1</v>
      </c>
    </row>
    <row r="140" spans="1:5" ht="43.5" hidden="1" x14ac:dyDescent="0.35">
      <c r="A140" s="1" t="s">
        <v>859</v>
      </c>
      <c r="B140" s="1" t="s">
        <v>1841</v>
      </c>
      <c r="C140" s="43" t="s">
        <v>2485</v>
      </c>
      <c r="D140" s="43" t="s">
        <v>2614</v>
      </c>
      <c r="E140">
        <f t="shared" si="3"/>
        <v>1</v>
      </c>
    </row>
    <row r="141" spans="1:5" ht="29" hidden="1" x14ac:dyDescent="0.35">
      <c r="A141" s="1" t="s">
        <v>859</v>
      </c>
      <c r="B141" s="1" t="s">
        <v>1842</v>
      </c>
      <c r="C141" s="43" t="s">
        <v>2486</v>
      </c>
      <c r="D141" s="43" t="s">
        <v>2614</v>
      </c>
      <c r="E141">
        <f t="shared" si="3"/>
        <v>1</v>
      </c>
    </row>
    <row r="142" spans="1:5" ht="29" hidden="1" x14ac:dyDescent="0.35">
      <c r="A142" s="1" t="s">
        <v>859</v>
      </c>
      <c r="B142" s="1" t="s">
        <v>1843</v>
      </c>
      <c r="C142" s="43" t="s">
        <v>2487</v>
      </c>
      <c r="D142" s="43" t="s">
        <v>2614</v>
      </c>
      <c r="E142">
        <f t="shared" si="3"/>
        <v>1</v>
      </c>
    </row>
    <row r="143" spans="1:5" hidden="1" x14ac:dyDescent="0.35">
      <c r="A143" s="1" t="s">
        <v>859</v>
      </c>
      <c r="B143" s="1" t="s">
        <v>1844</v>
      </c>
      <c r="C143" s="43" t="s">
        <v>2488</v>
      </c>
      <c r="D143" s="43" t="s">
        <v>2614</v>
      </c>
      <c r="E143">
        <f t="shared" si="3"/>
        <v>1</v>
      </c>
    </row>
    <row r="144" spans="1:5" ht="29" hidden="1" x14ac:dyDescent="0.35">
      <c r="A144" s="1" t="s">
        <v>859</v>
      </c>
      <c r="B144" s="1" t="s">
        <v>1845</v>
      </c>
      <c r="C144" s="43" t="s">
        <v>2682</v>
      </c>
      <c r="D144" s="43" t="s">
        <v>2614</v>
      </c>
      <c r="E144">
        <f t="shared" si="3"/>
        <v>1</v>
      </c>
    </row>
    <row r="145" spans="1:5" ht="43.5" hidden="1" x14ac:dyDescent="0.35">
      <c r="A145" s="1" t="s">
        <v>859</v>
      </c>
      <c r="B145" s="1" t="s">
        <v>1846</v>
      </c>
      <c r="C145" s="43" t="s">
        <v>2714</v>
      </c>
      <c r="D145" s="43" t="s">
        <v>2614</v>
      </c>
      <c r="E145">
        <f t="shared" si="3"/>
        <v>1</v>
      </c>
    </row>
    <row r="146" spans="1:5" ht="29" hidden="1" x14ac:dyDescent="0.35">
      <c r="A146" s="1" t="s">
        <v>859</v>
      </c>
      <c r="B146" s="1" t="s">
        <v>495</v>
      </c>
      <c r="C146" s="43" t="s">
        <v>2715</v>
      </c>
      <c r="D146" s="43" t="s">
        <v>2614</v>
      </c>
      <c r="E146">
        <f t="shared" si="3"/>
        <v>1</v>
      </c>
    </row>
    <row r="147" spans="1:5" ht="43.5" hidden="1" x14ac:dyDescent="0.35">
      <c r="A147" s="1" t="s">
        <v>859</v>
      </c>
      <c r="B147" s="1" t="s">
        <v>1847</v>
      </c>
      <c r="C147" s="43" t="s">
        <v>2683</v>
      </c>
      <c r="D147" s="43" t="s">
        <v>2614</v>
      </c>
      <c r="E147">
        <f t="shared" si="3"/>
        <v>1</v>
      </c>
    </row>
    <row r="148" spans="1:5" ht="29" hidden="1" x14ac:dyDescent="0.35">
      <c r="A148" s="1" t="s">
        <v>859</v>
      </c>
      <c r="B148" s="1" t="s">
        <v>400</v>
      </c>
      <c r="C148" s="43" t="s">
        <v>2677</v>
      </c>
      <c r="D148" s="43" t="s">
        <v>2614</v>
      </c>
      <c r="E148">
        <f t="shared" si="3"/>
        <v>1</v>
      </c>
    </row>
    <row r="149" spans="1:5" ht="29" hidden="1" x14ac:dyDescent="0.35">
      <c r="A149" s="1" t="s">
        <v>859</v>
      </c>
      <c r="B149" s="1" t="s">
        <v>1849</v>
      </c>
      <c r="C149" s="43" t="s">
        <v>2518</v>
      </c>
      <c r="D149" s="43" t="s">
        <v>2614</v>
      </c>
      <c r="E149">
        <f t="shared" si="3"/>
        <v>1</v>
      </c>
    </row>
    <row r="150" spans="1:5" ht="29" hidden="1" x14ac:dyDescent="0.35">
      <c r="A150" s="1" t="s">
        <v>859</v>
      </c>
      <c r="B150" s="1" t="s">
        <v>401</v>
      </c>
      <c r="C150" s="43" t="s">
        <v>2546</v>
      </c>
      <c r="D150" s="43" t="s">
        <v>2614</v>
      </c>
      <c r="E150">
        <f t="shared" si="3"/>
        <v>1</v>
      </c>
    </row>
    <row r="151" spans="1:5" ht="29" hidden="1" x14ac:dyDescent="0.35">
      <c r="A151" s="1" t="s">
        <v>859</v>
      </c>
      <c r="B151" s="1" t="s">
        <v>1850</v>
      </c>
      <c r="C151" s="43" t="s">
        <v>2684</v>
      </c>
      <c r="D151" s="43" t="s">
        <v>2614</v>
      </c>
      <c r="E151">
        <f t="shared" si="3"/>
        <v>1</v>
      </c>
    </row>
    <row r="152" spans="1:5" hidden="1" x14ac:dyDescent="0.35">
      <c r="A152" s="1" t="s">
        <v>859</v>
      </c>
      <c r="B152" s="1" t="s">
        <v>1851</v>
      </c>
      <c r="C152" s="43" t="s">
        <v>2505</v>
      </c>
      <c r="D152" s="43" t="s">
        <v>2614</v>
      </c>
      <c r="E152">
        <f t="shared" si="3"/>
        <v>1</v>
      </c>
    </row>
    <row r="153" spans="1:5" hidden="1" x14ac:dyDescent="0.35">
      <c r="A153" s="1" t="s">
        <v>859</v>
      </c>
      <c r="B153" s="1" t="s">
        <v>567</v>
      </c>
      <c r="C153" s="43" t="s">
        <v>2037</v>
      </c>
      <c r="D153" s="43" t="s">
        <v>2614</v>
      </c>
      <c r="E153">
        <f t="shared" si="3"/>
        <v>1</v>
      </c>
    </row>
    <row r="154" spans="1:5" hidden="1" x14ac:dyDescent="0.35">
      <c r="A154" s="1" t="s">
        <v>859</v>
      </c>
      <c r="B154" s="1" t="s">
        <v>581</v>
      </c>
      <c r="C154" s="43" t="s">
        <v>2038</v>
      </c>
      <c r="D154" s="43" t="s">
        <v>2614</v>
      </c>
      <c r="E154">
        <f t="shared" si="3"/>
        <v>1</v>
      </c>
    </row>
    <row r="155" spans="1:5" hidden="1" x14ac:dyDescent="0.35">
      <c r="A155" s="1" t="s">
        <v>859</v>
      </c>
      <c r="B155" s="1" t="s">
        <v>1853</v>
      </c>
      <c r="C155" s="43" t="s">
        <v>2039</v>
      </c>
      <c r="D155" s="43" t="s">
        <v>2614</v>
      </c>
      <c r="E155">
        <f t="shared" si="3"/>
        <v>1</v>
      </c>
    </row>
    <row r="156" spans="1:5" hidden="1" x14ac:dyDescent="0.35">
      <c r="A156" s="1" t="s">
        <v>776</v>
      </c>
      <c r="B156" s="1" t="s">
        <v>1269</v>
      </c>
      <c r="C156" s="1" t="s">
        <v>1270</v>
      </c>
      <c r="D156" s="1" t="s">
        <v>2614</v>
      </c>
      <c r="E156">
        <f t="shared" si="3"/>
        <v>2</v>
      </c>
    </row>
    <row r="157" spans="1:5" hidden="1" x14ac:dyDescent="0.35">
      <c r="A157" s="1" t="s">
        <v>859</v>
      </c>
      <c r="B157" s="1" t="s">
        <v>1855</v>
      </c>
      <c r="C157" s="43" t="s">
        <v>2040</v>
      </c>
      <c r="D157" s="43" t="s">
        <v>2614</v>
      </c>
      <c r="E157">
        <f t="shared" si="3"/>
        <v>1</v>
      </c>
    </row>
    <row r="158" spans="1:5" hidden="1" x14ac:dyDescent="0.35">
      <c r="A158" s="1" t="s">
        <v>859</v>
      </c>
      <c r="B158" s="1" t="s">
        <v>1856</v>
      </c>
      <c r="C158" s="43" t="s">
        <v>402</v>
      </c>
      <c r="D158" s="43" t="s">
        <v>2614</v>
      </c>
      <c r="E158">
        <f t="shared" si="3"/>
        <v>1</v>
      </c>
    </row>
    <row r="159" spans="1:5" hidden="1" x14ac:dyDescent="0.35">
      <c r="A159" s="1" t="s">
        <v>859</v>
      </c>
      <c r="B159" s="1" t="s">
        <v>574</v>
      </c>
      <c r="C159" s="43" t="s">
        <v>2041</v>
      </c>
      <c r="D159" s="43" t="s">
        <v>2614</v>
      </c>
      <c r="E159">
        <f t="shared" si="3"/>
        <v>1</v>
      </c>
    </row>
    <row r="160" spans="1:5" ht="43.5" hidden="1" x14ac:dyDescent="0.35">
      <c r="A160" s="1" t="s">
        <v>859</v>
      </c>
      <c r="B160" s="1" t="s">
        <v>575</v>
      </c>
      <c r="C160" s="43" t="s">
        <v>2685</v>
      </c>
      <c r="D160" s="43" t="s">
        <v>2614</v>
      </c>
      <c r="E160">
        <f t="shared" si="3"/>
        <v>1</v>
      </c>
    </row>
    <row r="161" spans="1:5" hidden="1" x14ac:dyDescent="0.35">
      <c r="A161" s="1" t="s">
        <v>859</v>
      </c>
      <c r="B161" s="1" t="s">
        <v>565</v>
      </c>
      <c r="C161" s="43" t="s">
        <v>2043</v>
      </c>
      <c r="D161" s="43" t="s">
        <v>2614</v>
      </c>
      <c r="E161">
        <f t="shared" si="3"/>
        <v>1</v>
      </c>
    </row>
    <row r="162" spans="1:5" hidden="1" x14ac:dyDescent="0.35">
      <c r="A162" s="1" t="s">
        <v>859</v>
      </c>
      <c r="B162" s="1" t="s">
        <v>564</v>
      </c>
      <c r="C162" s="43" t="s">
        <v>2044</v>
      </c>
      <c r="D162" s="43" t="s">
        <v>2614</v>
      </c>
      <c r="E162">
        <f t="shared" si="3"/>
        <v>1</v>
      </c>
    </row>
    <row r="163" spans="1:5" hidden="1" x14ac:dyDescent="0.35">
      <c r="A163" s="1" t="s">
        <v>859</v>
      </c>
      <c r="B163" s="1" t="s">
        <v>563</v>
      </c>
      <c r="C163" s="43" t="s">
        <v>2045</v>
      </c>
      <c r="D163" s="43" t="s">
        <v>2614</v>
      </c>
      <c r="E163">
        <f t="shared" si="3"/>
        <v>1</v>
      </c>
    </row>
    <row r="164" spans="1:5" hidden="1" x14ac:dyDescent="0.35">
      <c r="A164" s="1" t="s">
        <v>859</v>
      </c>
      <c r="B164" s="1" t="s">
        <v>1536</v>
      </c>
      <c r="C164" s="43" t="s">
        <v>2046</v>
      </c>
      <c r="D164" s="43" t="s">
        <v>2614</v>
      </c>
      <c r="E164">
        <f t="shared" si="3"/>
        <v>1</v>
      </c>
    </row>
    <row r="165" spans="1:5" ht="43.5" hidden="1" x14ac:dyDescent="0.35">
      <c r="A165" s="1" t="s">
        <v>859</v>
      </c>
      <c r="B165" s="1" t="s">
        <v>438</v>
      </c>
      <c r="C165" s="43" t="s">
        <v>2702</v>
      </c>
      <c r="D165" s="43" t="s">
        <v>2614</v>
      </c>
      <c r="E165">
        <f t="shared" si="3"/>
        <v>1</v>
      </c>
    </row>
    <row r="166" spans="1:5" ht="43.5" hidden="1" x14ac:dyDescent="0.35">
      <c r="A166" s="1" t="s">
        <v>859</v>
      </c>
      <c r="B166" s="1" t="s">
        <v>442</v>
      </c>
      <c r="C166" s="43" t="s">
        <v>2703</v>
      </c>
      <c r="D166" s="43" t="s">
        <v>2614</v>
      </c>
      <c r="E166">
        <f t="shared" si="3"/>
        <v>1</v>
      </c>
    </row>
    <row r="167" spans="1:5" ht="29" hidden="1" x14ac:dyDescent="0.35">
      <c r="A167" s="1" t="s">
        <v>859</v>
      </c>
      <c r="B167" s="1" t="s">
        <v>450</v>
      </c>
      <c r="C167" s="43" t="s">
        <v>2519</v>
      </c>
      <c r="D167" s="43" t="s">
        <v>2614</v>
      </c>
      <c r="E167">
        <f t="shared" si="3"/>
        <v>1</v>
      </c>
    </row>
    <row r="168" spans="1:5" ht="29" hidden="1" x14ac:dyDescent="0.35">
      <c r="A168" s="1" t="s">
        <v>859</v>
      </c>
      <c r="B168" s="1" t="s">
        <v>446</v>
      </c>
      <c r="C168" s="43" t="s">
        <v>2520</v>
      </c>
      <c r="D168" s="43" t="s">
        <v>2614</v>
      </c>
      <c r="E168">
        <f t="shared" si="3"/>
        <v>1</v>
      </c>
    </row>
    <row r="169" spans="1:5" hidden="1" x14ac:dyDescent="0.35">
      <c r="A169" s="1" t="s">
        <v>859</v>
      </c>
      <c r="B169" s="1" t="s">
        <v>414</v>
      </c>
      <c r="C169" s="43" t="s">
        <v>2521</v>
      </c>
      <c r="D169" s="43" t="s">
        <v>2614</v>
      </c>
      <c r="E169">
        <f t="shared" si="3"/>
        <v>1</v>
      </c>
    </row>
    <row r="170" spans="1:5" hidden="1" x14ac:dyDescent="0.35">
      <c r="A170" s="1" t="s">
        <v>859</v>
      </c>
      <c r="B170" s="1" t="s">
        <v>425</v>
      </c>
      <c r="C170" s="43" t="s">
        <v>2506</v>
      </c>
      <c r="D170" s="43" t="s">
        <v>2614</v>
      </c>
      <c r="E170">
        <f t="shared" si="3"/>
        <v>1</v>
      </c>
    </row>
    <row r="171" spans="1:5" ht="43.5" hidden="1" x14ac:dyDescent="0.35">
      <c r="A171" s="1" t="s">
        <v>859</v>
      </c>
      <c r="B171" s="1" t="s">
        <v>458</v>
      </c>
      <c r="C171" s="43" t="s">
        <v>2522</v>
      </c>
      <c r="D171" s="43" t="s">
        <v>2614</v>
      </c>
      <c r="E171">
        <f t="shared" si="3"/>
        <v>1</v>
      </c>
    </row>
    <row r="172" spans="1:5" ht="43.5" hidden="1" x14ac:dyDescent="0.35">
      <c r="A172" s="1" t="s">
        <v>859</v>
      </c>
      <c r="B172" s="1" t="s">
        <v>454</v>
      </c>
      <c r="C172" s="43" t="s">
        <v>2523</v>
      </c>
      <c r="D172" s="43" t="s">
        <v>2614</v>
      </c>
      <c r="E172">
        <f t="shared" si="3"/>
        <v>1</v>
      </c>
    </row>
    <row r="173" spans="1:5" ht="29" hidden="1" x14ac:dyDescent="0.35">
      <c r="A173" s="1" t="s">
        <v>859</v>
      </c>
      <c r="B173" s="1" t="s">
        <v>462</v>
      </c>
      <c r="C173" s="43" t="s">
        <v>2524</v>
      </c>
      <c r="D173" s="43" t="s">
        <v>2614</v>
      </c>
      <c r="E173">
        <f t="shared" si="3"/>
        <v>1</v>
      </c>
    </row>
    <row r="174" spans="1:5" hidden="1" x14ac:dyDescent="0.35">
      <c r="A174" s="1" t="s">
        <v>859</v>
      </c>
      <c r="B174" s="1" t="s">
        <v>1539</v>
      </c>
      <c r="C174" s="43" t="s">
        <v>1488</v>
      </c>
      <c r="D174" s="43" t="s">
        <v>2614</v>
      </c>
      <c r="E174">
        <f t="shared" si="3"/>
        <v>1</v>
      </c>
    </row>
    <row r="175" spans="1:5" ht="29" hidden="1" x14ac:dyDescent="0.35">
      <c r="A175" s="1" t="s">
        <v>859</v>
      </c>
      <c r="B175" s="1" t="s">
        <v>288</v>
      </c>
      <c r="C175" s="43" t="s">
        <v>2582</v>
      </c>
      <c r="D175" s="43" t="s">
        <v>2614</v>
      </c>
      <c r="E175">
        <f t="shared" si="3"/>
        <v>1</v>
      </c>
    </row>
    <row r="176" spans="1:5" hidden="1" x14ac:dyDescent="0.35">
      <c r="A176" s="1" t="s">
        <v>859</v>
      </c>
      <c r="B176" s="1" t="s">
        <v>511</v>
      </c>
      <c r="C176" s="43" t="s">
        <v>2056</v>
      </c>
      <c r="D176" s="43" t="s">
        <v>2614</v>
      </c>
      <c r="E176">
        <f t="shared" si="3"/>
        <v>1</v>
      </c>
    </row>
    <row r="177" spans="1:5" hidden="1" x14ac:dyDescent="0.35">
      <c r="A177" s="1" t="s">
        <v>859</v>
      </c>
      <c r="B177" s="1" t="s">
        <v>1863</v>
      </c>
      <c r="C177" s="43" t="s">
        <v>2057</v>
      </c>
      <c r="D177" s="43" t="s">
        <v>2614</v>
      </c>
      <c r="E177">
        <f t="shared" si="3"/>
        <v>1</v>
      </c>
    </row>
    <row r="178" spans="1:5" ht="29" hidden="1" x14ac:dyDescent="0.35">
      <c r="A178" s="1" t="s">
        <v>859</v>
      </c>
      <c r="B178" s="1" t="s">
        <v>576</v>
      </c>
      <c r="C178" s="43" t="s">
        <v>2686</v>
      </c>
      <c r="D178" s="43" t="s">
        <v>2614</v>
      </c>
      <c r="E178">
        <f t="shared" si="3"/>
        <v>1</v>
      </c>
    </row>
    <row r="179" spans="1:5" hidden="1" x14ac:dyDescent="0.35">
      <c r="A179" s="1" t="s">
        <v>859</v>
      </c>
      <c r="B179" s="1" t="s">
        <v>536</v>
      </c>
      <c r="C179" s="43" t="s">
        <v>2059</v>
      </c>
      <c r="D179" s="43" t="s">
        <v>2614</v>
      </c>
      <c r="E179">
        <f t="shared" si="3"/>
        <v>1</v>
      </c>
    </row>
    <row r="180" spans="1:5" ht="29" hidden="1" x14ac:dyDescent="0.35">
      <c r="A180" s="1" t="s">
        <v>859</v>
      </c>
      <c r="B180" s="1" t="s">
        <v>1865</v>
      </c>
      <c r="C180" s="43" t="s">
        <v>2060</v>
      </c>
      <c r="D180" s="43" t="s">
        <v>2614</v>
      </c>
      <c r="E180">
        <f t="shared" si="3"/>
        <v>1</v>
      </c>
    </row>
    <row r="181" spans="1:5" ht="29" hidden="1" x14ac:dyDescent="0.35">
      <c r="A181" s="1" t="s">
        <v>859</v>
      </c>
      <c r="B181" s="1" t="s">
        <v>600</v>
      </c>
      <c r="C181" s="43" t="s">
        <v>2061</v>
      </c>
      <c r="D181" s="43" t="s">
        <v>2614</v>
      </c>
      <c r="E181">
        <f t="shared" si="3"/>
        <v>1</v>
      </c>
    </row>
    <row r="182" spans="1:5" hidden="1" x14ac:dyDescent="0.35">
      <c r="A182" s="1" t="s">
        <v>859</v>
      </c>
      <c r="B182" s="1" t="s">
        <v>602</v>
      </c>
      <c r="C182" s="43" t="s">
        <v>2062</v>
      </c>
      <c r="D182" s="43" t="s">
        <v>2614</v>
      </c>
      <c r="E182">
        <f t="shared" si="3"/>
        <v>1</v>
      </c>
    </row>
    <row r="183" spans="1:5" ht="29" hidden="1" x14ac:dyDescent="0.35">
      <c r="A183" s="1" t="s">
        <v>859</v>
      </c>
      <c r="B183" s="1" t="s">
        <v>601</v>
      </c>
      <c r="C183" s="43" t="s">
        <v>2063</v>
      </c>
      <c r="D183" s="43" t="s">
        <v>2614</v>
      </c>
      <c r="E183">
        <f t="shared" si="3"/>
        <v>1</v>
      </c>
    </row>
    <row r="184" spans="1:5" hidden="1" x14ac:dyDescent="0.35">
      <c r="A184" s="1" t="s">
        <v>859</v>
      </c>
      <c r="B184" s="1" t="s">
        <v>603</v>
      </c>
      <c r="C184" s="43" t="s">
        <v>2064</v>
      </c>
      <c r="D184" s="43" t="s">
        <v>2614</v>
      </c>
      <c r="E184">
        <f t="shared" si="3"/>
        <v>1</v>
      </c>
    </row>
    <row r="185" spans="1:5" ht="29" hidden="1" x14ac:dyDescent="0.35">
      <c r="A185" s="1" t="s">
        <v>859</v>
      </c>
      <c r="B185" s="1" t="s">
        <v>1867</v>
      </c>
      <c r="C185" s="43" t="s">
        <v>2065</v>
      </c>
      <c r="D185" s="43" t="s">
        <v>2614</v>
      </c>
      <c r="E185">
        <f t="shared" si="3"/>
        <v>1</v>
      </c>
    </row>
    <row r="186" spans="1:5" hidden="1" x14ac:dyDescent="0.35">
      <c r="A186" s="1" t="s">
        <v>859</v>
      </c>
      <c r="B186" s="1" t="s">
        <v>515</v>
      </c>
      <c r="C186" s="43" t="s">
        <v>2066</v>
      </c>
      <c r="D186" s="43" t="s">
        <v>2614</v>
      </c>
      <c r="E186">
        <f t="shared" si="3"/>
        <v>1</v>
      </c>
    </row>
    <row r="187" spans="1:5" hidden="1" x14ac:dyDescent="0.35">
      <c r="A187" s="1" t="s">
        <v>859</v>
      </c>
      <c r="B187" s="1" t="s">
        <v>516</v>
      </c>
      <c r="C187" s="43" t="s">
        <v>2067</v>
      </c>
      <c r="D187" s="43" t="s">
        <v>2614</v>
      </c>
      <c r="E187">
        <f t="shared" si="3"/>
        <v>1</v>
      </c>
    </row>
    <row r="188" spans="1:5" hidden="1" x14ac:dyDescent="0.35">
      <c r="A188" s="1" t="s">
        <v>859</v>
      </c>
      <c r="B188" s="1" t="s">
        <v>517</v>
      </c>
      <c r="C188" s="43" t="s">
        <v>2068</v>
      </c>
      <c r="D188" s="43" t="s">
        <v>2614</v>
      </c>
      <c r="E188">
        <f t="shared" si="3"/>
        <v>1</v>
      </c>
    </row>
    <row r="189" spans="1:5" hidden="1" x14ac:dyDescent="0.35">
      <c r="A189" s="1" t="s">
        <v>859</v>
      </c>
      <c r="B189" s="1" t="s">
        <v>1869</v>
      </c>
      <c r="C189" s="43" t="s">
        <v>2069</v>
      </c>
      <c r="D189" s="43" t="s">
        <v>2614</v>
      </c>
      <c r="E189">
        <f t="shared" si="3"/>
        <v>1</v>
      </c>
    </row>
    <row r="190" spans="1:5" hidden="1" x14ac:dyDescent="0.35">
      <c r="A190" s="1" t="s">
        <v>859</v>
      </c>
      <c r="B190" s="1" t="s">
        <v>1535</v>
      </c>
      <c r="C190" s="43" t="s">
        <v>2070</v>
      </c>
      <c r="D190" s="43" t="s">
        <v>2615</v>
      </c>
      <c r="E190">
        <f t="shared" si="3"/>
        <v>1</v>
      </c>
    </row>
    <row r="191" spans="1:5" hidden="1" x14ac:dyDescent="0.35">
      <c r="A191" s="1" t="s">
        <v>859</v>
      </c>
      <c r="B191" s="1" t="s">
        <v>1537</v>
      </c>
      <c r="C191" s="43" t="s">
        <v>2071</v>
      </c>
      <c r="D191" s="43" t="s">
        <v>2614</v>
      </c>
      <c r="E191">
        <f t="shared" si="3"/>
        <v>1</v>
      </c>
    </row>
    <row r="192" spans="1:5" ht="29" hidden="1" x14ac:dyDescent="0.35">
      <c r="A192" s="1" t="s">
        <v>859</v>
      </c>
      <c r="B192" s="1" t="s">
        <v>422</v>
      </c>
      <c r="C192" s="43" t="s">
        <v>2525</v>
      </c>
      <c r="D192" s="43" t="s">
        <v>2614</v>
      </c>
      <c r="E192">
        <f t="shared" si="3"/>
        <v>1</v>
      </c>
    </row>
    <row r="193" spans="1:5" ht="29" hidden="1" x14ac:dyDescent="0.35">
      <c r="A193" s="1" t="s">
        <v>859</v>
      </c>
      <c r="B193" s="1" t="s">
        <v>434</v>
      </c>
      <c r="C193" s="43" t="s">
        <v>2507</v>
      </c>
      <c r="D193" s="43" t="s">
        <v>2614</v>
      </c>
      <c r="E193">
        <f t="shared" si="3"/>
        <v>1</v>
      </c>
    </row>
    <row r="194" spans="1:5" ht="29" hidden="1" x14ac:dyDescent="0.35">
      <c r="A194" s="1" t="s">
        <v>859</v>
      </c>
      <c r="B194" s="1" t="s">
        <v>421</v>
      </c>
      <c r="C194" s="43" t="s">
        <v>2526</v>
      </c>
      <c r="D194" s="43" t="s">
        <v>2614</v>
      </c>
      <c r="E194">
        <f t="shared" si="3"/>
        <v>1</v>
      </c>
    </row>
    <row r="195" spans="1:5" hidden="1" x14ac:dyDescent="0.35">
      <c r="A195" s="1" t="s">
        <v>859</v>
      </c>
      <c r="B195" s="1" t="s">
        <v>433</v>
      </c>
      <c r="C195" s="43" t="s">
        <v>2508</v>
      </c>
      <c r="D195" s="43" t="s">
        <v>2614</v>
      </c>
      <c r="E195">
        <f t="shared" si="3"/>
        <v>1</v>
      </c>
    </row>
    <row r="196" spans="1:5" ht="43.5" hidden="1" x14ac:dyDescent="0.35">
      <c r="A196" s="1" t="s">
        <v>859</v>
      </c>
      <c r="B196" s="1" t="s">
        <v>467</v>
      </c>
      <c r="C196" s="43" t="s">
        <v>2527</v>
      </c>
      <c r="D196" s="43" t="s">
        <v>2614</v>
      </c>
      <c r="E196">
        <f t="shared" si="3"/>
        <v>1</v>
      </c>
    </row>
    <row r="197" spans="1:5" ht="43.5" hidden="1" x14ac:dyDescent="0.35">
      <c r="A197" s="1" t="s">
        <v>859</v>
      </c>
      <c r="B197" s="1" t="s">
        <v>471</v>
      </c>
      <c r="C197" s="43" t="s">
        <v>2528</v>
      </c>
      <c r="D197" s="43" t="s">
        <v>2614</v>
      </c>
      <c r="E197">
        <f t="shared" si="3"/>
        <v>1</v>
      </c>
    </row>
    <row r="198" spans="1:5" ht="43.5" hidden="1" x14ac:dyDescent="0.35">
      <c r="A198" s="1" t="s">
        <v>859</v>
      </c>
      <c r="B198" s="1" t="s">
        <v>479</v>
      </c>
      <c r="C198" s="43" t="s">
        <v>2529</v>
      </c>
      <c r="D198" s="43" t="s">
        <v>2614</v>
      </c>
      <c r="E198">
        <f t="shared" si="3"/>
        <v>1</v>
      </c>
    </row>
    <row r="199" spans="1:5" ht="43.5" hidden="1" x14ac:dyDescent="0.35">
      <c r="A199" s="1" t="s">
        <v>859</v>
      </c>
      <c r="B199" s="1" t="s">
        <v>475</v>
      </c>
      <c r="C199" s="43" t="s">
        <v>2530</v>
      </c>
      <c r="D199" s="43" t="s">
        <v>2614</v>
      </c>
      <c r="E199">
        <f t="shared" si="3"/>
        <v>1</v>
      </c>
    </row>
    <row r="200" spans="1:5" ht="29" hidden="1" x14ac:dyDescent="0.35">
      <c r="A200" s="1" t="s">
        <v>859</v>
      </c>
      <c r="B200" s="1" t="s">
        <v>418</v>
      </c>
      <c r="C200" s="43" t="s">
        <v>2531</v>
      </c>
      <c r="D200" s="43" t="s">
        <v>2614</v>
      </c>
      <c r="E200">
        <f t="shared" si="3"/>
        <v>1</v>
      </c>
    </row>
    <row r="201" spans="1:5" ht="29" hidden="1" x14ac:dyDescent="0.35">
      <c r="A201" s="1" t="s">
        <v>859</v>
      </c>
      <c r="B201" s="1" t="s">
        <v>430</v>
      </c>
      <c r="C201" s="43" t="s">
        <v>2509</v>
      </c>
      <c r="D201" s="43" t="s">
        <v>2614</v>
      </c>
      <c r="E201">
        <f t="shared" si="3"/>
        <v>1</v>
      </c>
    </row>
    <row r="202" spans="1:5" ht="43.5" hidden="1" x14ac:dyDescent="0.35">
      <c r="A202" s="1" t="s">
        <v>859</v>
      </c>
      <c r="B202" s="1" t="s">
        <v>487</v>
      </c>
      <c r="C202" s="43" t="s">
        <v>2532</v>
      </c>
      <c r="D202" s="43" t="s">
        <v>2614</v>
      </c>
      <c r="E202">
        <f t="shared" ref="E202:E265" si="4">COUNTIF(C:C,C202)</f>
        <v>1</v>
      </c>
    </row>
    <row r="203" spans="1:5" ht="43.5" hidden="1" x14ac:dyDescent="0.35">
      <c r="A203" s="1" t="s">
        <v>859</v>
      </c>
      <c r="B203" s="1" t="s">
        <v>483</v>
      </c>
      <c r="C203" s="43" t="s">
        <v>2533</v>
      </c>
      <c r="D203" s="43" t="s">
        <v>2614</v>
      </c>
      <c r="E203">
        <f t="shared" si="4"/>
        <v>1</v>
      </c>
    </row>
    <row r="204" spans="1:5" ht="43.5" hidden="1" x14ac:dyDescent="0.35">
      <c r="A204" s="1" t="s">
        <v>859</v>
      </c>
      <c r="B204" s="1" t="s">
        <v>491</v>
      </c>
      <c r="C204" s="43" t="s">
        <v>2534</v>
      </c>
      <c r="D204" s="43" t="s">
        <v>2614</v>
      </c>
      <c r="E204">
        <f t="shared" si="4"/>
        <v>1</v>
      </c>
    </row>
    <row r="205" spans="1:5" ht="43.5" hidden="1" x14ac:dyDescent="0.35">
      <c r="A205" s="1" t="s">
        <v>859</v>
      </c>
      <c r="B205" s="1" t="s">
        <v>466</v>
      </c>
      <c r="C205" s="43" t="s">
        <v>2704</v>
      </c>
      <c r="D205" s="43" t="s">
        <v>2614</v>
      </c>
      <c r="E205">
        <f t="shared" si="4"/>
        <v>1</v>
      </c>
    </row>
    <row r="206" spans="1:5" ht="43.5" hidden="1" x14ac:dyDescent="0.35">
      <c r="A206" s="1" t="s">
        <v>859</v>
      </c>
      <c r="B206" s="1" t="s">
        <v>470</v>
      </c>
      <c r="C206" s="43" t="s">
        <v>2705</v>
      </c>
      <c r="D206" s="43" t="s">
        <v>2614</v>
      </c>
      <c r="E206">
        <f t="shared" si="4"/>
        <v>1</v>
      </c>
    </row>
    <row r="207" spans="1:5" ht="29" hidden="1" x14ac:dyDescent="0.35">
      <c r="A207" s="1" t="s">
        <v>859</v>
      </c>
      <c r="B207" s="1" t="s">
        <v>478</v>
      </c>
      <c r="C207" s="43" t="s">
        <v>2535</v>
      </c>
      <c r="D207" s="43" t="s">
        <v>2614</v>
      </c>
      <c r="E207">
        <f t="shared" si="4"/>
        <v>1</v>
      </c>
    </row>
    <row r="208" spans="1:5" ht="29" hidden="1" x14ac:dyDescent="0.35">
      <c r="A208" s="1" t="s">
        <v>859</v>
      </c>
      <c r="B208" s="1" t="s">
        <v>474</v>
      </c>
      <c r="C208" s="43" t="s">
        <v>2536</v>
      </c>
      <c r="D208" s="43" t="s">
        <v>2614</v>
      </c>
      <c r="E208">
        <f t="shared" si="4"/>
        <v>1</v>
      </c>
    </row>
    <row r="209" spans="1:5" ht="29" hidden="1" x14ac:dyDescent="0.35">
      <c r="A209" s="1" t="s">
        <v>859</v>
      </c>
      <c r="B209" s="1" t="s">
        <v>2265</v>
      </c>
      <c r="C209" s="43" t="s">
        <v>2537</v>
      </c>
      <c r="D209" s="43" t="s">
        <v>2614</v>
      </c>
      <c r="E209">
        <f t="shared" si="4"/>
        <v>1</v>
      </c>
    </row>
    <row r="210" spans="1:5" ht="29" hidden="1" x14ac:dyDescent="0.35">
      <c r="A210" s="1" t="s">
        <v>859</v>
      </c>
      <c r="B210" s="1" t="s">
        <v>429</v>
      </c>
      <c r="C210" s="43" t="s">
        <v>2510</v>
      </c>
      <c r="D210" s="43" t="s">
        <v>2614</v>
      </c>
      <c r="E210">
        <f t="shared" si="4"/>
        <v>1</v>
      </c>
    </row>
    <row r="211" spans="1:5" ht="29" hidden="1" x14ac:dyDescent="0.35">
      <c r="A211" s="1" t="s">
        <v>859</v>
      </c>
      <c r="B211" s="1" t="s">
        <v>507</v>
      </c>
      <c r="C211" s="43" t="s">
        <v>2538</v>
      </c>
      <c r="D211" s="43" t="s">
        <v>2614</v>
      </c>
      <c r="E211">
        <f t="shared" si="4"/>
        <v>1</v>
      </c>
    </row>
    <row r="212" spans="1:5" hidden="1" x14ac:dyDescent="0.35">
      <c r="A212" s="1" t="s">
        <v>859</v>
      </c>
      <c r="B212" s="1" t="s">
        <v>503</v>
      </c>
      <c r="C212" s="43" t="s">
        <v>2092</v>
      </c>
      <c r="D212" s="43" t="s">
        <v>2614</v>
      </c>
      <c r="E212">
        <f t="shared" si="4"/>
        <v>1</v>
      </c>
    </row>
    <row r="213" spans="1:5" ht="43.5" hidden="1" x14ac:dyDescent="0.35">
      <c r="A213" s="1" t="s">
        <v>859</v>
      </c>
      <c r="B213" s="1" t="s">
        <v>486</v>
      </c>
      <c r="C213" s="43" t="s">
        <v>2539</v>
      </c>
      <c r="D213" s="43" t="s">
        <v>2614</v>
      </c>
      <c r="E213">
        <f t="shared" si="4"/>
        <v>1</v>
      </c>
    </row>
    <row r="214" spans="1:5" ht="43.5" hidden="1" x14ac:dyDescent="0.35">
      <c r="A214" s="1" t="s">
        <v>859</v>
      </c>
      <c r="B214" s="1" t="s">
        <v>482</v>
      </c>
      <c r="C214" s="43" t="s">
        <v>2540</v>
      </c>
      <c r="D214" s="43" t="s">
        <v>2614</v>
      </c>
      <c r="E214">
        <f t="shared" si="4"/>
        <v>1</v>
      </c>
    </row>
    <row r="215" spans="1:5" ht="29" hidden="1" x14ac:dyDescent="0.35">
      <c r="A215" s="1" t="s">
        <v>859</v>
      </c>
      <c r="B215" s="1" t="s">
        <v>490</v>
      </c>
      <c r="C215" s="43" t="s">
        <v>2541</v>
      </c>
      <c r="D215" s="43" t="s">
        <v>2614</v>
      </c>
      <c r="E215">
        <f t="shared" si="4"/>
        <v>1</v>
      </c>
    </row>
    <row r="216" spans="1:5" hidden="1" x14ac:dyDescent="0.35">
      <c r="A216" s="1" t="s">
        <v>543</v>
      </c>
      <c r="B216" s="1" t="s">
        <v>762</v>
      </c>
      <c r="C216" s="1" t="s">
        <v>1630</v>
      </c>
      <c r="D216" s="1" t="s">
        <v>2614</v>
      </c>
      <c r="E216">
        <f t="shared" si="4"/>
        <v>1</v>
      </c>
    </row>
    <row r="217" spans="1:5" hidden="1" x14ac:dyDescent="0.35">
      <c r="A217" s="1" t="s">
        <v>859</v>
      </c>
      <c r="B217" s="1" t="s">
        <v>562</v>
      </c>
      <c r="C217" s="43" t="s">
        <v>2097</v>
      </c>
      <c r="D217" s="43" t="s">
        <v>2614</v>
      </c>
      <c r="E217">
        <f t="shared" si="4"/>
        <v>1</v>
      </c>
    </row>
    <row r="218" spans="1:5" hidden="1" x14ac:dyDescent="0.35">
      <c r="A218" s="1" t="s">
        <v>859</v>
      </c>
      <c r="B218" s="1" t="s">
        <v>561</v>
      </c>
      <c r="C218" s="43" t="s">
        <v>2098</v>
      </c>
      <c r="D218" s="43" t="s">
        <v>2614</v>
      </c>
      <c r="E218">
        <f t="shared" si="4"/>
        <v>1</v>
      </c>
    </row>
    <row r="219" spans="1:5" hidden="1" x14ac:dyDescent="0.35">
      <c r="A219" s="1" t="s">
        <v>859</v>
      </c>
      <c r="B219" s="1" t="s">
        <v>1532</v>
      </c>
      <c r="C219" s="43" t="s">
        <v>2099</v>
      </c>
      <c r="D219" s="43" t="s">
        <v>2614</v>
      </c>
      <c r="E219">
        <f t="shared" si="4"/>
        <v>1</v>
      </c>
    </row>
    <row r="220" spans="1:5" hidden="1" x14ac:dyDescent="0.35">
      <c r="B220" t="s">
        <v>248</v>
      </c>
      <c r="C220" s="1" t="s">
        <v>1270</v>
      </c>
      <c r="D220" s="1" t="s">
        <v>2614</v>
      </c>
      <c r="E220">
        <f t="shared" si="4"/>
        <v>2</v>
      </c>
    </row>
    <row r="221" spans="1:5" hidden="1" x14ac:dyDescent="0.35">
      <c r="A221" s="1" t="s">
        <v>776</v>
      </c>
      <c r="B221" s="1" t="s">
        <v>1271</v>
      </c>
      <c r="C221" s="1" t="s">
        <v>1272</v>
      </c>
      <c r="D221" s="1" t="s">
        <v>2614</v>
      </c>
      <c r="E221">
        <f t="shared" si="4"/>
        <v>2</v>
      </c>
    </row>
    <row r="222" spans="1:5" hidden="1" x14ac:dyDescent="0.35">
      <c r="A222" s="1" t="s">
        <v>859</v>
      </c>
      <c r="B222" s="1" t="s">
        <v>1876</v>
      </c>
      <c r="C222" s="43" t="s">
        <v>2102</v>
      </c>
      <c r="D222" s="43" t="s">
        <v>2614</v>
      </c>
      <c r="E222">
        <f t="shared" si="4"/>
        <v>1</v>
      </c>
    </row>
    <row r="223" spans="1:5" hidden="1" x14ac:dyDescent="0.35">
      <c r="A223" s="1" t="s">
        <v>859</v>
      </c>
      <c r="B223" s="1" t="s">
        <v>334</v>
      </c>
      <c r="C223" s="43" t="s">
        <v>2467</v>
      </c>
      <c r="D223" s="43" t="s">
        <v>2614</v>
      </c>
      <c r="E223">
        <f t="shared" si="4"/>
        <v>1</v>
      </c>
    </row>
    <row r="224" spans="1:5" hidden="1" x14ac:dyDescent="0.35">
      <c r="A224" s="1" t="s">
        <v>859</v>
      </c>
      <c r="B224" s="1" t="s">
        <v>337</v>
      </c>
      <c r="C224" s="43" t="s">
        <v>2643</v>
      </c>
      <c r="D224" s="43" t="s">
        <v>2615</v>
      </c>
      <c r="E224">
        <f t="shared" si="4"/>
        <v>1</v>
      </c>
    </row>
    <row r="225" spans="1:5" hidden="1" x14ac:dyDescent="0.35">
      <c r="B225" t="s">
        <v>2242</v>
      </c>
      <c r="C225" s="1" t="s">
        <v>1272</v>
      </c>
      <c r="D225" s="1" t="s">
        <v>2614</v>
      </c>
      <c r="E225">
        <f t="shared" si="4"/>
        <v>2</v>
      </c>
    </row>
    <row r="226" spans="1:5" hidden="1" x14ac:dyDescent="0.35">
      <c r="A226" s="1" t="s">
        <v>859</v>
      </c>
      <c r="B226" s="1" t="s">
        <v>209</v>
      </c>
      <c r="C226" s="43" t="s">
        <v>2644</v>
      </c>
      <c r="D226" s="43" t="s">
        <v>2615</v>
      </c>
      <c r="E226">
        <f t="shared" si="4"/>
        <v>1</v>
      </c>
    </row>
    <row r="227" spans="1:5" hidden="1" x14ac:dyDescent="0.35">
      <c r="A227" s="1" t="s">
        <v>859</v>
      </c>
      <c r="B227" s="1" t="s">
        <v>306</v>
      </c>
      <c r="C227" s="43" t="s">
        <v>2108</v>
      </c>
      <c r="D227" s="43" t="s">
        <v>2614</v>
      </c>
      <c r="E227">
        <f t="shared" si="4"/>
        <v>1</v>
      </c>
    </row>
    <row r="228" spans="1:5" hidden="1" x14ac:dyDescent="0.35">
      <c r="A228" s="1" t="s">
        <v>859</v>
      </c>
      <c r="B228" s="1" t="s">
        <v>1879</v>
      </c>
      <c r="C228" s="43" t="s">
        <v>2678</v>
      </c>
      <c r="D228" s="43" t="s">
        <v>2614</v>
      </c>
      <c r="E228">
        <f t="shared" si="4"/>
        <v>1</v>
      </c>
    </row>
    <row r="229" spans="1:5" ht="29" hidden="1" x14ac:dyDescent="0.35">
      <c r="A229" s="1" t="s">
        <v>859</v>
      </c>
      <c r="B229" s="1" t="s">
        <v>1880</v>
      </c>
      <c r="C229" s="43" t="s">
        <v>2110</v>
      </c>
      <c r="D229" s="43" t="s">
        <v>2614</v>
      </c>
      <c r="E229">
        <f t="shared" si="4"/>
        <v>1</v>
      </c>
    </row>
    <row r="230" spans="1:5" hidden="1" x14ac:dyDescent="0.35">
      <c r="A230" s="1" t="s">
        <v>859</v>
      </c>
      <c r="B230" s="1" t="s">
        <v>1881</v>
      </c>
      <c r="C230" s="43" t="s">
        <v>2679</v>
      </c>
      <c r="D230" s="43" t="s">
        <v>2614</v>
      </c>
      <c r="E230">
        <f t="shared" si="4"/>
        <v>1</v>
      </c>
    </row>
    <row r="231" spans="1:5" hidden="1" x14ac:dyDescent="0.35">
      <c r="A231" s="1" t="s">
        <v>859</v>
      </c>
      <c r="B231" s="1" t="s">
        <v>2264</v>
      </c>
      <c r="C231" s="43" t="s">
        <v>2112</v>
      </c>
      <c r="D231" s="43" t="s">
        <v>2614</v>
      </c>
      <c r="E231">
        <f t="shared" si="4"/>
        <v>1</v>
      </c>
    </row>
    <row r="232" spans="1:5" hidden="1" x14ac:dyDescent="0.35">
      <c r="A232" s="1" t="s">
        <v>859</v>
      </c>
      <c r="B232" s="1" t="s">
        <v>2269</v>
      </c>
      <c r="C232" s="43" t="s">
        <v>2113</v>
      </c>
      <c r="D232" s="43" t="s">
        <v>2614</v>
      </c>
      <c r="E232">
        <f t="shared" si="4"/>
        <v>1</v>
      </c>
    </row>
    <row r="233" spans="1:5" hidden="1" x14ac:dyDescent="0.35">
      <c r="A233" s="1" t="s">
        <v>543</v>
      </c>
      <c r="B233" s="1" t="s">
        <v>152</v>
      </c>
      <c r="C233" s="1" t="s">
        <v>2645</v>
      </c>
      <c r="D233" s="43" t="s">
        <v>2615</v>
      </c>
      <c r="E233">
        <f t="shared" si="4"/>
        <v>1</v>
      </c>
    </row>
    <row r="234" spans="1:5" hidden="1" x14ac:dyDescent="0.35">
      <c r="A234" s="1" t="s">
        <v>859</v>
      </c>
      <c r="B234" s="1" t="s">
        <v>534</v>
      </c>
      <c r="C234" s="43" t="s">
        <v>2114</v>
      </c>
      <c r="D234" s="43" t="s">
        <v>2615</v>
      </c>
      <c r="E234">
        <f t="shared" si="4"/>
        <v>1</v>
      </c>
    </row>
    <row r="235" spans="1:5" hidden="1" x14ac:dyDescent="0.35">
      <c r="A235" s="1" t="s">
        <v>859</v>
      </c>
      <c r="B235" s="1" t="s">
        <v>535</v>
      </c>
      <c r="C235" s="43" t="s">
        <v>2115</v>
      </c>
      <c r="D235" s="43" t="s">
        <v>2615</v>
      </c>
      <c r="E235">
        <f t="shared" si="4"/>
        <v>1</v>
      </c>
    </row>
    <row r="236" spans="1:5" hidden="1" x14ac:dyDescent="0.35">
      <c r="A236" s="1" t="s">
        <v>859</v>
      </c>
      <c r="B236" s="1" t="s">
        <v>513</v>
      </c>
      <c r="C236" s="43" t="s">
        <v>2116</v>
      </c>
      <c r="D236" s="43" t="s">
        <v>2614</v>
      </c>
      <c r="E236">
        <f t="shared" si="4"/>
        <v>1</v>
      </c>
    </row>
    <row r="237" spans="1:5" hidden="1" x14ac:dyDescent="0.35">
      <c r="A237" s="1" t="s">
        <v>859</v>
      </c>
      <c r="B237" s="1" t="s">
        <v>540</v>
      </c>
      <c r="C237" s="43" t="s">
        <v>2117</v>
      </c>
      <c r="D237" s="43" t="s">
        <v>2615</v>
      </c>
      <c r="E237">
        <f t="shared" si="4"/>
        <v>1</v>
      </c>
    </row>
    <row r="238" spans="1:5" hidden="1" x14ac:dyDescent="0.35">
      <c r="A238" s="1" t="s">
        <v>859</v>
      </c>
      <c r="B238" s="1" t="s">
        <v>539</v>
      </c>
      <c r="C238" s="43" t="s">
        <v>2118</v>
      </c>
      <c r="D238" s="43" t="s">
        <v>2615</v>
      </c>
      <c r="E238">
        <f t="shared" si="4"/>
        <v>1</v>
      </c>
    </row>
    <row r="239" spans="1:5" hidden="1" x14ac:dyDescent="0.35">
      <c r="A239" s="1" t="s">
        <v>859</v>
      </c>
      <c r="B239" s="1" t="s">
        <v>541</v>
      </c>
      <c r="C239" s="43" t="s">
        <v>2119</v>
      </c>
      <c r="D239" s="43" t="s">
        <v>2614</v>
      </c>
      <c r="E239">
        <f t="shared" si="4"/>
        <v>1</v>
      </c>
    </row>
    <row r="240" spans="1:5" hidden="1" x14ac:dyDescent="0.35">
      <c r="A240" s="1" t="s">
        <v>859</v>
      </c>
      <c r="B240" s="1" t="s">
        <v>1541</v>
      </c>
      <c r="C240" s="43" t="s">
        <v>2646</v>
      </c>
      <c r="D240" s="43" t="s">
        <v>2615</v>
      </c>
      <c r="E240">
        <f t="shared" si="4"/>
        <v>1</v>
      </c>
    </row>
    <row r="241" spans="1:5" hidden="1" x14ac:dyDescent="0.35">
      <c r="A241" s="1" t="s">
        <v>859</v>
      </c>
      <c r="B241" s="1" t="s">
        <v>1542</v>
      </c>
      <c r="C241" s="43" t="s">
        <v>2647</v>
      </c>
      <c r="D241" s="43" t="s">
        <v>2615</v>
      </c>
      <c r="E241">
        <f t="shared" si="4"/>
        <v>1</v>
      </c>
    </row>
    <row r="242" spans="1:5" hidden="1" x14ac:dyDescent="0.35">
      <c r="A242" s="1" t="s">
        <v>859</v>
      </c>
      <c r="B242" s="1" t="s">
        <v>533</v>
      </c>
      <c r="C242" s="43" t="s">
        <v>2122</v>
      </c>
      <c r="D242" s="43" t="s">
        <v>2615</v>
      </c>
      <c r="E242">
        <f t="shared" si="4"/>
        <v>1</v>
      </c>
    </row>
    <row r="243" spans="1:5" hidden="1" x14ac:dyDescent="0.35">
      <c r="A243" s="1" t="s">
        <v>859</v>
      </c>
      <c r="B243" s="1" t="s">
        <v>512</v>
      </c>
      <c r="C243" s="43" t="s">
        <v>1957</v>
      </c>
      <c r="D243" s="43" t="s">
        <v>2614</v>
      </c>
      <c r="E243">
        <f t="shared" si="4"/>
        <v>1</v>
      </c>
    </row>
    <row r="244" spans="1:5" hidden="1" x14ac:dyDescent="0.35">
      <c r="A244" s="1" t="s">
        <v>859</v>
      </c>
      <c r="B244" s="1" t="s">
        <v>596</v>
      </c>
      <c r="C244" s="43" t="s">
        <v>2123</v>
      </c>
      <c r="D244" s="43" t="s">
        <v>2614</v>
      </c>
      <c r="E244">
        <f t="shared" si="4"/>
        <v>1</v>
      </c>
    </row>
    <row r="245" spans="1:5" hidden="1" x14ac:dyDescent="0.35">
      <c r="A245" s="1" t="s">
        <v>859</v>
      </c>
      <c r="B245" s="1" t="s">
        <v>598</v>
      </c>
      <c r="C245" s="43" t="s">
        <v>2124</v>
      </c>
      <c r="D245" s="43" t="s">
        <v>2614</v>
      </c>
      <c r="E245">
        <f t="shared" si="4"/>
        <v>1</v>
      </c>
    </row>
    <row r="246" spans="1:5" hidden="1" x14ac:dyDescent="0.35">
      <c r="A246" s="1" t="s">
        <v>859</v>
      </c>
      <c r="B246" s="1" t="s">
        <v>597</v>
      </c>
      <c r="C246" s="43" t="s">
        <v>2125</v>
      </c>
      <c r="D246" s="43" t="s">
        <v>2614</v>
      </c>
      <c r="E246">
        <f t="shared" si="4"/>
        <v>1</v>
      </c>
    </row>
    <row r="247" spans="1:5" hidden="1" x14ac:dyDescent="0.35">
      <c r="A247" s="1" t="s">
        <v>859</v>
      </c>
      <c r="B247" s="1" t="s">
        <v>599</v>
      </c>
      <c r="C247" s="43" t="s">
        <v>2126</v>
      </c>
      <c r="D247" s="43" t="s">
        <v>2614</v>
      </c>
      <c r="E247">
        <f t="shared" si="4"/>
        <v>1</v>
      </c>
    </row>
    <row r="248" spans="1:5" hidden="1" x14ac:dyDescent="0.35">
      <c r="A248" s="1" t="s">
        <v>859</v>
      </c>
      <c r="B248" s="1" t="s">
        <v>1526</v>
      </c>
      <c r="C248" s="43" t="s">
        <v>2634</v>
      </c>
      <c r="D248" s="43" t="s">
        <v>2615</v>
      </c>
      <c r="E248">
        <f t="shared" si="4"/>
        <v>2</v>
      </c>
    </row>
    <row r="249" spans="1:5" ht="43.5" hidden="1" x14ac:dyDescent="0.35">
      <c r="A249" s="1" t="s">
        <v>859</v>
      </c>
      <c r="B249" s="1" t="s">
        <v>496</v>
      </c>
      <c r="C249" s="43" t="s">
        <v>2648</v>
      </c>
      <c r="D249" s="43" t="s">
        <v>2614</v>
      </c>
      <c r="E249">
        <f t="shared" si="4"/>
        <v>1</v>
      </c>
    </row>
    <row r="250" spans="1:5" ht="29" hidden="1" x14ac:dyDescent="0.35">
      <c r="A250" s="1" t="s">
        <v>859</v>
      </c>
      <c r="B250" s="1" t="s">
        <v>2267</v>
      </c>
      <c r="C250" s="43" t="s">
        <v>2129</v>
      </c>
      <c r="D250" s="43" t="s">
        <v>2614</v>
      </c>
      <c r="E250">
        <f t="shared" si="4"/>
        <v>1</v>
      </c>
    </row>
    <row r="251" spans="1:5" hidden="1" x14ac:dyDescent="0.35">
      <c r="A251" s="1" t="s">
        <v>859</v>
      </c>
      <c r="B251" s="1" t="s">
        <v>579</v>
      </c>
      <c r="C251" s="43" t="s">
        <v>2130</v>
      </c>
      <c r="D251" s="43" t="s">
        <v>2614</v>
      </c>
      <c r="E251">
        <f t="shared" si="4"/>
        <v>1</v>
      </c>
    </row>
    <row r="252" spans="1:5" hidden="1" x14ac:dyDescent="0.35">
      <c r="A252" s="1" t="s">
        <v>859</v>
      </c>
      <c r="B252" s="1" t="s">
        <v>578</v>
      </c>
      <c r="C252" s="43" t="s">
        <v>2131</v>
      </c>
      <c r="D252" s="43" t="s">
        <v>2614</v>
      </c>
      <c r="E252">
        <f t="shared" si="4"/>
        <v>1</v>
      </c>
    </row>
    <row r="253" spans="1:5" ht="29" hidden="1" x14ac:dyDescent="0.35">
      <c r="A253" s="1" t="s">
        <v>859</v>
      </c>
      <c r="B253" s="1" t="s">
        <v>441</v>
      </c>
      <c r="C253" s="43" t="s">
        <v>2706</v>
      </c>
      <c r="D253" s="43" t="s">
        <v>2614</v>
      </c>
      <c r="E253">
        <f t="shared" si="4"/>
        <v>1</v>
      </c>
    </row>
    <row r="254" spans="1:5" ht="29" hidden="1" x14ac:dyDescent="0.35">
      <c r="A254" s="1" t="s">
        <v>859</v>
      </c>
      <c r="B254" s="1" t="s">
        <v>445</v>
      </c>
      <c r="C254" s="43" t="s">
        <v>2707</v>
      </c>
      <c r="D254" s="43" t="s">
        <v>2614</v>
      </c>
      <c r="E254">
        <f t="shared" si="4"/>
        <v>1</v>
      </c>
    </row>
    <row r="255" spans="1:5" hidden="1" x14ac:dyDescent="0.35">
      <c r="A255" s="1" t="s">
        <v>859</v>
      </c>
      <c r="B255" s="1" t="s">
        <v>453</v>
      </c>
      <c r="C255" s="43" t="s">
        <v>2134</v>
      </c>
      <c r="D255" s="43" t="s">
        <v>2614</v>
      </c>
      <c r="E255">
        <f t="shared" si="4"/>
        <v>1</v>
      </c>
    </row>
    <row r="256" spans="1:5" hidden="1" x14ac:dyDescent="0.35">
      <c r="A256" s="1" t="s">
        <v>859</v>
      </c>
      <c r="B256" s="1" t="s">
        <v>449</v>
      </c>
      <c r="C256" s="43" t="s">
        <v>2135</v>
      </c>
      <c r="D256" s="43" t="s">
        <v>2614</v>
      </c>
      <c r="E256">
        <f t="shared" si="4"/>
        <v>1</v>
      </c>
    </row>
    <row r="257" spans="1:5" ht="29" hidden="1" x14ac:dyDescent="0.35">
      <c r="A257" s="1" t="s">
        <v>859</v>
      </c>
      <c r="B257" s="1" t="s">
        <v>417</v>
      </c>
      <c r="C257" s="43" t="s">
        <v>2542</v>
      </c>
      <c r="D257" s="43" t="s">
        <v>2614</v>
      </c>
      <c r="E257">
        <f t="shared" si="4"/>
        <v>1</v>
      </c>
    </row>
    <row r="258" spans="1:5" hidden="1" x14ac:dyDescent="0.35">
      <c r="A258" s="1" t="s">
        <v>859</v>
      </c>
      <c r="B258" s="1" t="s">
        <v>428</v>
      </c>
      <c r="C258" s="43" t="s">
        <v>2511</v>
      </c>
      <c r="D258" s="43" t="s">
        <v>2614</v>
      </c>
      <c r="E258">
        <f t="shared" si="4"/>
        <v>1</v>
      </c>
    </row>
    <row r="259" spans="1:5" ht="29" hidden="1" x14ac:dyDescent="0.35">
      <c r="A259" s="1" t="s">
        <v>859</v>
      </c>
      <c r="B259" s="1" t="s">
        <v>461</v>
      </c>
      <c r="C259" s="43" t="s">
        <v>2138</v>
      </c>
      <c r="D259" s="43" t="s">
        <v>2614</v>
      </c>
      <c r="E259">
        <f t="shared" si="4"/>
        <v>1</v>
      </c>
    </row>
    <row r="260" spans="1:5" ht="29" hidden="1" x14ac:dyDescent="0.35">
      <c r="A260" s="1" t="s">
        <v>859</v>
      </c>
      <c r="B260" s="1" t="s">
        <v>457</v>
      </c>
      <c r="C260" s="43" t="s">
        <v>2139</v>
      </c>
      <c r="D260" s="43" t="s">
        <v>2614</v>
      </c>
      <c r="E260">
        <f t="shared" si="4"/>
        <v>1</v>
      </c>
    </row>
    <row r="261" spans="1:5" hidden="1" x14ac:dyDescent="0.35">
      <c r="A261" s="1" t="s">
        <v>859</v>
      </c>
      <c r="B261" s="1" t="s">
        <v>465</v>
      </c>
      <c r="C261" s="43" t="s">
        <v>2140</v>
      </c>
      <c r="D261" s="43" t="s">
        <v>2614</v>
      </c>
      <c r="E261">
        <f t="shared" si="4"/>
        <v>1</v>
      </c>
    </row>
    <row r="262" spans="1:5" ht="29" hidden="1" x14ac:dyDescent="0.35">
      <c r="A262" s="1" t="s">
        <v>859</v>
      </c>
      <c r="B262" s="1" t="s">
        <v>424</v>
      </c>
      <c r="C262" s="43" t="s">
        <v>2543</v>
      </c>
      <c r="D262" s="43" t="s">
        <v>2614</v>
      </c>
      <c r="E262">
        <f t="shared" si="4"/>
        <v>1</v>
      </c>
    </row>
    <row r="263" spans="1:5" ht="29" hidden="1" x14ac:dyDescent="0.35">
      <c r="A263" s="1" t="s">
        <v>859</v>
      </c>
      <c r="B263" s="1" t="s">
        <v>436</v>
      </c>
      <c r="C263" s="43" t="s">
        <v>2512</v>
      </c>
      <c r="D263" s="43" t="s">
        <v>2614</v>
      </c>
      <c r="E263">
        <f t="shared" si="4"/>
        <v>1</v>
      </c>
    </row>
    <row r="264" spans="1:5" ht="29" hidden="1" x14ac:dyDescent="0.35">
      <c r="A264" s="1" t="s">
        <v>859</v>
      </c>
      <c r="B264" s="1" t="s">
        <v>469</v>
      </c>
      <c r="C264" s="43" t="s">
        <v>2708</v>
      </c>
      <c r="D264" s="43" t="s">
        <v>2614</v>
      </c>
      <c r="E264">
        <f t="shared" si="4"/>
        <v>1</v>
      </c>
    </row>
    <row r="265" spans="1:5" ht="29" hidden="1" x14ac:dyDescent="0.35">
      <c r="A265" s="1" t="s">
        <v>859</v>
      </c>
      <c r="B265" s="1" t="s">
        <v>473</v>
      </c>
      <c r="C265" s="43" t="s">
        <v>2709</v>
      </c>
      <c r="D265" s="43" t="s">
        <v>2614</v>
      </c>
      <c r="E265">
        <f t="shared" si="4"/>
        <v>1</v>
      </c>
    </row>
    <row r="266" spans="1:5" hidden="1" x14ac:dyDescent="0.35">
      <c r="A266" s="1" t="s">
        <v>859</v>
      </c>
      <c r="B266" s="1" t="s">
        <v>481</v>
      </c>
      <c r="C266" s="43" t="s">
        <v>2145</v>
      </c>
      <c r="D266" s="43" t="s">
        <v>2614</v>
      </c>
      <c r="E266">
        <f t="shared" ref="E266:E329" si="5">COUNTIF(C:C,C266)</f>
        <v>1</v>
      </c>
    </row>
    <row r="267" spans="1:5" hidden="1" x14ac:dyDescent="0.35">
      <c r="A267" s="1" t="s">
        <v>859</v>
      </c>
      <c r="B267" s="1" t="s">
        <v>477</v>
      </c>
      <c r="C267" s="43" t="s">
        <v>2146</v>
      </c>
      <c r="D267" s="43" t="s">
        <v>2614</v>
      </c>
      <c r="E267">
        <f t="shared" si="5"/>
        <v>1</v>
      </c>
    </row>
    <row r="268" spans="1:5" ht="29" hidden="1" x14ac:dyDescent="0.35">
      <c r="A268" s="1" t="s">
        <v>859</v>
      </c>
      <c r="B268" s="1" t="s">
        <v>420</v>
      </c>
      <c r="C268" s="43" t="s">
        <v>2544</v>
      </c>
      <c r="D268" s="43" t="s">
        <v>2614</v>
      </c>
      <c r="E268">
        <f t="shared" si="5"/>
        <v>1</v>
      </c>
    </row>
    <row r="269" spans="1:5" hidden="1" x14ac:dyDescent="0.35">
      <c r="A269" s="1" t="s">
        <v>859</v>
      </c>
      <c r="B269" s="1" t="s">
        <v>432</v>
      </c>
      <c r="C269" s="43" t="s">
        <v>2513</v>
      </c>
      <c r="D269" s="43" t="s">
        <v>2614</v>
      </c>
      <c r="E269">
        <f t="shared" si="5"/>
        <v>1</v>
      </c>
    </row>
    <row r="270" spans="1:5" ht="29" hidden="1" x14ac:dyDescent="0.35">
      <c r="A270" s="1" t="s">
        <v>859</v>
      </c>
      <c r="B270" s="1" t="s">
        <v>506</v>
      </c>
      <c r="C270" s="43" t="s">
        <v>2149</v>
      </c>
      <c r="D270" s="43" t="s">
        <v>2614</v>
      </c>
      <c r="E270">
        <f t="shared" si="5"/>
        <v>1</v>
      </c>
    </row>
    <row r="271" spans="1:5" ht="29" hidden="1" x14ac:dyDescent="0.35">
      <c r="A271" s="1" t="s">
        <v>859</v>
      </c>
      <c r="B271" s="1" t="s">
        <v>489</v>
      </c>
      <c r="C271" s="43" t="s">
        <v>2150</v>
      </c>
      <c r="D271" s="43" t="s">
        <v>2614</v>
      </c>
      <c r="E271">
        <f t="shared" si="5"/>
        <v>1</v>
      </c>
    </row>
    <row r="272" spans="1:5" ht="29" hidden="1" x14ac:dyDescent="0.35">
      <c r="A272" s="1" t="s">
        <v>859</v>
      </c>
      <c r="B272" s="1" t="s">
        <v>485</v>
      </c>
      <c r="C272" s="43" t="s">
        <v>2151</v>
      </c>
      <c r="D272" s="43" t="s">
        <v>2614</v>
      </c>
      <c r="E272">
        <f t="shared" si="5"/>
        <v>1</v>
      </c>
    </row>
    <row r="273" spans="1:5" hidden="1" x14ac:dyDescent="0.35">
      <c r="A273" s="1" t="s">
        <v>859</v>
      </c>
      <c r="B273" s="1" t="s">
        <v>493</v>
      </c>
      <c r="C273" s="43" t="s">
        <v>2152</v>
      </c>
      <c r="D273" s="43" t="s">
        <v>2614</v>
      </c>
      <c r="E273">
        <f t="shared" si="5"/>
        <v>1</v>
      </c>
    </row>
    <row r="274" spans="1:5" ht="29" hidden="1" x14ac:dyDescent="0.35">
      <c r="A274" s="1" t="s">
        <v>859</v>
      </c>
      <c r="B274" s="1" t="s">
        <v>502</v>
      </c>
      <c r="C274" s="43" t="s">
        <v>2153</v>
      </c>
      <c r="D274" s="43" t="s">
        <v>2614</v>
      </c>
      <c r="E274">
        <f t="shared" si="5"/>
        <v>1</v>
      </c>
    </row>
    <row r="275" spans="1:5" ht="29" hidden="1" x14ac:dyDescent="0.35">
      <c r="A275" s="1" t="s">
        <v>859</v>
      </c>
      <c r="B275" s="1" t="s">
        <v>2262</v>
      </c>
      <c r="C275" s="43" t="s">
        <v>2154</v>
      </c>
      <c r="D275" s="43" t="s">
        <v>2614</v>
      </c>
      <c r="E275">
        <f t="shared" si="5"/>
        <v>1</v>
      </c>
    </row>
    <row r="276" spans="1:5" ht="29" hidden="1" x14ac:dyDescent="0.35">
      <c r="A276" s="1" t="s">
        <v>859</v>
      </c>
      <c r="B276" s="1" t="s">
        <v>1896</v>
      </c>
      <c r="C276" s="43" t="s">
        <v>2155</v>
      </c>
      <c r="D276" s="43" t="s">
        <v>2614</v>
      </c>
      <c r="E276">
        <f t="shared" si="5"/>
        <v>1</v>
      </c>
    </row>
    <row r="277" spans="1:5" ht="29" hidden="1" x14ac:dyDescent="0.35">
      <c r="A277" s="1" t="s">
        <v>859</v>
      </c>
      <c r="B277" s="1" t="s">
        <v>1897</v>
      </c>
      <c r="C277" s="43" t="s">
        <v>2156</v>
      </c>
      <c r="D277" s="43" t="s">
        <v>2614</v>
      </c>
      <c r="E277">
        <f t="shared" si="5"/>
        <v>1</v>
      </c>
    </row>
    <row r="278" spans="1:5" hidden="1" x14ac:dyDescent="0.35">
      <c r="A278" s="1" t="s">
        <v>859</v>
      </c>
      <c r="B278" s="1" t="s">
        <v>287</v>
      </c>
      <c r="C278" s="43" t="s">
        <v>2157</v>
      </c>
      <c r="D278" s="43" t="s">
        <v>2614</v>
      </c>
      <c r="E278">
        <f t="shared" si="5"/>
        <v>1</v>
      </c>
    </row>
    <row r="279" spans="1:5" hidden="1" x14ac:dyDescent="0.35">
      <c r="A279" s="1" t="s">
        <v>776</v>
      </c>
      <c r="B279" s="1" t="s">
        <v>328</v>
      </c>
      <c r="C279" s="1" t="s">
        <v>1210</v>
      </c>
      <c r="D279" s="1" t="s">
        <v>2614</v>
      </c>
      <c r="E279">
        <f t="shared" si="5"/>
        <v>1</v>
      </c>
    </row>
    <row r="280" spans="1:5" hidden="1" x14ac:dyDescent="0.35">
      <c r="A280" s="1" t="s">
        <v>776</v>
      </c>
      <c r="B280" s="1" t="s">
        <v>327</v>
      </c>
      <c r="C280" s="1" t="s">
        <v>1211</v>
      </c>
      <c r="D280" s="1" t="s">
        <v>2614</v>
      </c>
      <c r="E280">
        <f t="shared" si="5"/>
        <v>1</v>
      </c>
    </row>
    <row r="281" spans="1:5" hidden="1" x14ac:dyDescent="0.35">
      <c r="A281" s="1" t="s">
        <v>776</v>
      </c>
      <c r="B281" s="1" t="s">
        <v>326</v>
      </c>
      <c r="C281" s="1" t="s">
        <v>1212</v>
      </c>
      <c r="D281" s="1" t="s">
        <v>2614</v>
      </c>
      <c r="E281">
        <f t="shared" si="5"/>
        <v>1</v>
      </c>
    </row>
    <row r="282" spans="1:5" hidden="1" x14ac:dyDescent="0.35">
      <c r="A282" s="1" t="s">
        <v>776</v>
      </c>
      <c r="B282" s="1" t="s">
        <v>331</v>
      </c>
      <c r="C282" s="1" t="s">
        <v>2553</v>
      </c>
      <c r="D282" s="1" t="s">
        <v>2614</v>
      </c>
      <c r="E282">
        <f t="shared" si="5"/>
        <v>1</v>
      </c>
    </row>
    <row r="283" spans="1:5" hidden="1" x14ac:dyDescent="0.35">
      <c r="A283" s="1" t="s">
        <v>776</v>
      </c>
      <c r="B283" s="1" t="s">
        <v>329</v>
      </c>
      <c r="C283" s="1" t="s">
        <v>2554</v>
      </c>
      <c r="D283" s="1" t="s">
        <v>2614</v>
      </c>
      <c r="E283">
        <f t="shared" si="5"/>
        <v>1</v>
      </c>
    </row>
    <row r="284" spans="1:5" hidden="1" x14ac:dyDescent="0.35">
      <c r="A284" s="1" t="s">
        <v>776</v>
      </c>
      <c r="B284" s="1" t="s">
        <v>330</v>
      </c>
      <c r="C284" s="1" t="s">
        <v>2555</v>
      </c>
      <c r="D284" s="1" t="s">
        <v>2614</v>
      </c>
      <c r="E284">
        <f t="shared" si="5"/>
        <v>1</v>
      </c>
    </row>
    <row r="285" spans="1:5" hidden="1" x14ac:dyDescent="0.35">
      <c r="A285" s="1" t="s">
        <v>776</v>
      </c>
      <c r="B285" s="1" t="s">
        <v>1216</v>
      </c>
      <c r="C285" s="1" t="s">
        <v>1217</v>
      </c>
      <c r="D285" s="1" t="s">
        <v>2614</v>
      </c>
      <c r="E285">
        <f t="shared" si="5"/>
        <v>1</v>
      </c>
    </row>
    <row r="286" spans="1:5" ht="29" hidden="1" x14ac:dyDescent="0.35">
      <c r="A286" s="1" t="s">
        <v>776</v>
      </c>
      <c r="B286" s="1" t="s">
        <v>1218</v>
      </c>
      <c r="C286" s="1" t="s">
        <v>1219</v>
      </c>
      <c r="D286" s="1" t="s">
        <v>2614</v>
      </c>
      <c r="E286">
        <f t="shared" si="5"/>
        <v>1</v>
      </c>
    </row>
    <row r="287" spans="1:5" hidden="1" x14ac:dyDescent="0.35">
      <c r="A287" s="1" t="s">
        <v>776</v>
      </c>
      <c r="B287" s="1" t="s">
        <v>2272</v>
      </c>
      <c r="C287" s="1" t="s">
        <v>1221</v>
      </c>
      <c r="D287" s="1" t="s">
        <v>2614</v>
      </c>
      <c r="E287">
        <f t="shared" si="5"/>
        <v>1</v>
      </c>
    </row>
    <row r="288" spans="1:5" hidden="1" x14ac:dyDescent="0.35">
      <c r="A288" s="1" t="s">
        <v>776</v>
      </c>
      <c r="B288" s="1" t="s">
        <v>1222</v>
      </c>
      <c r="C288" s="1" t="s">
        <v>1223</v>
      </c>
      <c r="D288" s="1" t="s">
        <v>2614</v>
      </c>
      <c r="E288">
        <f t="shared" si="5"/>
        <v>1</v>
      </c>
    </row>
    <row r="289" spans="1:5" hidden="1" x14ac:dyDescent="0.35">
      <c r="A289" s="1" t="s">
        <v>776</v>
      </c>
      <c r="B289" s="1" t="s">
        <v>1224</v>
      </c>
      <c r="C289" s="1" t="s">
        <v>1225</v>
      </c>
      <c r="D289" s="1" t="s">
        <v>2614</v>
      </c>
      <c r="E289">
        <f t="shared" si="5"/>
        <v>1</v>
      </c>
    </row>
    <row r="290" spans="1:5" hidden="1" x14ac:dyDescent="0.35">
      <c r="A290" s="1" t="s">
        <v>776</v>
      </c>
      <c r="B290" s="1" t="s">
        <v>2273</v>
      </c>
      <c r="C290" s="1" t="s">
        <v>1227</v>
      </c>
      <c r="D290" s="1" t="s">
        <v>2614</v>
      </c>
      <c r="E290">
        <f t="shared" si="5"/>
        <v>1</v>
      </c>
    </row>
    <row r="291" spans="1:5" hidden="1" x14ac:dyDescent="0.35">
      <c r="A291" s="1" t="s">
        <v>776</v>
      </c>
      <c r="B291" s="1" t="s">
        <v>2274</v>
      </c>
      <c r="C291" s="1" t="s">
        <v>1229</v>
      </c>
      <c r="D291" s="1" t="s">
        <v>2614</v>
      </c>
      <c r="E291">
        <f t="shared" si="5"/>
        <v>1</v>
      </c>
    </row>
    <row r="292" spans="1:5" hidden="1" x14ac:dyDescent="0.35">
      <c r="A292" s="1" t="s">
        <v>776</v>
      </c>
      <c r="B292" s="1" t="s">
        <v>2275</v>
      </c>
      <c r="C292" s="1" t="s">
        <v>1231</v>
      </c>
      <c r="D292" s="1" t="s">
        <v>2614</v>
      </c>
      <c r="E292">
        <f t="shared" si="5"/>
        <v>1</v>
      </c>
    </row>
    <row r="293" spans="1:5" hidden="1" x14ac:dyDescent="0.35">
      <c r="A293" s="1" t="s">
        <v>776</v>
      </c>
      <c r="B293" s="1" t="s">
        <v>2280</v>
      </c>
      <c r="C293" s="1" t="s">
        <v>1233</v>
      </c>
      <c r="D293" s="1" t="s">
        <v>2614</v>
      </c>
      <c r="E293">
        <f t="shared" si="5"/>
        <v>1</v>
      </c>
    </row>
    <row r="294" spans="1:5" hidden="1" x14ac:dyDescent="0.35">
      <c r="A294" s="1" t="s">
        <v>543</v>
      </c>
      <c r="B294" s="1" t="s">
        <v>179</v>
      </c>
      <c r="C294" s="1" t="s">
        <v>1291</v>
      </c>
      <c r="D294" s="43" t="s">
        <v>2615</v>
      </c>
      <c r="E294">
        <f t="shared" si="5"/>
        <v>2</v>
      </c>
    </row>
    <row r="295" spans="1:5" hidden="1" x14ac:dyDescent="0.35">
      <c r="A295" s="1" t="s">
        <v>776</v>
      </c>
      <c r="B295" s="1" t="s">
        <v>356</v>
      </c>
      <c r="C295" s="1" t="s">
        <v>1237</v>
      </c>
      <c r="D295" s="1" t="s">
        <v>2614</v>
      </c>
      <c r="E295">
        <f t="shared" si="5"/>
        <v>1</v>
      </c>
    </row>
    <row r="296" spans="1:5" hidden="1" x14ac:dyDescent="0.35">
      <c r="A296" s="1" t="s">
        <v>776</v>
      </c>
      <c r="B296" s="1" t="s">
        <v>372</v>
      </c>
      <c r="C296" s="1" t="s">
        <v>2370</v>
      </c>
      <c r="D296" s="1" t="s">
        <v>2614</v>
      </c>
      <c r="E296">
        <f t="shared" si="5"/>
        <v>1</v>
      </c>
    </row>
    <row r="297" spans="1:5" hidden="1" x14ac:dyDescent="0.35">
      <c r="A297" s="1" t="s">
        <v>776</v>
      </c>
      <c r="B297" s="1" t="s">
        <v>358</v>
      </c>
      <c r="C297" s="1" t="s">
        <v>1242</v>
      </c>
      <c r="D297" s="1" t="s">
        <v>2614</v>
      </c>
      <c r="E297">
        <f t="shared" si="5"/>
        <v>1</v>
      </c>
    </row>
    <row r="298" spans="1:5" hidden="1" x14ac:dyDescent="0.35">
      <c r="A298" s="1" t="s">
        <v>776</v>
      </c>
      <c r="B298" s="1" t="s">
        <v>359</v>
      </c>
      <c r="C298" s="1" t="s">
        <v>1245</v>
      </c>
      <c r="D298" s="1" t="s">
        <v>2614</v>
      </c>
      <c r="E298">
        <f t="shared" si="5"/>
        <v>1</v>
      </c>
    </row>
    <row r="299" spans="1:5" hidden="1" x14ac:dyDescent="0.35">
      <c r="A299" s="1" t="s">
        <v>776</v>
      </c>
      <c r="B299" s="1" t="s">
        <v>360</v>
      </c>
      <c r="C299" s="1" t="s">
        <v>1248</v>
      </c>
      <c r="D299" s="1" t="s">
        <v>2614</v>
      </c>
      <c r="E299">
        <f t="shared" si="5"/>
        <v>1</v>
      </c>
    </row>
    <row r="300" spans="1:5" hidden="1" x14ac:dyDescent="0.35">
      <c r="A300" s="1" t="s">
        <v>776</v>
      </c>
      <c r="B300" s="1" t="s">
        <v>361</v>
      </c>
      <c r="C300" s="1" t="s">
        <v>1250</v>
      </c>
      <c r="D300" s="1" t="s">
        <v>2614</v>
      </c>
      <c r="E300">
        <f t="shared" si="5"/>
        <v>1</v>
      </c>
    </row>
    <row r="301" spans="1:5" hidden="1" x14ac:dyDescent="0.35">
      <c r="A301" s="1" t="s">
        <v>776</v>
      </c>
      <c r="B301" s="1" t="s">
        <v>362</v>
      </c>
      <c r="C301" s="1" t="s">
        <v>1252</v>
      </c>
      <c r="D301" s="1" t="s">
        <v>2614</v>
      </c>
      <c r="E301">
        <f t="shared" si="5"/>
        <v>1</v>
      </c>
    </row>
    <row r="302" spans="1:5" ht="29" hidden="1" x14ac:dyDescent="0.35">
      <c r="A302" s="1" t="s">
        <v>776</v>
      </c>
      <c r="B302" s="1" t="s">
        <v>371</v>
      </c>
      <c r="C302" s="1" t="s">
        <v>1253</v>
      </c>
      <c r="D302" s="1" t="s">
        <v>2614</v>
      </c>
      <c r="E302">
        <f t="shared" si="5"/>
        <v>1</v>
      </c>
    </row>
    <row r="303" spans="1:5" ht="29" hidden="1" x14ac:dyDescent="0.35">
      <c r="A303" s="1" t="s">
        <v>776</v>
      </c>
      <c r="B303" s="1" t="s">
        <v>1254</v>
      </c>
      <c r="C303" s="1" t="s">
        <v>1255</v>
      </c>
      <c r="D303" s="1" t="s">
        <v>2614</v>
      </c>
      <c r="E303">
        <f t="shared" si="5"/>
        <v>1</v>
      </c>
    </row>
    <row r="304" spans="1:5" hidden="1" x14ac:dyDescent="0.35">
      <c r="A304" s="1" t="s">
        <v>776</v>
      </c>
      <c r="B304" s="1" t="s">
        <v>363</v>
      </c>
      <c r="C304" s="1" t="s">
        <v>1256</v>
      </c>
      <c r="D304" s="1" t="s">
        <v>2614</v>
      </c>
      <c r="E304">
        <f t="shared" si="5"/>
        <v>1</v>
      </c>
    </row>
    <row r="305" spans="1:5" ht="29" hidden="1" x14ac:dyDescent="0.35">
      <c r="A305" s="1" t="s">
        <v>776</v>
      </c>
      <c r="B305" s="1" t="s">
        <v>1258</v>
      </c>
      <c r="C305" s="1" t="s">
        <v>1259</v>
      </c>
      <c r="D305" s="1" t="s">
        <v>2614</v>
      </c>
      <c r="E305">
        <f t="shared" si="5"/>
        <v>1</v>
      </c>
    </row>
    <row r="306" spans="1:5" ht="29" hidden="1" x14ac:dyDescent="0.35">
      <c r="A306" s="1" t="s">
        <v>776</v>
      </c>
      <c r="B306" s="1" t="s">
        <v>370</v>
      </c>
      <c r="C306" s="1" t="s">
        <v>1260</v>
      </c>
      <c r="D306" s="1" t="s">
        <v>2614</v>
      </c>
      <c r="E306">
        <f t="shared" si="5"/>
        <v>1</v>
      </c>
    </row>
    <row r="307" spans="1:5" hidden="1" x14ac:dyDescent="0.35">
      <c r="A307" s="1" t="s">
        <v>776</v>
      </c>
      <c r="B307" s="1" t="s">
        <v>355</v>
      </c>
      <c r="C307" s="1" t="s">
        <v>1261</v>
      </c>
      <c r="D307" s="1" t="s">
        <v>2614</v>
      </c>
      <c r="E307">
        <f t="shared" si="5"/>
        <v>1</v>
      </c>
    </row>
    <row r="308" spans="1:5" hidden="1" x14ac:dyDescent="0.35">
      <c r="A308" s="1" t="s">
        <v>776</v>
      </c>
      <c r="B308" s="1" t="s">
        <v>373</v>
      </c>
      <c r="C308" s="1" t="s">
        <v>1266</v>
      </c>
      <c r="D308" s="1" t="s">
        <v>2614</v>
      </c>
      <c r="E308">
        <f t="shared" si="5"/>
        <v>1</v>
      </c>
    </row>
    <row r="309" spans="1:5" hidden="1" x14ac:dyDescent="0.35">
      <c r="A309" s="1" t="s">
        <v>776</v>
      </c>
      <c r="B309" s="1" t="s">
        <v>1267</v>
      </c>
      <c r="C309" s="1" t="s">
        <v>2468</v>
      </c>
      <c r="D309" s="1" t="s">
        <v>2614</v>
      </c>
      <c r="E309">
        <f t="shared" si="5"/>
        <v>1</v>
      </c>
    </row>
    <row r="310" spans="1:5" hidden="1" x14ac:dyDescent="0.35">
      <c r="A310" s="1" t="s">
        <v>543</v>
      </c>
      <c r="B310" s="1" t="s">
        <v>737</v>
      </c>
      <c r="C310" s="1" t="s">
        <v>1714</v>
      </c>
      <c r="D310" s="1" t="s">
        <v>2614</v>
      </c>
      <c r="E310">
        <f t="shared" si="5"/>
        <v>2</v>
      </c>
    </row>
    <row r="311" spans="1:5" hidden="1" x14ac:dyDescent="0.35">
      <c r="B311" t="s">
        <v>252</v>
      </c>
      <c r="C311" s="1" t="s">
        <v>1714</v>
      </c>
      <c r="D311" s="1" t="s">
        <v>2614</v>
      </c>
      <c r="E311">
        <f t="shared" si="5"/>
        <v>2</v>
      </c>
    </row>
    <row r="312" spans="1:5" hidden="1" x14ac:dyDescent="0.35">
      <c r="A312" s="1" t="s">
        <v>776</v>
      </c>
      <c r="B312" s="1" t="s">
        <v>1273</v>
      </c>
      <c r="C312" s="1" t="s">
        <v>1274</v>
      </c>
      <c r="D312" s="1" t="s">
        <v>2614</v>
      </c>
      <c r="E312">
        <f t="shared" si="5"/>
        <v>1</v>
      </c>
    </row>
    <row r="313" spans="1:5" hidden="1" x14ac:dyDescent="0.35">
      <c r="A313" s="1" t="s">
        <v>776</v>
      </c>
      <c r="B313" s="1" t="s">
        <v>253</v>
      </c>
      <c r="C313" s="1" t="s">
        <v>1275</v>
      </c>
      <c r="D313" s="1" t="s">
        <v>2614</v>
      </c>
      <c r="E313">
        <f t="shared" si="5"/>
        <v>1</v>
      </c>
    </row>
    <row r="314" spans="1:5" hidden="1" x14ac:dyDescent="0.35">
      <c r="A314" s="1" t="s">
        <v>776</v>
      </c>
      <c r="B314" s="1" t="s">
        <v>254</v>
      </c>
      <c r="C314" s="1" t="s">
        <v>1277</v>
      </c>
      <c r="D314" s="1" t="s">
        <v>2614</v>
      </c>
      <c r="E314">
        <f t="shared" si="5"/>
        <v>1</v>
      </c>
    </row>
    <row r="315" spans="1:5" hidden="1" x14ac:dyDescent="0.35">
      <c r="A315" s="1" t="s">
        <v>776</v>
      </c>
      <c r="B315" s="1" t="s">
        <v>1278</v>
      </c>
      <c r="C315" s="1" t="s">
        <v>1279</v>
      </c>
      <c r="D315" s="1" t="s">
        <v>2614</v>
      </c>
      <c r="E315">
        <f t="shared" si="5"/>
        <v>1</v>
      </c>
    </row>
    <row r="316" spans="1:5" hidden="1" x14ac:dyDescent="0.35">
      <c r="A316" s="1" t="s">
        <v>776</v>
      </c>
      <c r="B316" s="1" t="s">
        <v>250</v>
      </c>
      <c r="C316" s="1" t="s">
        <v>1280</v>
      </c>
      <c r="D316" s="1" t="s">
        <v>2614</v>
      </c>
      <c r="E316">
        <f t="shared" si="5"/>
        <v>1</v>
      </c>
    </row>
    <row r="317" spans="1:5" ht="29" hidden="1" x14ac:dyDescent="0.35">
      <c r="A317" s="1" t="s">
        <v>776</v>
      </c>
      <c r="B317" s="1" t="s">
        <v>249</v>
      </c>
      <c r="C317" s="1" t="s">
        <v>1281</v>
      </c>
      <c r="D317" s="1" t="s">
        <v>2614</v>
      </c>
      <c r="E317">
        <f t="shared" si="5"/>
        <v>1</v>
      </c>
    </row>
    <row r="318" spans="1:5" ht="29" hidden="1" x14ac:dyDescent="0.35">
      <c r="A318" s="1" t="s">
        <v>776</v>
      </c>
      <c r="B318" s="1" t="s">
        <v>2271</v>
      </c>
      <c r="C318" s="1" t="s">
        <v>1283</v>
      </c>
      <c r="D318" s="1" t="s">
        <v>2614</v>
      </c>
      <c r="E318">
        <f t="shared" si="5"/>
        <v>1</v>
      </c>
    </row>
    <row r="319" spans="1:5" ht="29" hidden="1" x14ac:dyDescent="0.35">
      <c r="A319" s="1" t="s">
        <v>776</v>
      </c>
      <c r="B319" s="1" t="s">
        <v>246</v>
      </c>
      <c r="C319" s="1" t="s">
        <v>1284</v>
      </c>
      <c r="D319" s="1" t="s">
        <v>2614</v>
      </c>
      <c r="E319">
        <f t="shared" si="5"/>
        <v>1</v>
      </c>
    </row>
    <row r="320" spans="1:5" hidden="1" x14ac:dyDescent="0.35">
      <c r="A320" s="1" t="s">
        <v>776</v>
      </c>
      <c r="B320" s="1" t="s">
        <v>214</v>
      </c>
      <c r="C320" s="1" t="s">
        <v>1286</v>
      </c>
      <c r="D320" s="1" t="s">
        <v>2614</v>
      </c>
      <c r="E320">
        <f t="shared" si="5"/>
        <v>1</v>
      </c>
    </row>
    <row r="321" spans="1:5" hidden="1" x14ac:dyDescent="0.35">
      <c r="A321" s="1" t="s">
        <v>776</v>
      </c>
      <c r="B321" s="1" t="s">
        <v>615</v>
      </c>
      <c r="C321" s="1" t="s">
        <v>1507</v>
      </c>
      <c r="D321" s="1" t="s">
        <v>2614</v>
      </c>
      <c r="E321">
        <f t="shared" si="5"/>
        <v>1</v>
      </c>
    </row>
    <row r="322" spans="1:5" hidden="1" x14ac:dyDescent="0.35">
      <c r="A322" s="1" t="s">
        <v>776</v>
      </c>
      <c r="B322" s="1" t="s">
        <v>281</v>
      </c>
      <c r="C322" s="1" t="s">
        <v>1287</v>
      </c>
      <c r="D322" s="1" t="s">
        <v>2614</v>
      </c>
      <c r="E322">
        <f t="shared" si="5"/>
        <v>1</v>
      </c>
    </row>
    <row r="323" spans="1:5" hidden="1" x14ac:dyDescent="0.35">
      <c r="A323" s="1" t="s">
        <v>776</v>
      </c>
      <c r="B323" s="1" t="s">
        <v>219</v>
      </c>
      <c r="C323" s="1" t="s">
        <v>1288</v>
      </c>
      <c r="D323" s="1" t="s">
        <v>2615</v>
      </c>
      <c r="E323">
        <f t="shared" si="5"/>
        <v>1</v>
      </c>
    </row>
    <row r="324" spans="1:5" hidden="1" x14ac:dyDescent="0.35">
      <c r="A324" s="1" t="s">
        <v>776</v>
      </c>
      <c r="B324" s="1" t="s">
        <v>1289</v>
      </c>
      <c r="C324" s="1" t="s">
        <v>1290</v>
      </c>
      <c r="D324" s="1" t="s">
        <v>2614</v>
      </c>
      <c r="E324">
        <f t="shared" si="5"/>
        <v>1</v>
      </c>
    </row>
    <row r="325" spans="1:5" hidden="1" x14ac:dyDescent="0.35">
      <c r="A325" s="1" t="s">
        <v>776</v>
      </c>
      <c r="B325" s="1" t="s">
        <v>182</v>
      </c>
      <c r="C325" s="1" t="s">
        <v>1292</v>
      </c>
      <c r="D325" s="43" t="s">
        <v>2615</v>
      </c>
      <c r="E325">
        <f t="shared" si="5"/>
        <v>1</v>
      </c>
    </row>
    <row r="326" spans="1:5" hidden="1" x14ac:dyDescent="0.35">
      <c r="A326" s="1" t="s">
        <v>776</v>
      </c>
      <c r="B326" s="1" t="s">
        <v>177</v>
      </c>
      <c r="C326" s="1" t="s">
        <v>1294</v>
      </c>
      <c r="D326" s="43" t="s">
        <v>2615</v>
      </c>
      <c r="E326">
        <f t="shared" si="5"/>
        <v>1</v>
      </c>
    </row>
    <row r="327" spans="1:5" hidden="1" x14ac:dyDescent="0.35">
      <c r="A327" s="1" t="s">
        <v>776</v>
      </c>
      <c r="B327" s="1" t="s">
        <v>1295</v>
      </c>
      <c r="C327" s="1" t="s">
        <v>1296</v>
      </c>
      <c r="D327" s="1" t="s">
        <v>2614</v>
      </c>
      <c r="E327">
        <f t="shared" si="5"/>
        <v>1</v>
      </c>
    </row>
    <row r="328" spans="1:5" hidden="1" x14ac:dyDescent="0.35">
      <c r="A328" s="1" t="s">
        <v>776</v>
      </c>
      <c r="B328" s="1" t="s">
        <v>265</v>
      </c>
      <c r="C328" s="1" t="s">
        <v>1297</v>
      </c>
      <c r="D328" s="1" t="s">
        <v>2614</v>
      </c>
      <c r="E328">
        <f t="shared" si="5"/>
        <v>1</v>
      </c>
    </row>
    <row r="329" spans="1:5" hidden="1" x14ac:dyDescent="0.35">
      <c r="A329" s="1" t="s">
        <v>776</v>
      </c>
      <c r="B329" s="1" t="s">
        <v>613</v>
      </c>
      <c r="C329" s="1" t="s">
        <v>1509</v>
      </c>
      <c r="D329" s="1" t="s">
        <v>2614</v>
      </c>
      <c r="E329">
        <f t="shared" si="5"/>
        <v>1</v>
      </c>
    </row>
    <row r="330" spans="1:5" hidden="1" x14ac:dyDescent="0.35">
      <c r="A330" s="1" t="s">
        <v>776</v>
      </c>
      <c r="B330" s="1" t="s">
        <v>614</v>
      </c>
      <c r="C330" s="1" t="s">
        <v>1511</v>
      </c>
      <c r="D330" s="1" t="s">
        <v>2614</v>
      </c>
      <c r="E330">
        <f t="shared" ref="E330:E393" si="6">COUNTIF(C:C,C330)</f>
        <v>1</v>
      </c>
    </row>
    <row r="331" spans="1:5" hidden="1" x14ac:dyDescent="0.35">
      <c r="A331" s="1" t="s">
        <v>776</v>
      </c>
      <c r="B331" s="1" t="s">
        <v>276</v>
      </c>
      <c r="C331" s="1" t="s">
        <v>1298</v>
      </c>
      <c r="D331" s="1" t="s">
        <v>2614</v>
      </c>
      <c r="E331">
        <f t="shared" si="6"/>
        <v>1</v>
      </c>
    </row>
    <row r="332" spans="1:5" hidden="1" x14ac:dyDescent="0.35">
      <c r="A332" s="1" t="s">
        <v>776</v>
      </c>
      <c r="B332" s="1" t="s">
        <v>316</v>
      </c>
      <c r="C332" s="1" t="s">
        <v>1299</v>
      </c>
      <c r="D332" s="1" t="s">
        <v>2614</v>
      </c>
      <c r="E332">
        <f t="shared" si="6"/>
        <v>1</v>
      </c>
    </row>
    <row r="333" spans="1:5" hidden="1" x14ac:dyDescent="0.35">
      <c r="A333" s="1" t="s">
        <v>776</v>
      </c>
      <c r="B333" s="1" t="s">
        <v>277</v>
      </c>
      <c r="C333" s="1" t="s">
        <v>1300</v>
      </c>
      <c r="D333" s="1" t="s">
        <v>2614</v>
      </c>
      <c r="E333">
        <f t="shared" si="6"/>
        <v>1</v>
      </c>
    </row>
    <row r="334" spans="1:5" hidden="1" x14ac:dyDescent="0.35">
      <c r="A334" s="1" t="s">
        <v>776</v>
      </c>
      <c r="B334" s="1" t="s">
        <v>275</v>
      </c>
      <c r="C334" s="1" t="s">
        <v>1301</v>
      </c>
      <c r="D334" s="1" t="s">
        <v>2614</v>
      </c>
      <c r="E334">
        <f t="shared" si="6"/>
        <v>1</v>
      </c>
    </row>
    <row r="335" spans="1:5" hidden="1" x14ac:dyDescent="0.35">
      <c r="A335" s="1" t="s">
        <v>776</v>
      </c>
      <c r="B335" s="1" t="s">
        <v>313</v>
      </c>
      <c r="C335" s="1" t="s">
        <v>1302</v>
      </c>
      <c r="D335" s="1" t="s">
        <v>2614</v>
      </c>
      <c r="E335">
        <f t="shared" si="6"/>
        <v>1</v>
      </c>
    </row>
    <row r="336" spans="1:5" ht="29" hidden="1" x14ac:dyDescent="0.35">
      <c r="A336" s="1" t="s">
        <v>776</v>
      </c>
      <c r="B336" s="1" t="s">
        <v>319</v>
      </c>
      <c r="C336" s="1" t="s">
        <v>1303</v>
      </c>
      <c r="D336" s="1" t="s">
        <v>2614</v>
      </c>
      <c r="E336">
        <f t="shared" si="6"/>
        <v>1</v>
      </c>
    </row>
    <row r="337" spans="1:5" hidden="1" x14ac:dyDescent="0.35">
      <c r="A337" s="1" t="s">
        <v>776</v>
      </c>
      <c r="B337" s="1" t="s">
        <v>310</v>
      </c>
      <c r="C337" s="1" t="s">
        <v>1304</v>
      </c>
      <c r="D337" s="1" t="s">
        <v>2614</v>
      </c>
      <c r="E337">
        <f t="shared" si="6"/>
        <v>1</v>
      </c>
    </row>
    <row r="338" spans="1:5" hidden="1" x14ac:dyDescent="0.35">
      <c r="A338" s="1" t="s">
        <v>776</v>
      </c>
      <c r="B338" s="1" t="s">
        <v>228</v>
      </c>
      <c r="C338" s="1" t="s">
        <v>1305</v>
      </c>
      <c r="D338" s="1" t="s">
        <v>2614</v>
      </c>
      <c r="E338">
        <f t="shared" si="6"/>
        <v>1</v>
      </c>
    </row>
    <row r="339" spans="1:5" hidden="1" x14ac:dyDescent="0.35">
      <c r="A339" s="1" t="s">
        <v>776</v>
      </c>
      <c r="B339" s="1" t="s">
        <v>390</v>
      </c>
      <c r="C339" s="1" t="s">
        <v>1306</v>
      </c>
      <c r="D339" s="1" t="s">
        <v>2614</v>
      </c>
      <c r="E339">
        <f t="shared" si="6"/>
        <v>1</v>
      </c>
    </row>
    <row r="340" spans="1:5" hidden="1" x14ac:dyDescent="0.35">
      <c r="A340" s="1" t="s">
        <v>776</v>
      </c>
      <c r="B340" s="1" t="s">
        <v>274</v>
      </c>
      <c r="C340" s="1" t="s">
        <v>1307</v>
      </c>
      <c r="D340" s="1" t="s">
        <v>2614</v>
      </c>
      <c r="E340">
        <f t="shared" si="6"/>
        <v>1</v>
      </c>
    </row>
    <row r="341" spans="1:5" hidden="1" x14ac:dyDescent="0.35">
      <c r="A341" s="1" t="s">
        <v>776</v>
      </c>
      <c r="B341" s="1" t="s">
        <v>344</v>
      </c>
      <c r="C341" s="1" t="s">
        <v>1308</v>
      </c>
      <c r="D341" s="1" t="s">
        <v>2614</v>
      </c>
      <c r="E341">
        <f t="shared" si="6"/>
        <v>1</v>
      </c>
    </row>
    <row r="342" spans="1:5" hidden="1" x14ac:dyDescent="0.35">
      <c r="A342" s="1" t="s">
        <v>776</v>
      </c>
      <c r="B342" s="1" t="s">
        <v>279</v>
      </c>
      <c r="C342" s="1" t="s">
        <v>1309</v>
      </c>
      <c r="D342" s="1" t="s">
        <v>2614</v>
      </c>
      <c r="E342">
        <f t="shared" si="6"/>
        <v>1</v>
      </c>
    </row>
    <row r="343" spans="1:5" hidden="1" x14ac:dyDescent="0.35">
      <c r="A343" s="1" t="s">
        <v>776</v>
      </c>
      <c r="B343" s="1" t="s">
        <v>272</v>
      </c>
      <c r="C343" s="1" t="s">
        <v>1310</v>
      </c>
      <c r="D343" s="1" t="s">
        <v>2615</v>
      </c>
      <c r="E343">
        <f t="shared" si="6"/>
        <v>1</v>
      </c>
    </row>
    <row r="344" spans="1:5" hidden="1" x14ac:dyDescent="0.35">
      <c r="A344" s="1" t="s">
        <v>776</v>
      </c>
      <c r="B344" s="1" t="s">
        <v>273</v>
      </c>
      <c r="C344" s="1" t="s">
        <v>1312</v>
      </c>
      <c r="D344" s="1" t="s">
        <v>2615</v>
      </c>
      <c r="E344">
        <f t="shared" si="6"/>
        <v>1</v>
      </c>
    </row>
    <row r="345" spans="1:5" hidden="1" x14ac:dyDescent="0.35">
      <c r="A345" s="1" t="s">
        <v>776</v>
      </c>
      <c r="B345" s="1" t="s">
        <v>343</v>
      </c>
      <c r="C345" s="1" t="s">
        <v>1313</v>
      </c>
      <c r="D345" s="1" t="s">
        <v>2614</v>
      </c>
      <c r="E345">
        <f t="shared" si="6"/>
        <v>1</v>
      </c>
    </row>
    <row r="346" spans="1:5" hidden="1" x14ac:dyDescent="0.35">
      <c r="A346" s="1" t="s">
        <v>776</v>
      </c>
      <c r="B346" s="1" t="s">
        <v>235</v>
      </c>
      <c r="C346" s="1" t="s">
        <v>1314</v>
      </c>
      <c r="D346" s="1" t="s">
        <v>2614</v>
      </c>
      <c r="E346">
        <f t="shared" si="6"/>
        <v>1</v>
      </c>
    </row>
    <row r="347" spans="1:5" hidden="1" x14ac:dyDescent="0.35">
      <c r="A347" s="1" t="s">
        <v>776</v>
      </c>
      <c r="B347" s="1" t="s">
        <v>303</v>
      </c>
      <c r="C347" s="1" t="s">
        <v>1315</v>
      </c>
      <c r="D347" s="1" t="s">
        <v>2614</v>
      </c>
      <c r="E347">
        <f t="shared" si="6"/>
        <v>1</v>
      </c>
    </row>
    <row r="348" spans="1:5" hidden="1" x14ac:dyDescent="0.35">
      <c r="A348" s="1" t="s">
        <v>776</v>
      </c>
      <c r="B348" s="1" t="s">
        <v>168</v>
      </c>
      <c r="C348" s="1" t="s">
        <v>1357</v>
      </c>
      <c r="D348" s="43" t="s">
        <v>2615</v>
      </c>
      <c r="E348">
        <f t="shared" si="6"/>
        <v>1</v>
      </c>
    </row>
    <row r="349" spans="1:5" hidden="1" x14ac:dyDescent="0.35">
      <c r="A349" s="1" t="s">
        <v>776</v>
      </c>
      <c r="B349" s="1" t="s">
        <v>166</v>
      </c>
      <c r="C349" s="1" t="s">
        <v>2294</v>
      </c>
      <c r="D349" s="43" t="s">
        <v>2615</v>
      </c>
      <c r="E349">
        <f t="shared" si="6"/>
        <v>1</v>
      </c>
    </row>
    <row r="350" spans="1:5" hidden="1" x14ac:dyDescent="0.35">
      <c r="A350" s="1" t="s">
        <v>776</v>
      </c>
      <c r="B350" s="1" t="s">
        <v>332</v>
      </c>
      <c r="C350" s="1" t="s">
        <v>1318</v>
      </c>
      <c r="D350" s="1" t="s">
        <v>2614</v>
      </c>
      <c r="E350">
        <f t="shared" si="6"/>
        <v>1</v>
      </c>
    </row>
    <row r="351" spans="1:5" hidden="1" x14ac:dyDescent="0.35">
      <c r="A351" s="1" t="s">
        <v>776</v>
      </c>
      <c r="B351" s="1" t="s">
        <v>294</v>
      </c>
      <c r="C351" s="1" t="s">
        <v>1319</v>
      </c>
      <c r="D351" s="1" t="s">
        <v>2614</v>
      </c>
      <c r="E351">
        <f t="shared" si="6"/>
        <v>1</v>
      </c>
    </row>
    <row r="352" spans="1:5" hidden="1" x14ac:dyDescent="0.35">
      <c r="A352" s="1" t="s">
        <v>776</v>
      </c>
      <c r="B352" s="1" t="s">
        <v>233</v>
      </c>
      <c r="C352" s="1" t="s">
        <v>789</v>
      </c>
      <c r="D352" s="1" t="s">
        <v>2614</v>
      </c>
      <c r="E352">
        <f t="shared" si="6"/>
        <v>1</v>
      </c>
    </row>
    <row r="353" spans="1:5" hidden="1" x14ac:dyDescent="0.35">
      <c r="A353" s="1" t="s">
        <v>776</v>
      </c>
      <c r="B353" s="1" t="s">
        <v>1320</v>
      </c>
      <c r="C353" s="1" t="s">
        <v>1321</v>
      </c>
      <c r="D353" s="1" t="s">
        <v>2614</v>
      </c>
      <c r="E353">
        <f t="shared" si="6"/>
        <v>1</v>
      </c>
    </row>
    <row r="354" spans="1:5" hidden="1" x14ac:dyDescent="0.35">
      <c r="A354" s="1" t="s">
        <v>776</v>
      </c>
      <c r="B354" s="1" t="s">
        <v>213</v>
      </c>
      <c r="C354" s="1" t="s">
        <v>1322</v>
      </c>
      <c r="D354" s="1" t="s">
        <v>2614</v>
      </c>
      <c r="E354">
        <f t="shared" si="6"/>
        <v>1</v>
      </c>
    </row>
    <row r="355" spans="1:5" hidden="1" x14ac:dyDescent="0.35">
      <c r="A355" s="1" t="s">
        <v>776</v>
      </c>
      <c r="B355" s="1" t="s">
        <v>227</v>
      </c>
      <c r="C355" s="1" t="s">
        <v>1323</v>
      </c>
      <c r="D355" s="1" t="s">
        <v>2614</v>
      </c>
      <c r="E355">
        <f t="shared" si="6"/>
        <v>1</v>
      </c>
    </row>
    <row r="356" spans="1:5" hidden="1" x14ac:dyDescent="0.35">
      <c r="A356" s="1" t="s">
        <v>776</v>
      </c>
      <c r="B356" s="1" t="s">
        <v>229</v>
      </c>
      <c r="C356" s="1" t="s">
        <v>1324</v>
      </c>
      <c r="D356" s="1" t="s">
        <v>2614</v>
      </c>
      <c r="E356">
        <f t="shared" si="6"/>
        <v>1</v>
      </c>
    </row>
    <row r="357" spans="1:5" hidden="1" x14ac:dyDescent="0.35">
      <c r="A357" s="1" t="s">
        <v>776</v>
      </c>
      <c r="B357" s="1" t="s">
        <v>1325</v>
      </c>
      <c r="C357" s="1" t="s">
        <v>174</v>
      </c>
      <c r="D357" s="43" t="s">
        <v>2615</v>
      </c>
      <c r="E357">
        <f t="shared" si="6"/>
        <v>1</v>
      </c>
    </row>
    <row r="358" spans="1:5" hidden="1" x14ac:dyDescent="0.35">
      <c r="A358" s="1" t="s">
        <v>776</v>
      </c>
      <c r="B358" s="1" t="s">
        <v>315</v>
      </c>
      <c r="C358" s="1" t="s">
        <v>1331</v>
      </c>
      <c r="D358" s="1" t="s">
        <v>2614</v>
      </c>
      <c r="E358">
        <f t="shared" si="6"/>
        <v>1</v>
      </c>
    </row>
    <row r="359" spans="1:5" hidden="1" x14ac:dyDescent="0.35">
      <c r="A359" s="1" t="s">
        <v>776</v>
      </c>
      <c r="B359" s="1" t="s">
        <v>312</v>
      </c>
      <c r="C359" s="1" t="s">
        <v>1332</v>
      </c>
      <c r="D359" s="1" t="s">
        <v>2614</v>
      </c>
      <c r="E359">
        <f t="shared" si="6"/>
        <v>1</v>
      </c>
    </row>
    <row r="360" spans="1:5" hidden="1" x14ac:dyDescent="0.35">
      <c r="A360" s="1" t="s">
        <v>776</v>
      </c>
      <c r="B360" s="1" t="s">
        <v>309</v>
      </c>
      <c r="C360" s="1" t="s">
        <v>1333</v>
      </c>
      <c r="D360" s="1" t="s">
        <v>2614</v>
      </c>
      <c r="E360">
        <f t="shared" si="6"/>
        <v>1</v>
      </c>
    </row>
    <row r="361" spans="1:5" ht="29" hidden="1" x14ac:dyDescent="0.35">
      <c r="A361" s="1" t="s">
        <v>776</v>
      </c>
      <c r="B361" s="1" t="s">
        <v>318</v>
      </c>
      <c r="C361" s="1" t="s">
        <v>1334</v>
      </c>
      <c r="D361" s="1" t="s">
        <v>2614</v>
      </c>
      <c r="E361">
        <f t="shared" si="6"/>
        <v>1</v>
      </c>
    </row>
    <row r="362" spans="1:5" hidden="1" x14ac:dyDescent="0.35">
      <c r="A362" s="1" t="s">
        <v>776</v>
      </c>
      <c r="B362" s="1" t="s">
        <v>382</v>
      </c>
      <c r="C362" s="1" t="s">
        <v>1335</v>
      </c>
      <c r="D362" s="43" t="s">
        <v>2615</v>
      </c>
      <c r="E362">
        <f t="shared" si="6"/>
        <v>1</v>
      </c>
    </row>
    <row r="363" spans="1:5" hidden="1" x14ac:dyDescent="0.35">
      <c r="A363" s="1" t="s">
        <v>776</v>
      </c>
      <c r="B363" s="1" t="s">
        <v>1336</v>
      </c>
      <c r="C363" s="1" t="s">
        <v>1337</v>
      </c>
      <c r="D363" s="1" t="s">
        <v>2614</v>
      </c>
      <c r="E363">
        <f t="shared" si="6"/>
        <v>1</v>
      </c>
    </row>
    <row r="364" spans="1:5" ht="29" hidden="1" x14ac:dyDescent="0.35">
      <c r="A364" s="1" t="s">
        <v>776</v>
      </c>
      <c r="B364" s="1" t="s">
        <v>376</v>
      </c>
      <c r="C364" s="1" t="s">
        <v>1338</v>
      </c>
      <c r="D364" s="1" t="s">
        <v>2614</v>
      </c>
      <c r="E364">
        <f t="shared" si="6"/>
        <v>1</v>
      </c>
    </row>
    <row r="365" spans="1:5" ht="29" hidden="1" x14ac:dyDescent="0.35">
      <c r="A365" s="1" t="s">
        <v>776</v>
      </c>
      <c r="B365" s="1" t="s">
        <v>378</v>
      </c>
      <c r="C365" s="1" t="s">
        <v>1339</v>
      </c>
      <c r="D365" s="1" t="s">
        <v>2614</v>
      </c>
      <c r="E365">
        <f t="shared" si="6"/>
        <v>1</v>
      </c>
    </row>
    <row r="366" spans="1:5" ht="29" hidden="1" x14ac:dyDescent="0.35">
      <c r="A366" s="1" t="s">
        <v>776</v>
      </c>
      <c r="B366" s="1" t="s">
        <v>377</v>
      </c>
      <c r="C366" s="1" t="s">
        <v>1340</v>
      </c>
      <c r="D366" s="1" t="s">
        <v>2614</v>
      </c>
      <c r="E366">
        <f t="shared" si="6"/>
        <v>1</v>
      </c>
    </row>
    <row r="367" spans="1:5" hidden="1" x14ac:dyDescent="0.35">
      <c r="A367" s="1" t="s">
        <v>776</v>
      </c>
      <c r="B367" s="1" t="s">
        <v>610</v>
      </c>
      <c r="C367" s="1" t="s">
        <v>1516</v>
      </c>
      <c r="D367" s="1" t="s">
        <v>2614</v>
      </c>
      <c r="E367">
        <f t="shared" si="6"/>
        <v>1</v>
      </c>
    </row>
    <row r="368" spans="1:5" hidden="1" x14ac:dyDescent="0.35">
      <c r="A368" s="1" t="s">
        <v>776</v>
      </c>
      <c r="B368" s="1" t="s">
        <v>293</v>
      </c>
      <c r="C368" s="1" t="s">
        <v>1342</v>
      </c>
      <c r="D368" s="1" t="s">
        <v>2614</v>
      </c>
      <c r="E368">
        <f t="shared" si="6"/>
        <v>1</v>
      </c>
    </row>
    <row r="369" spans="1:5" hidden="1" x14ac:dyDescent="0.35">
      <c r="A369" s="1" t="s">
        <v>776</v>
      </c>
      <c r="B369" s="1" t="s">
        <v>205</v>
      </c>
      <c r="C369" s="1" t="s">
        <v>1343</v>
      </c>
      <c r="D369" s="43" t="s">
        <v>2615</v>
      </c>
      <c r="E369">
        <f t="shared" si="6"/>
        <v>1</v>
      </c>
    </row>
    <row r="370" spans="1:5" hidden="1" x14ac:dyDescent="0.35">
      <c r="A370" s="1" t="s">
        <v>776</v>
      </c>
      <c r="B370" s="1" t="s">
        <v>206</v>
      </c>
      <c r="C370" s="1" t="s">
        <v>1344</v>
      </c>
      <c r="D370" s="43" t="s">
        <v>2615</v>
      </c>
      <c r="E370">
        <f t="shared" si="6"/>
        <v>1</v>
      </c>
    </row>
    <row r="371" spans="1:5" hidden="1" x14ac:dyDescent="0.35">
      <c r="A371" s="1" t="s">
        <v>776</v>
      </c>
      <c r="B371" s="1" t="s">
        <v>367</v>
      </c>
      <c r="C371" s="1" t="s">
        <v>2371</v>
      </c>
      <c r="D371" s="1" t="s">
        <v>2614</v>
      </c>
      <c r="E371">
        <f t="shared" si="6"/>
        <v>1</v>
      </c>
    </row>
    <row r="372" spans="1:5" ht="29" hidden="1" x14ac:dyDescent="0.35">
      <c r="A372" s="1" t="s">
        <v>776</v>
      </c>
      <c r="B372" s="1" t="s">
        <v>292</v>
      </c>
      <c r="C372" s="1" t="s">
        <v>1347</v>
      </c>
      <c r="D372" s="1" t="s">
        <v>2614</v>
      </c>
      <c r="E372">
        <f t="shared" si="6"/>
        <v>1</v>
      </c>
    </row>
    <row r="373" spans="1:5" hidden="1" x14ac:dyDescent="0.35">
      <c r="B373" t="s">
        <v>994</v>
      </c>
      <c r="C373" t="s">
        <v>2392</v>
      </c>
      <c r="D373" t="s">
        <v>2614</v>
      </c>
      <c r="E373">
        <f t="shared" si="6"/>
        <v>2</v>
      </c>
    </row>
    <row r="374" spans="1:5" hidden="1" x14ac:dyDescent="0.35">
      <c r="A374" s="1" t="s">
        <v>776</v>
      </c>
      <c r="B374" s="1" t="s">
        <v>1350</v>
      </c>
      <c r="C374" s="1" t="s">
        <v>162</v>
      </c>
      <c r="D374" s="1" t="s">
        <v>2615</v>
      </c>
      <c r="E374">
        <f t="shared" si="6"/>
        <v>1</v>
      </c>
    </row>
    <row r="375" spans="1:5" hidden="1" x14ac:dyDescent="0.35">
      <c r="A375" s="1" t="s">
        <v>776</v>
      </c>
      <c r="B375" s="1" t="s">
        <v>1352</v>
      </c>
      <c r="C375" s="1" t="s">
        <v>1353</v>
      </c>
      <c r="D375" s="1" t="s">
        <v>2615</v>
      </c>
      <c r="E375">
        <f t="shared" si="6"/>
        <v>1</v>
      </c>
    </row>
    <row r="376" spans="1:5" ht="29" hidden="1" x14ac:dyDescent="0.35">
      <c r="A376" s="1" t="s">
        <v>776</v>
      </c>
      <c r="B376" s="1" t="s">
        <v>374</v>
      </c>
      <c r="C376" s="1" t="s">
        <v>2556</v>
      </c>
      <c r="D376" s="1" t="s">
        <v>2614</v>
      </c>
      <c r="E376">
        <f t="shared" si="6"/>
        <v>1</v>
      </c>
    </row>
    <row r="377" spans="1:5" hidden="1" x14ac:dyDescent="0.35">
      <c r="A377" s="1" t="s">
        <v>776</v>
      </c>
      <c r="B377" s="1" t="s">
        <v>280</v>
      </c>
      <c r="C377" s="1" t="s">
        <v>1355</v>
      </c>
      <c r="D377" s="1" t="s">
        <v>2614</v>
      </c>
      <c r="E377">
        <f t="shared" si="6"/>
        <v>1</v>
      </c>
    </row>
    <row r="378" spans="1:5" hidden="1" x14ac:dyDescent="0.35">
      <c r="A378" s="1" t="s">
        <v>776</v>
      </c>
      <c r="B378" s="1" t="s">
        <v>231</v>
      </c>
      <c r="C378" s="1" t="s">
        <v>1356</v>
      </c>
      <c r="D378" s="1" t="s">
        <v>2615</v>
      </c>
      <c r="E378">
        <f t="shared" si="6"/>
        <v>1</v>
      </c>
    </row>
    <row r="379" spans="1:5" hidden="1" x14ac:dyDescent="0.35">
      <c r="A379" s="1" t="s">
        <v>776</v>
      </c>
      <c r="B379" s="1" t="s">
        <v>170</v>
      </c>
      <c r="C379" s="1" t="s">
        <v>1311</v>
      </c>
      <c r="D379" s="1" t="s">
        <v>2615</v>
      </c>
      <c r="E379">
        <f t="shared" si="6"/>
        <v>1</v>
      </c>
    </row>
    <row r="380" spans="1:5" hidden="1" x14ac:dyDescent="0.35">
      <c r="A380" s="1" t="s">
        <v>776</v>
      </c>
      <c r="B380" s="1" t="s">
        <v>2276</v>
      </c>
      <c r="C380" s="1" t="s">
        <v>1359</v>
      </c>
      <c r="D380" s="1" t="s">
        <v>2615</v>
      </c>
      <c r="E380">
        <f t="shared" si="6"/>
        <v>1</v>
      </c>
    </row>
    <row r="381" spans="1:5" hidden="1" x14ac:dyDescent="0.35">
      <c r="A381" s="1" t="s">
        <v>776</v>
      </c>
      <c r="B381" s="1" t="s">
        <v>339</v>
      </c>
      <c r="C381" s="1" t="s">
        <v>1361</v>
      </c>
      <c r="D381" s="1" t="s">
        <v>2615</v>
      </c>
      <c r="E381">
        <f t="shared" si="6"/>
        <v>1</v>
      </c>
    </row>
    <row r="382" spans="1:5" hidden="1" x14ac:dyDescent="0.35">
      <c r="A382" s="1" t="s">
        <v>776</v>
      </c>
      <c r="B382" s="1" t="s">
        <v>198</v>
      </c>
      <c r="C382" s="1" t="s">
        <v>1362</v>
      </c>
      <c r="D382" s="1" t="s">
        <v>2615</v>
      </c>
      <c r="E382">
        <f t="shared" si="6"/>
        <v>1</v>
      </c>
    </row>
    <row r="383" spans="1:5" hidden="1" x14ac:dyDescent="0.35">
      <c r="A383" s="1" t="s">
        <v>776</v>
      </c>
      <c r="B383" s="1" t="s">
        <v>212</v>
      </c>
      <c r="C383" s="1" t="s">
        <v>1363</v>
      </c>
      <c r="D383" s="1" t="s">
        <v>2614</v>
      </c>
      <c r="E383">
        <f t="shared" si="6"/>
        <v>1</v>
      </c>
    </row>
    <row r="384" spans="1:5" hidden="1" x14ac:dyDescent="0.35">
      <c r="A384" s="1" t="s">
        <v>776</v>
      </c>
      <c r="B384" s="1" t="s">
        <v>236</v>
      </c>
      <c r="C384" s="1" t="s">
        <v>1365</v>
      </c>
      <c r="D384" s="1" t="s">
        <v>2615</v>
      </c>
      <c r="E384">
        <f t="shared" si="6"/>
        <v>1</v>
      </c>
    </row>
    <row r="385" spans="1:5" hidden="1" x14ac:dyDescent="0.35">
      <c r="A385" s="1" t="s">
        <v>776</v>
      </c>
      <c r="B385" s="1" t="s">
        <v>172</v>
      </c>
      <c r="C385" s="1" t="s">
        <v>1368</v>
      </c>
      <c r="D385" s="1" t="s">
        <v>2614</v>
      </c>
      <c r="E385">
        <f t="shared" si="6"/>
        <v>1</v>
      </c>
    </row>
    <row r="386" spans="1:5" hidden="1" x14ac:dyDescent="0.35">
      <c r="A386" s="1" t="s">
        <v>776</v>
      </c>
      <c r="B386" s="1" t="s">
        <v>278</v>
      </c>
      <c r="C386" s="1" t="s">
        <v>1369</v>
      </c>
      <c r="D386" s="1" t="s">
        <v>2614</v>
      </c>
      <c r="E386">
        <f t="shared" si="6"/>
        <v>1</v>
      </c>
    </row>
    <row r="387" spans="1:5" hidden="1" x14ac:dyDescent="0.35">
      <c r="A387" s="1" t="s">
        <v>776</v>
      </c>
      <c r="B387" s="1" t="s">
        <v>391</v>
      </c>
      <c r="C387" s="1" t="s">
        <v>1371</v>
      </c>
      <c r="D387" s="1" t="s">
        <v>2614</v>
      </c>
      <c r="E387">
        <f t="shared" si="6"/>
        <v>1</v>
      </c>
    </row>
    <row r="388" spans="1:5" hidden="1" x14ac:dyDescent="0.35">
      <c r="A388" s="1" t="s">
        <v>776</v>
      </c>
      <c r="B388" s="1" t="s">
        <v>196</v>
      </c>
      <c r="C388" s="1" t="s">
        <v>1372</v>
      </c>
      <c r="D388" s="1" t="s">
        <v>2615</v>
      </c>
      <c r="E388">
        <f t="shared" si="6"/>
        <v>1</v>
      </c>
    </row>
    <row r="389" spans="1:5" hidden="1" x14ac:dyDescent="0.35">
      <c r="A389" s="1" t="s">
        <v>776</v>
      </c>
      <c r="B389" s="1" t="s">
        <v>197</v>
      </c>
      <c r="C389" s="1" t="s">
        <v>1374</v>
      </c>
      <c r="D389" s="1" t="s">
        <v>2615</v>
      </c>
      <c r="E389">
        <f t="shared" si="6"/>
        <v>1</v>
      </c>
    </row>
    <row r="390" spans="1:5" hidden="1" x14ac:dyDescent="0.35">
      <c r="A390" s="1" t="s">
        <v>776</v>
      </c>
      <c r="B390" s="1" t="s">
        <v>345</v>
      </c>
      <c r="C390" s="1" t="s">
        <v>1375</v>
      </c>
      <c r="D390" s="1" t="s">
        <v>2614</v>
      </c>
      <c r="E390">
        <f t="shared" si="6"/>
        <v>1</v>
      </c>
    </row>
    <row r="391" spans="1:5" hidden="1" x14ac:dyDescent="0.35">
      <c r="A391" s="1" t="s">
        <v>776</v>
      </c>
      <c r="B391" s="1" t="s">
        <v>204</v>
      </c>
      <c r="C391" s="1" t="s">
        <v>1377</v>
      </c>
      <c r="D391" s="43" t="s">
        <v>2615</v>
      </c>
      <c r="E391">
        <f t="shared" si="6"/>
        <v>1</v>
      </c>
    </row>
    <row r="392" spans="1:5" hidden="1" x14ac:dyDescent="0.35">
      <c r="A392" s="1" t="s">
        <v>776</v>
      </c>
      <c r="B392" s="1" t="s">
        <v>218</v>
      </c>
      <c r="C392" s="1" t="s">
        <v>1378</v>
      </c>
      <c r="D392" s="43" t="s">
        <v>2615</v>
      </c>
      <c r="E392">
        <f t="shared" si="6"/>
        <v>1</v>
      </c>
    </row>
    <row r="393" spans="1:5" ht="29" hidden="1" x14ac:dyDescent="0.35">
      <c r="A393" s="1" t="s">
        <v>776</v>
      </c>
      <c r="B393" s="1" t="s">
        <v>366</v>
      </c>
      <c r="C393" s="1" t="s">
        <v>1379</v>
      </c>
      <c r="D393" s="1" t="s">
        <v>2614</v>
      </c>
      <c r="E393">
        <f t="shared" si="6"/>
        <v>1</v>
      </c>
    </row>
    <row r="394" spans="1:5" hidden="1" x14ac:dyDescent="0.35">
      <c r="A394" s="1" t="s">
        <v>776</v>
      </c>
      <c r="B394" s="1" t="s">
        <v>387</v>
      </c>
      <c r="C394" s="1" t="s">
        <v>2466</v>
      </c>
      <c r="D394" s="1" t="s">
        <v>2615</v>
      </c>
      <c r="E394">
        <f t="shared" ref="E394:E457" si="7">COUNTIF(C:C,C394)</f>
        <v>1</v>
      </c>
    </row>
    <row r="395" spans="1:5" hidden="1" x14ac:dyDescent="0.35">
      <c r="A395" s="1" t="s">
        <v>776</v>
      </c>
      <c r="B395" s="1" t="s">
        <v>1518</v>
      </c>
      <c r="C395" s="1" t="s">
        <v>1519</v>
      </c>
      <c r="D395" s="1" t="s">
        <v>2614</v>
      </c>
      <c r="E395">
        <f t="shared" si="7"/>
        <v>1</v>
      </c>
    </row>
    <row r="396" spans="1:5" ht="29" hidden="1" x14ac:dyDescent="0.35">
      <c r="A396" s="1" t="s">
        <v>776</v>
      </c>
      <c r="B396" s="1" t="s">
        <v>379</v>
      </c>
      <c r="C396" s="1" t="s">
        <v>1381</v>
      </c>
      <c r="D396" s="1" t="s">
        <v>2614</v>
      </c>
      <c r="E396">
        <f t="shared" si="7"/>
        <v>1</v>
      </c>
    </row>
    <row r="397" spans="1:5" hidden="1" x14ac:dyDescent="0.35">
      <c r="A397" s="1" t="s">
        <v>776</v>
      </c>
      <c r="B397" s="1" t="s">
        <v>348</v>
      </c>
      <c r="C397" s="1" t="s">
        <v>1382</v>
      </c>
      <c r="D397" s="1" t="s">
        <v>2614</v>
      </c>
      <c r="E397">
        <f t="shared" si="7"/>
        <v>1</v>
      </c>
    </row>
    <row r="398" spans="1:5" hidden="1" x14ac:dyDescent="0.35">
      <c r="A398" s="1" t="s">
        <v>776</v>
      </c>
      <c r="B398" s="1" t="s">
        <v>347</v>
      </c>
      <c r="C398" s="1" t="s">
        <v>1386</v>
      </c>
      <c r="D398" s="1" t="s">
        <v>2614</v>
      </c>
      <c r="E398">
        <f t="shared" si="7"/>
        <v>1</v>
      </c>
    </row>
    <row r="399" spans="1:5" hidden="1" x14ac:dyDescent="0.35">
      <c r="A399" s="1" t="s">
        <v>776</v>
      </c>
      <c r="B399" s="1" t="s">
        <v>1387</v>
      </c>
      <c r="C399" s="1" t="s">
        <v>2372</v>
      </c>
      <c r="D399" s="1" t="s">
        <v>2614</v>
      </c>
      <c r="E399">
        <f t="shared" si="7"/>
        <v>1</v>
      </c>
    </row>
    <row r="400" spans="1:5" hidden="1" x14ac:dyDescent="0.35">
      <c r="A400" s="1" t="s">
        <v>776</v>
      </c>
      <c r="B400" s="1" t="s">
        <v>349</v>
      </c>
      <c r="C400" s="1" t="s">
        <v>1389</v>
      </c>
      <c r="D400" s="1" t="s">
        <v>2614</v>
      </c>
      <c r="E400">
        <f t="shared" si="7"/>
        <v>1</v>
      </c>
    </row>
    <row r="401" spans="1:5" hidden="1" x14ac:dyDescent="0.35">
      <c r="A401" s="1" t="s">
        <v>776</v>
      </c>
      <c r="B401" s="1" t="s">
        <v>350</v>
      </c>
      <c r="C401" s="1" t="s">
        <v>1390</v>
      </c>
      <c r="D401" s="1" t="s">
        <v>2614</v>
      </c>
      <c r="E401">
        <f t="shared" si="7"/>
        <v>1</v>
      </c>
    </row>
    <row r="402" spans="1:5" hidden="1" x14ac:dyDescent="0.35">
      <c r="A402" s="1" t="s">
        <v>776</v>
      </c>
      <c r="B402" s="1" t="s">
        <v>1391</v>
      </c>
      <c r="C402" s="1" t="s">
        <v>1392</v>
      </c>
      <c r="D402" s="1" t="s">
        <v>2614</v>
      </c>
      <c r="E402">
        <f t="shared" si="7"/>
        <v>1</v>
      </c>
    </row>
    <row r="403" spans="1:5" hidden="1" x14ac:dyDescent="0.35">
      <c r="A403" s="1" t="s">
        <v>776</v>
      </c>
      <c r="B403" s="1" t="s">
        <v>351</v>
      </c>
      <c r="C403" s="1" t="s">
        <v>1393</v>
      </c>
      <c r="D403" s="1" t="s">
        <v>2614</v>
      </c>
      <c r="E403">
        <f t="shared" si="7"/>
        <v>1</v>
      </c>
    </row>
    <row r="404" spans="1:5" hidden="1" x14ac:dyDescent="0.35">
      <c r="A404" s="1" t="s">
        <v>776</v>
      </c>
      <c r="B404" s="1" t="s">
        <v>352</v>
      </c>
      <c r="C404" s="1" t="s">
        <v>1395</v>
      </c>
      <c r="D404" s="1" t="s">
        <v>2614</v>
      </c>
      <c r="E404">
        <f t="shared" si="7"/>
        <v>1</v>
      </c>
    </row>
    <row r="405" spans="1:5" hidden="1" x14ac:dyDescent="0.35">
      <c r="A405" s="1" t="s">
        <v>776</v>
      </c>
      <c r="B405" s="1" t="s">
        <v>353</v>
      </c>
      <c r="C405" s="1" t="s">
        <v>1396</v>
      </c>
      <c r="D405" s="1" t="s">
        <v>2614</v>
      </c>
      <c r="E405">
        <f t="shared" si="7"/>
        <v>1</v>
      </c>
    </row>
    <row r="406" spans="1:5" hidden="1" x14ac:dyDescent="0.35">
      <c r="A406" s="1" t="s">
        <v>776</v>
      </c>
      <c r="B406" s="1" t="s">
        <v>2277</v>
      </c>
      <c r="C406" s="1" t="s">
        <v>1398</v>
      </c>
      <c r="D406" s="1" t="s">
        <v>2614</v>
      </c>
      <c r="E406">
        <f t="shared" si="7"/>
        <v>1</v>
      </c>
    </row>
    <row r="407" spans="1:5" hidden="1" x14ac:dyDescent="0.35">
      <c r="A407" s="1" t="s">
        <v>776</v>
      </c>
      <c r="B407" s="1" t="s">
        <v>2278</v>
      </c>
      <c r="C407" s="1" t="s">
        <v>1400</v>
      </c>
      <c r="D407" s="1" t="s">
        <v>2614</v>
      </c>
      <c r="E407">
        <f t="shared" si="7"/>
        <v>1</v>
      </c>
    </row>
    <row r="408" spans="1:5" hidden="1" x14ac:dyDescent="0.35">
      <c r="A408" s="1" t="s">
        <v>776</v>
      </c>
      <c r="B408" s="1" t="s">
        <v>1401</v>
      </c>
      <c r="C408" s="1" t="s">
        <v>1402</v>
      </c>
      <c r="D408" s="1" t="s">
        <v>2614</v>
      </c>
      <c r="E408">
        <f t="shared" si="7"/>
        <v>1</v>
      </c>
    </row>
    <row r="409" spans="1:5" ht="29" hidden="1" x14ac:dyDescent="0.35">
      <c r="A409" s="1" t="s">
        <v>776</v>
      </c>
      <c r="B409" s="1" t="s">
        <v>1403</v>
      </c>
      <c r="C409" s="1" t="s">
        <v>1404</v>
      </c>
      <c r="D409" s="1" t="s">
        <v>2614</v>
      </c>
      <c r="E409">
        <f t="shared" si="7"/>
        <v>1</v>
      </c>
    </row>
    <row r="410" spans="1:5" hidden="1" x14ac:dyDescent="0.35">
      <c r="B410" t="s">
        <v>1069</v>
      </c>
      <c r="C410" t="s">
        <v>2392</v>
      </c>
      <c r="D410" t="s">
        <v>2614</v>
      </c>
      <c r="E410">
        <f t="shared" si="7"/>
        <v>2</v>
      </c>
    </row>
    <row r="411" spans="1:5" hidden="1" x14ac:dyDescent="0.35">
      <c r="A411" s="1" t="s">
        <v>859</v>
      </c>
      <c r="B411" s="1" t="s">
        <v>1530</v>
      </c>
      <c r="C411" s="43" t="s">
        <v>1529</v>
      </c>
      <c r="D411" s="43" t="s">
        <v>2615</v>
      </c>
      <c r="E411">
        <f t="shared" si="7"/>
        <v>2</v>
      </c>
    </row>
    <row r="412" spans="1:5" ht="29" hidden="1" x14ac:dyDescent="0.35">
      <c r="A412" s="1" t="s">
        <v>776</v>
      </c>
      <c r="B412" s="1" t="s">
        <v>1409</v>
      </c>
      <c r="C412" s="1" t="s">
        <v>1410</v>
      </c>
      <c r="D412" s="1" t="s">
        <v>2614</v>
      </c>
      <c r="E412">
        <f t="shared" si="7"/>
        <v>1</v>
      </c>
    </row>
    <row r="413" spans="1:5" hidden="1" x14ac:dyDescent="0.35">
      <c r="A413" s="1" t="s">
        <v>543</v>
      </c>
      <c r="B413" s="1" t="s">
        <v>202</v>
      </c>
      <c r="C413" s="1" t="s">
        <v>1529</v>
      </c>
      <c r="D413" s="1" t="s">
        <v>2615</v>
      </c>
      <c r="E413">
        <f t="shared" si="7"/>
        <v>2</v>
      </c>
    </row>
    <row r="414" spans="1:5" hidden="1" x14ac:dyDescent="0.35">
      <c r="A414" s="1" t="s">
        <v>859</v>
      </c>
      <c r="B414" s="1" t="s">
        <v>570</v>
      </c>
      <c r="C414" s="43" t="s">
        <v>2018</v>
      </c>
      <c r="D414" s="43" t="s">
        <v>2614</v>
      </c>
      <c r="E414">
        <f t="shared" si="7"/>
        <v>1</v>
      </c>
    </row>
    <row r="415" spans="1:5" hidden="1" x14ac:dyDescent="0.35">
      <c r="A415" s="1" t="s">
        <v>776</v>
      </c>
      <c r="B415" s="1" t="s">
        <v>1413</v>
      </c>
      <c r="C415" s="1" t="s">
        <v>1414</v>
      </c>
      <c r="D415" s="1" t="s">
        <v>2614</v>
      </c>
      <c r="E415">
        <f t="shared" si="7"/>
        <v>1</v>
      </c>
    </row>
    <row r="416" spans="1:5" hidden="1" x14ac:dyDescent="0.35">
      <c r="A416" s="1" t="s">
        <v>776</v>
      </c>
      <c r="B416" s="1" t="s">
        <v>255</v>
      </c>
      <c r="C416" s="1" t="s">
        <v>1415</v>
      </c>
      <c r="D416" s="1" t="s">
        <v>2614</v>
      </c>
      <c r="E416">
        <f t="shared" si="7"/>
        <v>1</v>
      </c>
    </row>
    <row r="417" spans="1:5" hidden="1" x14ac:dyDescent="0.35">
      <c r="A417" s="1" t="s">
        <v>776</v>
      </c>
      <c r="B417" s="1" t="s">
        <v>262</v>
      </c>
      <c r="C417" s="1" t="s">
        <v>1416</v>
      </c>
      <c r="D417" s="1" t="s">
        <v>2614</v>
      </c>
      <c r="E417">
        <f t="shared" si="7"/>
        <v>1</v>
      </c>
    </row>
    <row r="418" spans="1:5" hidden="1" x14ac:dyDescent="0.35">
      <c r="A418" s="1" t="s">
        <v>776</v>
      </c>
      <c r="B418" s="1" t="s">
        <v>263</v>
      </c>
      <c r="C418" s="1" t="s">
        <v>1417</v>
      </c>
      <c r="D418" s="1" t="s">
        <v>2614</v>
      </c>
      <c r="E418">
        <f t="shared" si="7"/>
        <v>1</v>
      </c>
    </row>
    <row r="419" spans="1:5" hidden="1" x14ac:dyDescent="0.35">
      <c r="A419" s="1" t="s">
        <v>776</v>
      </c>
      <c r="B419" s="1" t="s">
        <v>1348</v>
      </c>
      <c r="C419" s="1" t="s">
        <v>1349</v>
      </c>
      <c r="D419" s="1" t="s">
        <v>2615</v>
      </c>
      <c r="E419">
        <f t="shared" si="7"/>
        <v>2</v>
      </c>
    </row>
    <row r="420" spans="1:5" hidden="1" x14ac:dyDescent="0.35">
      <c r="A420" s="1" t="s">
        <v>776</v>
      </c>
      <c r="B420" s="1" t="s">
        <v>264</v>
      </c>
      <c r="C420" s="1" t="s">
        <v>1420</v>
      </c>
      <c r="D420" s="1" t="s">
        <v>2614</v>
      </c>
      <c r="E420">
        <f t="shared" si="7"/>
        <v>1</v>
      </c>
    </row>
    <row r="421" spans="1:5" hidden="1" x14ac:dyDescent="0.35">
      <c r="A421" s="1" t="s">
        <v>776</v>
      </c>
      <c r="B421" s="1" t="s">
        <v>1421</v>
      </c>
      <c r="C421" s="1" t="s">
        <v>1422</v>
      </c>
      <c r="D421" s="1" t="s">
        <v>2614</v>
      </c>
      <c r="E421">
        <f t="shared" si="7"/>
        <v>1</v>
      </c>
    </row>
    <row r="422" spans="1:5" hidden="1" x14ac:dyDescent="0.35">
      <c r="A422" s="1" t="s">
        <v>776</v>
      </c>
      <c r="B422" s="1" t="s">
        <v>1424</v>
      </c>
      <c r="C422" s="1" t="s">
        <v>1425</v>
      </c>
      <c r="D422" s="1" t="s">
        <v>2614</v>
      </c>
      <c r="E422">
        <f t="shared" si="7"/>
        <v>1</v>
      </c>
    </row>
    <row r="423" spans="1:5" hidden="1" x14ac:dyDescent="0.35">
      <c r="B423" t="s">
        <v>2249</v>
      </c>
      <c r="C423" t="s">
        <v>2353</v>
      </c>
      <c r="D423" s="43" t="s">
        <v>2615</v>
      </c>
      <c r="E423">
        <f t="shared" si="7"/>
        <v>2</v>
      </c>
    </row>
    <row r="424" spans="1:5" hidden="1" x14ac:dyDescent="0.35">
      <c r="A424" s="1" t="s">
        <v>776</v>
      </c>
      <c r="B424" s="1" t="s">
        <v>230</v>
      </c>
      <c r="C424" s="1" t="s">
        <v>1429</v>
      </c>
      <c r="D424" s="1" t="s">
        <v>2614</v>
      </c>
      <c r="E424">
        <f t="shared" si="7"/>
        <v>1</v>
      </c>
    </row>
    <row r="425" spans="1:5" hidden="1" x14ac:dyDescent="0.35">
      <c r="A425" s="1" t="s">
        <v>776</v>
      </c>
      <c r="B425" s="1" t="s">
        <v>317</v>
      </c>
      <c r="C425" s="1" t="s">
        <v>1430</v>
      </c>
      <c r="D425" s="1" t="s">
        <v>2614</v>
      </c>
      <c r="E425">
        <f t="shared" si="7"/>
        <v>1</v>
      </c>
    </row>
    <row r="426" spans="1:5" ht="29" hidden="1" x14ac:dyDescent="0.35">
      <c r="A426" s="1" t="s">
        <v>776</v>
      </c>
      <c r="B426" s="1" t="s">
        <v>314</v>
      </c>
      <c r="C426" s="1" t="s">
        <v>1431</v>
      </c>
      <c r="D426" s="1" t="s">
        <v>2614</v>
      </c>
      <c r="E426">
        <f t="shared" si="7"/>
        <v>1</v>
      </c>
    </row>
    <row r="427" spans="1:5" hidden="1" x14ac:dyDescent="0.35">
      <c r="A427" s="1" t="s">
        <v>776</v>
      </c>
      <c r="B427" s="1" t="s">
        <v>311</v>
      </c>
      <c r="C427" s="1" t="s">
        <v>1432</v>
      </c>
      <c r="D427" s="1" t="s">
        <v>2614</v>
      </c>
      <c r="E427">
        <f t="shared" si="7"/>
        <v>1</v>
      </c>
    </row>
    <row r="428" spans="1:5" ht="29" hidden="1" x14ac:dyDescent="0.35">
      <c r="A428" s="1" t="s">
        <v>776</v>
      </c>
      <c r="B428" s="1" t="s">
        <v>320</v>
      </c>
      <c r="C428" s="1" t="s">
        <v>1433</v>
      </c>
      <c r="D428" s="1" t="s">
        <v>2614</v>
      </c>
      <c r="E428">
        <f t="shared" si="7"/>
        <v>1</v>
      </c>
    </row>
    <row r="429" spans="1:5" ht="29" hidden="1" x14ac:dyDescent="0.35">
      <c r="A429" s="1" t="s">
        <v>776</v>
      </c>
      <c r="B429" s="1" t="s">
        <v>304</v>
      </c>
      <c r="C429" s="1" t="s">
        <v>2476</v>
      </c>
      <c r="D429" s="1" t="s">
        <v>2614</v>
      </c>
      <c r="E429">
        <f t="shared" si="7"/>
        <v>1</v>
      </c>
    </row>
    <row r="430" spans="1:5" hidden="1" x14ac:dyDescent="0.35">
      <c r="A430" s="1" t="s">
        <v>776</v>
      </c>
      <c r="B430" s="1" t="s">
        <v>611</v>
      </c>
      <c r="C430" s="1" t="s">
        <v>1520</v>
      </c>
      <c r="D430" s="1" t="s">
        <v>2614</v>
      </c>
      <c r="E430">
        <f t="shared" si="7"/>
        <v>1</v>
      </c>
    </row>
    <row r="431" spans="1:5" hidden="1" x14ac:dyDescent="0.35">
      <c r="A431" s="1" t="s">
        <v>776</v>
      </c>
      <c r="B431" s="1" t="s">
        <v>392</v>
      </c>
      <c r="C431" s="1" t="s">
        <v>1435</v>
      </c>
      <c r="D431" s="1" t="s">
        <v>2614</v>
      </c>
      <c r="E431">
        <f t="shared" si="7"/>
        <v>1</v>
      </c>
    </row>
    <row r="432" spans="1:5" hidden="1" x14ac:dyDescent="0.35">
      <c r="A432" s="1" t="s">
        <v>776</v>
      </c>
      <c r="B432" s="1" t="s">
        <v>295</v>
      </c>
      <c r="C432" s="1" t="s">
        <v>1437</v>
      </c>
      <c r="D432" s="1" t="s">
        <v>2614</v>
      </c>
      <c r="E432">
        <f t="shared" si="7"/>
        <v>1</v>
      </c>
    </row>
    <row r="433" spans="1:5" hidden="1" x14ac:dyDescent="0.35">
      <c r="A433" s="1" t="s">
        <v>776</v>
      </c>
      <c r="B433" s="1" t="s">
        <v>291</v>
      </c>
      <c r="C433" s="1" t="s">
        <v>1438</v>
      </c>
      <c r="D433" s="1" t="s">
        <v>2614</v>
      </c>
      <c r="E433">
        <f t="shared" si="7"/>
        <v>1</v>
      </c>
    </row>
    <row r="434" spans="1:5" ht="29" hidden="1" x14ac:dyDescent="0.35">
      <c r="A434" s="1" t="s">
        <v>776</v>
      </c>
      <c r="B434" s="1" t="s">
        <v>365</v>
      </c>
      <c r="C434" s="1" t="s">
        <v>1441</v>
      </c>
      <c r="D434" s="1" t="s">
        <v>2614</v>
      </c>
      <c r="E434">
        <f t="shared" si="7"/>
        <v>1</v>
      </c>
    </row>
    <row r="435" spans="1:5" hidden="1" x14ac:dyDescent="0.35">
      <c r="A435" s="1" t="s">
        <v>776</v>
      </c>
      <c r="B435" s="1" t="s">
        <v>237</v>
      </c>
      <c r="C435" s="1" t="s">
        <v>1443</v>
      </c>
      <c r="D435" s="1" t="s">
        <v>2615</v>
      </c>
      <c r="E435">
        <f t="shared" si="7"/>
        <v>1</v>
      </c>
    </row>
    <row r="436" spans="1:5" hidden="1" x14ac:dyDescent="0.35">
      <c r="A436" s="1" t="s">
        <v>776</v>
      </c>
      <c r="B436" s="1" t="s">
        <v>322</v>
      </c>
      <c r="C436" s="1" t="s">
        <v>1444</v>
      </c>
      <c r="D436" s="1" t="s">
        <v>2614</v>
      </c>
      <c r="E436">
        <f t="shared" si="7"/>
        <v>1</v>
      </c>
    </row>
    <row r="437" spans="1:5" hidden="1" x14ac:dyDescent="0.35">
      <c r="A437" s="1" t="s">
        <v>776</v>
      </c>
      <c r="B437" s="1" t="s">
        <v>380</v>
      </c>
      <c r="C437" s="1" t="s">
        <v>1445</v>
      </c>
      <c r="D437" s="1" t="s">
        <v>2615</v>
      </c>
      <c r="E437">
        <f t="shared" si="7"/>
        <v>1</v>
      </c>
    </row>
    <row r="438" spans="1:5" hidden="1" x14ac:dyDescent="0.35">
      <c r="B438" t="s">
        <v>285</v>
      </c>
      <c r="C438" t="s">
        <v>2349</v>
      </c>
      <c r="D438" t="s">
        <v>2614</v>
      </c>
      <c r="E438">
        <f t="shared" si="7"/>
        <v>2</v>
      </c>
    </row>
    <row r="439" spans="1:5" hidden="1" x14ac:dyDescent="0.35">
      <c r="A439" s="1" t="s">
        <v>776</v>
      </c>
      <c r="B439" s="1" t="s">
        <v>336</v>
      </c>
      <c r="C439" s="1" t="s">
        <v>1448</v>
      </c>
      <c r="D439" s="1" t="s">
        <v>2615</v>
      </c>
      <c r="E439">
        <f t="shared" si="7"/>
        <v>1</v>
      </c>
    </row>
    <row r="440" spans="1:5" hidden="1" x14ac:dyDescent="0.35">
      <c r="A440" s="1" t="s">
        <v>776</v>
      </c>
      <c r="B440" s="1" t="s">
        <v>321</v>
      </c>
      <c r="C440" s="1" t="s">
        <v>1449</v>
      </c>
      <c r="D440" s="1" t="s">
        <v>2614</v>
      </c>
      <c r="E440">
        <f t="shared" si="7"/>
        <v>1</v>
      </c>
    </row>
    <row r="441" spans="1:5" hidden="1" x14ac:dyDescent="0.35">
      <c r="A441" s="1" t="s">
        <v>776</v>
      </c>
      <c r="B441" s="1" t="s">
        <v>364</v>
      </c>
      <c r="C441" s="1" t="s">
        <v>1450</v>
      </c>
      <c r="D441" s="1" t="s">
        <v>2615</v>
      </c>
      <c r="E441">
        <f t="shared" si="7"/>
        <v>1</v>
      </c>
    </row>
    <row r="442" spans="1:5" hidden="1" x14ac:dyDescent="0.35">
      <c r="B442" t="s">
        <v>995</v>
      </c>
      <c r="C442" t="s">
        <v>2352</v>
      </c>
      <c r="D442" t="s">
        <v>2614</v>
      </c>
      <c r="E442">
        <f t="shared" si="7"/>
        <v>2</v>
      </c>
    </row>
    <row r="443" spans="1:5" hidden="1" x14ac:dyDescent="0.35">
      <c r="A443" s="1" t="s">
        <v>543</v>
      </c>
      <c r="B443" s="1" t="s">
        <v>412</v>
      </c>
      <c r="C443" s="1" t="s">
        <v>1707</v>
      </c>
      <c r="D443" s="1" t="s">
        <v>2615</v>
      </c>
      <c r="E443">
        <f t="shared" si="7"/>
        <v>1</v>
      </c>
    </row>
    <row r="444" spans="1:5" hidden="1" x14ac:dyDescent="0.35">
      <c r="A444" s="1" t="s">
        <v>776</v>
      </c>
      <c r="B444" s="1" t="s">
        <v>608</v>
      </c>
      <c r="C444" s="1" t="s">
        <v>1513</v>
      </c>
      <c r="D444" s="1" t="s">
        <v>2614</v>
      </c>
      <c r="E444">
        <f t="shared" si="7"/>
        <v>1</v>
      </c>
    </row>
    <row r="445" spans="1:5" hidden="1" x14ac:dyDescent="0.35">
      <c r="A445" s="1" t="s">
        <v>776</v>
      </c>
      <c r="B445" s="1" t="s">
        <v>1521</v>
      </c>
      <c r="C445" s="1" t="s">
        <v>2649</v>
      </c>
      <c r="D445" s="1" t="s">
        <v>2615</v>
      </c>
      <c r="E445">
        <f t="shared" si="7"/>
        <v>1</v>
      </c>
    </row>
    <row r="446" spans="1:5" hidden="1" x14ac:dyDescent="0.35">
      <c r="A446" s="1" t="s">
        <v>776</v>
      </c>
      <c r="B446" s="1" t="s">
        <v>189</v>
      </c>
      <c r="C446" s="1" t="s">
        <v>1454</v>
      </c>
      <c r="D446" s="1" t="s">
        <v>2614</v>
      </c>
      <c r="E446">
        <f t="shared" si="7"/>
        <v>1</v>
      </c>
    </row>
    <row r="447" spans="1:5" hidden="1" x14ac:dyDescent="0.35">
      <c r="A447" s="1" t="s">
        <v>776</v>
      </c>
      <c r="B447" s="1" t="s">
        <v>190</v>
      </c>
      <c r="C447" s="1" t="s">
        <v>1458</v>
      </c>
      <c r="D447" s="1" t="s">
        <v>2614</v>
      </c>
      <c r="E447">
        <f t="shared" si="7"/>
        <v>1</v>
      </c>
    </row>
    <row r="448" spans="1:5" hidden="1" x14ac:dyDescent="0.35">
      <c r="A448" s="1" t="s">
        <v>776</v>
      </c>
      <c r="B448" s="1" t="s">
        <v>171</v>
      </c>
      <c r="C448" s="1" t="s">
        <v>1367</v>
      </c>
      <c r="D448" s="1" t="s">
        <v>2614</v>
      </c>
      <c r="E448">
        <f t="shared" si="7"/>
        <v>2</v>
      </c>
    </row>
    <row r="449" spans="1:5" hidden="1" x14ac:dyDescent="0.35">
      <c r="B449" t="s">
        <v>1076</v>
      </c>
      <c r="C449" t="s">
        <v>1367</v>
      </c>
      <c r="D449" s="1" t="s">
        <v>2614</v>
      </c>
      <c r="E449">
        <f t="shared" si="7"/>
        <v>2</v>
      </c>
    </row>
    <row r="450" spans="1:5" hidden="1" x14ac:dyDescent="0.35">
      <c r="A450" s="1" t="s">
        <v>776</v>
      </c>
      <c r="B450" s="1" t="s">
        <v>223</v>
      </c>
      <c r="C450" s="1" t="s">
        <v>1462</v>
      </c>
      <c r="D450" s="43" t="s">
        <v>2615</v>
      </c>
      <c r="E450">
        <f t="shared" si="7"/>
        <v>1</v>
      </c>
    </row>
    <row r="451" spans="1:5" hidden="1" x14ac:dyDescent="0.35">
      <c r="A451" s="1" t="s">
        <v>776</v>
      </c>
      <c r="B451" s="1" t="s">
        <v>234</v>
      </c>
      <c r="C451" s="1" t="s">
        <v>1467</v>
      </c>
      <c r="D451" s="43" t="s">
        <v>2615</v>
      </c>
      <c r="E451">
        <f t="shared" si="7"/>
        <v>1</v>
      </c>
    </row>
    <row r="452" spans="1:5" hidden="1" x14ac:dyDescent="0.35">
      <c r="A452" s="1" t="s">
        <v>776</v>
      </c>
      <c r="B452" s="1" t="s">
        <v>2279</v>
      </c>
      <c r="C452" s="1" t="s">
        <v>1439</v>
      </c>
      <c r="D452" s="1" t="s">
        <v>2614</v>
      </c>
      <c r="E452">
        <f t="shared" si="7"/>
        <v>1</v>
      </c>
    </row>
    <row r="453" spans="1:5" hidden="1" x14ac:dyDescent="0.35">
      <c r="A453" s="1" t="s">
        <v>776</v>
      </c>
      <c r="B453" s="1" t="s">
        <v>1469</v>
      </c>
      <c r="C453" s="1" t="s">
        <v>1470</v>
      </c>
      <c r="D453" s="1" t="s">
        <v>2614</v>
      </c>
      <c r="E453">
        <f t="shared" si="7"/>
        <v>1</v>
      </c>
    </row>
    <row r="454" spans="1:5" hidden="1" x14ac:dyDescent="0.35">
      <c r="A454" s="1" t="s">
        <v>776</v>
      </c>
      <c r="B454" s="1" t="s">
        <v>1471</v>
      </c>
      <c r="C454" s="1" t="s">
        <v>1472</v>
      </c>
      <c r="D454" s="1" t="s">
        <v>2614</v>
      </c>
      <c r="E454">
        <f t="shared" si="7"/>
        <v>1</v>
      </c>
    </row>
    <row r="455" spans="1:5" hidden="1" x14ac:dyDescent="0.35">
      <c r="A455" s="1" t="s">
        <v>776</v>
      </c>
      <c r="B455" s="1" t="s">
        <v>1473</v>
      </c>
      <c r="C455" s="1" t="s">
        <v>1474</v>
      </c>
      <c r="D455" s="1" t="s">
        <v>2614</v>
      </c>
      <c r="E455">
        <f t="shared" si="7"/>
        <v>1</v>
      </c>
    </row>
    <row r="456" spans="1:5" hidden="1" x14ac:dyDescent="0.35">
      <c r="A456" s="1" t="s">
        <v>776</v>
      </c>
      <c r="B456" s="1" t="s">
        <v>1476</v>
      </c>
      <c r="C456" s="1" t="s">
        <v>1477</v>
      </c>
      <c r="D456" s="1" t="s">
        <v>2615</v>
      </c>
      <c r="E456">
        <f t="shared" si="7"/>
        <v>1</v>
      </c>
    </row>
    <row r="457" spans="1:5" hidden="1" x14ac:dyDescent="0.35">
      <c r="A457" s="1" t="s">
        <v>776</v>
      </c>
      <c r="B457" s="1" t="s">
        <v>185</v>
      </c>
      <c r="C457" s="1" t="s">
        <v>2557</v>
      </c>
      <c r="D457" s="1" t="s">
        <v>2614</v>
      </c>
      <c r="E457">
        <f t="shared" si="7"/>
        <v>1</v>
      </c>
    </row>
    <row r="458" spans="1:5" hidden="1" x14ac:dyDescent="0.35">
      <c r="A458" s="1" t="s">
        <v>776</v>
      </c>
      <c r="B458" s="1" t="s">
        <v>302</v>
      </c>
      <c r="C458" s="1" t="s">
        <v>2650</v>
      </c>
      <c r="D458" s="1" t="s">
        <v>2615</v>
      </c>
      <c r="E458">
        <f t="shared" ref="E458:E521" si="8">COUNTIF(C:C,C458)</f>
        <v>1</v>
      </c>
    </row>
    <row r="459" spans="1:5" hidden="1" x14ac:dyDescent="0.35">
      <c r="A459" s="1" t="s">
        <v>776</v>
      </c>
      <c r="B459" s="1" t="s">
        <v>193</v>
      </c>
      <c r="C459" s="1" t="s">
        <v>1481</v>
      </c>
      <c r="D459" s="1" t="s">
        <v>2615</v>
      </c>
      <c r="E459">
        <f t="shared" si="8"/>
        <v>1</v>
      </c>
    </row>
    <row r="460" spans="1:5" hidden="1" x14ac:dyDescent="0.35">
      <c r="A460" s="1" t="s">
        <v>776</v>
      </c>
      <c r="B460" s="1" t="s">
        <v>194</v>
      </c>
      <c r="C460" s="1" t="s">
        <v>1482</v>
      </c>
      <c r="D460" s="1" t="s">
        <v>2615</v>
      </c>
      <c r="E460">
        <f t="shared" si="8"/>
        <v>1</v>
      </c>
    </row>
    <row r="461" spans="1:5" hidden="1" x14ac:dyDescent="0.35">
      <c r="A461" s="1" t="s">
        <v>776</v>
      </c>
      <c r="B461" s="1" t="s">
        <v>251</v>
      </c>
      <c r="C461" s="1" t="s">
        <v>2618</v>
      </c>
      <c r="D461" s="1" t="s">
        <v>2614</v>
      </c>
      <c r="E461">
        <f t="shared" si="8"/>
        <v>1</v>
      </c>
    </row>
    <row r="462" spans="1:5" ht="29" hidden="1" x14ac:dyDescent="0.35">
      <c r="A462" s="1" t="s">
        <v>776</v>
      </c>
      <c r="B462" s="1" t="s">
        <v>386</v>
      </c>
      <c r="C462" s="1" t="s">
        <v>2619</v>
      </c>
      <c r="D462" s="1" t="s">
        <v>2614</v>
      </c>
      <c r="E462">
        <f t="shared" si="8"/>
        <v>1</v>
      </c>
    </row>
    <row r="463" spans="1:5" ht="29" hidden="1" x14ac:dyDescent="0.35">
      <c r="A463" s="1" t="s">
        <v>776</v>
      </c>
      <c r="B463" s="1" t="s">
        <v>385</v>
      </c>
      <c r="C463" s="1" t="s">
        <v>2617</v>
      </c>
      <c r="D463" s="1" t="s">
        <v>2614</v>
      </c>
      <c r="E463">
        <f t="shared" si="8"/>
        <v>1</v>
      </c>
    </row>
    <row r="464" spans="1:5" hidden="1" x14ac:dyDescent="0.35">
      <c r="A464" s="1" t="s">
        <v>776</v>
      </c>
      <c r="B464" s="1" t="s">
        <v>245</v>
      </c>
      <c r="C464" s="1" t="s">
        <v>1485</v>
      </c>
      <c r="D464" s="1" t="s">
        <v>2614</v>
      </c>
      <c r="E464">
        <f t="shared" si="8"/>
        <v>1</v>
      </c>
    </row>
    <row r="465" spans="1:5" hidden="1" x14ac:dyDescent="0.35">
      <c r="A465" s="1" t="s">
        <v>776</v>
      </c>
      <c r="B465" s="1" t="s">
        <v>269</v>
      </c>
      <c r="C465" s="1" t="s">
        <v>2716</v>
      </c>
      <c r="D465" s="1" t="s">
        <v>2614</v>
      </c>
      <c r="E465">
        <f t="shared" si="8"/>
        <v>1</v>
      </c>
    </row>
    <row r="466" spans="1:5" hidden="1" x14ac:dyDescent="0.35">
      <c r="A466" s="1" t="s">
        <v>776</v>
      </c>
      <c r="B466" s="1" t="s">
        <v>270</v>
      </c>
      <c r="C466" s="1" t="s">
        <v>1486</v>
      </c>
      <c r="D466" s="1" t="s">
        <v>2614</v>
      </c>
      <c r="E466">
        <f t="shared" si="8"/>
        <v>1</v>
      </c>
    </row>
    <row r="467" spans="1:5" hidden="1" x14ac:dyDescent="0.35">
      <c r="A467" s="1" t="s">
        <v>776</v>
      </c>
      <c r="B467" s="1" t="s">
        <v>375</v>
      </c>
      <c r="C467" s="1" t="s">
        <v>2620</v>
      </c>
      <c r="D467" s="1" t="s">
        <v>2614</v>
      </c>
      <c r="E467">
        <f t="shared" si="8"/>
        <v>1</v>
      </c>
    </row>
    <row r="468" spans="1:5" hidden="1" x14ac:dyDescent="0.35">
      <c r="A468" s="1" t="s">
        <v>776</v>
      </c>
      <c r="B468" s="1" t="s">
        <v>282</v>
      </c>
      <c r="C468" s="1" t="s">
        <v>2616</v>
      </c>
      <c r="D468" s="1" t="s">
        <v>2614</v>
      </c>
      <c r="E468">
        <f t="shared" si="8"/>
        <v>1</v>
      </c>
    </row>
    <row r="469" spans="1:5" hidden="1" x14ac:dyDescent="0.35">
      <c r="A469" s="1" t="s">
        <v>776</v>
      </c>
      <c r="B469" s="1" t="s">
        <v>284</v>
      </c>
      <c r="C469" s="1" t="s">
        <v>2621</v>
      </c>
      <c r="D469" s="1" t="s">
        <v>2614</v>
      </c>
      <c r="E469">
        <f t="shared" si="8"/>
        <v>1</v>
      </c>
    </row>
    <row r="470" spans="1:5" hidden="1" x14ac:dyDescent="0.35">
      <c r="A470" s="1" t="s">
        <v>776</v>
      </c>
      <c r="B470" s="1" t="s">
        <v>283</v>
      </c>
      <c r="C470" s="1" t="s">
        <v>2622</v>
      </c>
      <c r="D470" s="1" t="s">
        <v>2614</v>
      </c>
      <c r="E470">
        <f t="shared" si="8"/>
        <v>1</v>
      </c>
    </row>
    <row r="471" spans="1:5" ht="29" hidden="1" x14ac:dyDescent="0.35">
      <c r="A471" s="1" t="s">
        <v>776</v>
      </c>
      <c r="B471" s="1" t="s">
        <v>384</v>
      </c>
      <c r="C471" s="1" t="s">
        <v>2623</v>
      </c>
      <c r="D471" s="1" t="s">
        <v>2614</v>
      </c>
      <c r="E471">
        <f t="shared" si="8"/>
        <v>1</v>
      </c>
    </row>
    <row r="472" spans="1:5" ht="29" hidden="1" x14ac:dyDescent="0.35">
      <c r="A472" s="1" t="s">
        <v>776</v>
      </c>
      <c r="B472" s="1" t="s">
        <v>383</v>
      </c>
      <c r="C472" s="1" t="s">
        <v>2624</v>
      </c>
      <c r="D472" s="1" t="s">
        <v>2614</v>
      </c>
      <c r="E472">
        <f t="shared" si="8"/>
        <v>1</v>
      </c>
    </row>
    <row r="473" spans="1:5" hidden="1" x14ac:dyDescent="0.35">
      <c r="A473" s="1" t="s">
        <v>859</v>
      </c>
      <c r="B473" s="1" t="s">
        <v>1531</v>
      </c>
      <c r="C473" s="43" t="s">
        <v>2127</v>
      </c>
      <c r="D473" s="43" t="s">
        <v>2614</v>
      </c>
      <c r="E473">
        <f t="shared" si="8"/>
        <v>2</v>
      </c>
    </row>
    <row r="474" spans="1:5" hidden="1" x14ac:dyDescent="0.35">
      <c r="A474" s="1" t="s">
        <v>776</v>
      </c>
      <c r="B474" s="1" t="s">
        <v>232</v>
      </c>
      <c r="C474" s="1" t="s">
        <v>1497</v>
      </c>
      <c r="D474" s="1" t="s">
        <v>2615</v>
      </c>
      <c r="E474">
        <f t="shared" si="8"/>
        <v>1</v>
      </c>
    </row>
    <row r="475" spans="1:5" hidden="1" x14ac:dyDescent="0.35">
      <c r="A475" s="1" t="s">
        <v>776</v>
      </c>
      <c r="B475" s="1" t="s">
        <v>226</v>
      </c>
      <c r="C475" s="1" t="s">
        <v>1498</v>
      </c>
      <c r="D475" s="1" t="s">
        <v>2614</v>
      </c>
      <c r="E475">
        <f t="shared" si="8"/>
        <v>1</v>
      </c>
    </row>
    <row r="476" spans="1:5" hidden="1" x14ac:dyDescent="0.35">
      <c r="A476" s="1" t="s">
        <v>776</v>
      </c>
      <c r="B476" s="1" t="s">
        <v>2281</v>
      </c>
      <c r="C476" s="1" t="s">
        <v>1500</v>
      </c>
      <c r="D476" s="1" t="s">
        <v>2614</v>
      </c>
      <c r="E476">
        <f t="shared" si="8"/>
        <v>1</v>
      </c>
    </row>
    <row r="477" spans="1:5" hidden="1" x14ac:dyDescent="0.35">
      <c r="A477" s="1" t="s">
        <v>776</v>
      </c>
      <c r="B477" s="1" t="s">
        <v>220</v>
      </c>
      <c r="C477" s="1" t="s">
        <v>1501</v>
      </c>
      <c r="D477" s="1" t="s">
        <v>2614</v>
      </c>
      <c r="E477">
        <f t="shared" si="8"/>
        <v>1</v>
      </c>
    </row>
    <row r="478" spans="1:5" hidden="1" x14ac:dyDescent="0.35">
      <c r="A478" s="1" t="s">
        <v>776</v>
      </c>
      <c r="B478" s="1" t="s">
        <v>612</v>
      </c>
      <c r="C478" s="1" t="s">
        <v>1514</v>
      </c>
      <c r="D478" s="1" t="s">
        <v>2614</v>
      </c>
      <c r="E478">
        <f t="shared" si="8"/>
        <v>1</v>
      </c>
    </row>
    <row r="479" spans="1:5" ht="29" hidden="1" x14ac:dyDescent="0.35">
      <c r="A479" s="1" t="s">
        <v>543</v>
      </c>
      <c r="B479" s="1" t="s">
        <v>676</v>
      </c>
      <c r="C479" s="1" t="s">
        <v>1709</v>
      </c>
      <c r="D479" s="1" t="s">
        <v>2614</v>
      </c>
      <c r="E479">
        <f t="shared" si="8"/>
        <v>1</v>
      </c>
    </row>
    <row r="480" spans="1:5" hidden="1" x14ac:dyDescent="0.35">
      <c r="A480" s="1" t="s">
        <v>776</v>
      </c>
      <c r="B480" s="1" t="s">
        <v>368</v>
      </c>
      <c r="C480" s="1" t="s">
        <v>1505</v>
      </c>
      <c r="D480" s="1" t="s">
        <v>2614</v>
      </c>
      <c r="E480">
        <f t="shared" si="8"/>
        <v>1</v>
      </c>
    </row>
    <row r="481" spans="1:5" hidden="1" x14ac:dyDescent="0.35">
      <c r="A481" s="1" t="s">
        <v>543</v>
      </c>
      <c r="B481" s="1" t="s">
        <v>609</v>
      </c>
      <c r="C481" s="1" t="s">
        <v>1602</v>
      </c>
      <c r="D481" s="1" t="s">
        <v>2615</v>
      </c>
      <c r="E481">
        <f t="shared" si="8"/>
        <v>1</v>
      </c>
    </row>
    <row r="482" spans="1:5" hidden="1" x14ac:dyDescent="0.35">
      <c r="A482" s="1" t="s">
        <v>543</v>
      </c>
      <c r="B482" s="1" t="s">
        <v>643</v>
      </c>
      <c r="C482" s="1" t="s">
        <v>2680</v>
      </c>
      <c r="D482" s="1" t="s">
        <v>2614</v>
      </c>
      <c r="E482">
        <f t="shared" si="8"/>
        <v>1</v>
      </c>
    </row>
    <row r="483" spans="1:5" hidden="1" x14ac:dyDescent="0.35">
      <c r="A483" s="1" t="s">
        <v>543</v>
      </c>
      <c r="B483" s="1" t="s">
        <v>183</v>
      </c>
      <c r="C483" s="1" t="s">
        <v>2651</v>
      </c>
      <c r="D483" s="43" t="s">
        <v>2615</v>
      </c>
      <c r="E483">
        <f t="shared" si="8"/>
        <v>1</v>
      </c>
    </row>
    <row r="484" spans="1:5" hidden="1" x14ac:dyDescent="0.35">
      <c r="B484" t="s">
        <v>2245</v>
      </c>
      <c r="C484" s="1" t="s">
        <v>2127</v>
      </c>
      <c r="D484" s="1" t="s">
        <v>2614</v>
      </c>
      <c r="E484">
        <f t="shared" si="8"/>
        <v>2</v>
      </c>
    </row>
    <row r="485" spans="1:5" ht="29" hidden="1" x14ac:dyDescent="0.35">
      <c r="A485" s="1" t="s">
        <v>543</v>
      </c>
      <c r="B485" s="1" t="s">
        <v>751</v>
      </c>
      <c r="C485" s="1" t="s">
        <v>2558</v>
      </c>
      <c r="D485" s="1" t="s">
        <v>2614</v>
      </c>
      <c r="E485">
        <f t="shared" si="8"/>
        <v>1</v>
      </c>
    </row>
    <row r="486" spans="1:5" ht="29" hidden="1" x14ac:dyDescent="0.35">
      <c r="A486" s="1" t="s">
        <v>543</v>
      </c>
      <c r="B486" s="1" t="s">
        <v>752</v>
      </c>
      <c r="C486" s="1" t="s">
        <v>2559</v>
      </c>
      <c r="D486" s="1" t="s">
        <v>2614</v>
      </c>
      <c r="E486">
        <f t="shared" si="8"/>
        <v>1</v>
      </c>
    </row>
    <row r="487" spans="1:5" hidden="1" x14ac:dyDescent="0.35">
      <c r="A487" s="1" t="s">
        <v>543</v>
      </c>
      <c r="B487" s="1" t="s">
        <v>167</v>
      </c>
      <c r="C487" s="1" t="s">
        <v>2295</v>
      </c>
      <c r="D487" s="43" t="s">
        <v>2615</v>
      </c>
      <c r="E487">
        <f t="shared" si="8"/>
        <v>1</v>
      </c>
    </row>
    <row r="488" spans="1:5" hidden="1" x14ac:dyDescent="0.35">
      <c r="A488" s="1" t="s">
        <v>543</v>
      </c>
      <c r="B488" s="1" t="s">
        <v>656</v>
      </c>
      <c r="C488" s="1" t="s">
        <v>2724</v>
      </c>
      <c r="D488" s="43" t="s">
        <v>2615</v>
      </c>
      <c r="E488">
        <f t="shared" si="8"/>
        <v>1</v>
      </c>
    </row>
    <row r="489" spans="1:5" hidden="1" x14ac:dyDescent="0.35">
      <c r="A489" s="1" t="s">
        <v>543</v>
      </c>
      <c r="B489" s="1" t="s">
        <v>626</v>
      </c>
      <c r="C489" s="1" t="s">
        <v>1612</v>
      </c>
      <c r="D489" s="1" t="s">
        <v>2614</v>
      </c>
      <c r="E489">
        <f t="shared" si="8"/>
        <v>1</v>
      </c>
    </row>
    <row r="490" spans="1:5" hidden="1" x14ac:dyDescent="0.35">
      <c r="A490" s="1" t="s">
        <v>543</v>
      </c>
      <c r="B490" s="1" t="s">
        <v>153</v>
      </c>
      <c r="C490" s="1" t="s">
        <v>2652</v>
      </c>
      <c r="D490" s="43" t="s">
        <v>2615</v>
      </c>
      <c r="E490">
        <f t="shared" si="8"/>
        <v>1</v>
      </c>
    </row>
    <row r="491" spans="1:5" ht="43.5" hidden="1" x14ac:dyDescent="0.35">
      <c r="A491" s="1" t="s">
        <v>543</v>
      </c>
      <c r="B491" s="1" t="s">
        <v>697</v>
      </c>
      <c r="C491" s="1" t="s">
        <v>1614</v>
      </c>
      <c r="D491" s="1" t="s">
        <v>2614</v>
      </c>
      <c r="E491">
        <f t="shared" si="8"/>
        <v>1</v>
      </c>
    </row>
    <row r="492" spans="1:5" ht="43.5" hidden="1" x14ac:dyDescent="0.35">
      <c r="A492" s="1" t="s">
        <v>543</v>
      </c>
      <c r="B492" s="1" t="s">
        <v>696</v>
      </c>
      <c r="C492" s="1" t="s">
        <v>1615</v>
      </c>
      <c r="D492" s="1" t="s">
        <v>2614</v>
      </c>
      <c r="E492">
        <f t="shared" si="8"/>
        <v>1</v>
      </c>
    </row>
    <row r="493" spans="1:5" ht="29" hidden="1" x14ac:dyDescent="0.35">
      <c r="A493" s="1" t="s">
        <v>543</v>
      </c>
      <c r="B493" s="1" t="s">
        <v>2253</v>
      </c>
      <c r="C493" s="1" t="s">
        <v>1616</v>
      </c>
      <c r="D493" s="43" t="s">
        <v>2615</v>
      </c>
      <c r="E493">
        <f t="shared" si="8"/>
        <v>1</v>
      </c>
    </row>
    <row r="494" spans="1:5" ht="29" hidden="1" x14ac:dyDescent="0.35">
      <c r="A494" s="1" t="s">
        <v>543</v>
      </c>
      <c r="B494" s="1" t="s">
        <v>672</v>
      </c>
      <c r="C494" s="1" t="s">
        <v>1617</v>
      </c>
      <c r="D494" s="1" t="s">
        <v>2614</v>
      </c>
      <c r="E494">
        <f t="shared" si="8"/>
        <v>1</v>
      </c>
    </row>
    <row r="495" spans="1:5" hidden="1" x14ac:dyDescent="0.35">
      <c r="A495" s="1" t="s">
        <v>543</v>
      </c>
      <c r="B495" s="1" t="s">
        <v>673</v>
      </c>
      <c r="C495" s="1" t="s">
        <v>1618</v>
      </c>
      <c r="D495" s="1" t="s">
        <v>2614</v>
      </c>
      <c r="E495">
        <f t="shared" si="8"/>
        <v>1</v>
      </c>
    </row>
    <row r="496" spans="1:5" hidden="1" x14ac:dyDescent="0.35">
      <c r="A496" s="1" t="s">
        <v>543</v>
      </c>
      <c r="B496" s="1" t="s">
        <v>199</v>
      </c>
      <c r="C496" s="1" t="s">
        <v>1619</v>
      </c>
      <c r="D496" s="43" t="s">
        <v>2615</v>
      </c>
      <c r="E496">
        <f t="shared" si="8"/>
        <v>1</v>
      </c>
    </row>
    <row r="497" spans="1:5" hidden="1" x14ac:dyDescent="0.35">
      <c r="A497" s="1" t="s">
        <v>543</v>
      </c>
      <c r="B497" s="1" t="s">
        <v>657</v>
      </c>
      <c r="C497" s="1" t="s">
        <v>2653</v>
      </c>
      <c r="D497" s="43" t="s">
        <v>2615</v>
      </c>
      <c r="E497">
        <f t="shared" si="8"/>
        <v>1</v>
      </c>
    </row>
    <row r="498" spans="1:5" ht="29" hidden="1" x14ac:dyDescent="0.35">
      <c r="A498" s="1" t="s">
        <v>543</v>
      </c>
      <c r="B498" s="1" t="s">
        <v>695</v>
      </c>
      <c r="C498" s="1" t="s">
        <v>1621</v>
      </c>
      <c r="D498" s="1" t="s">
        <v>2614</v>
      </c>
      <c r="E498">
        <f t="shared" si="8"/>
        <v>1</v>
      </c>
    </row>
    <row r="499" spans="1:5" hidden="1" x14ac:dyDescent="0.35">
      <c r="A499" s="1" t="s">
        <v>543</v>
      </c>
      <c r="B499" s="1" t="s">
        <v>649</v>
      </c>
      <c r="C499" s="1" t="s">
        <v>1607</v>
      </c>
      <c r="D499" s="1" t="s">
        <v>2614</v>
      </c>
      <c r="E499">
        <f t="shared" si="8"/>
        <v>1</v>
      </c>
    </row>
    <row r="500" spans="1:5" hidden="1" x14ac:dyDescent="0.35">
      <c r="A500" s="1" t="s">
        <v>543</v>
      </c>
      <c r="B500" s="1" t="s">
        <v>650</v>
      </c>
      <c r="C500" s="1" t="s">
        <v>1622</v>
      </c>
      <c r="D500" s="1" t="s">
        <v>2614</v>
      </c>
      <c r="E500">
        <f t="shared" si="8"/>
        <v>1</v>
      </c>
    </row>
    <row r="501" spans="1:5" hidden="1" x14ac:dyDescent="0.35">
      <c r="A501" s="1" t="s">
        <v>543</v>
      </c>
      <c r="B501" s="1" t="s">
        <v>653</v>
      </c>
      <c r="C501" s="1" t="s">
        <v>1623</v>
      </c>
      <c r="D501" s="1" t="s">
        <v>2614</v>
      </c>
      <c r="E501">
        <f t="shared" si="8"/>
        <v>1</v>
      </c>
    </row>
    <row r="502" spans="1:5" hidden="1" x14ac:dyDescent="0.35">
      <c r="A502" s="1" t="s">
        <v>543</v>
      </c>
      <c r="B502" s="1" t="s">
        <v>690</v>
      </c>
      <c r="C502" s="1" t="s">
        <v>1624</v>
      </c>
      <c r="D502" s="1" t="s">
        <v>2614</v>
      </c>
      <c r="E502">
        <f t="shared" si="8"/>
        <v>1</v>
      </c>
    </row>
    <row r="503" spans="1:5" hidden="1" x14ac:dyDescent="0.35">
      <c r="A503" s="1" t="s">
        <v>543</v>
      </c>
      <c r="B503" s="1" t="s">
        <v>651</v>
      </c>
      <c r="C503" s="1" t="s">
        <v>1625</v>
      </c>
      <c r="D503" s="1" t="s">
        <v>2614</v>
      </c>
      <c r="E503">
        <f t="shared" si="8"/>
        <v>1</v>
      </c>
    </row>
    <row r="504" spans="1:5" hidden="1" x14ac:dyDescent="0.35">
      <c r="A504" s="1" t="s">
        <v>543</v>
      </c>
      <c r="B504" s="1" t="s">
        <v>654</v>
      </c>
      <c r="C504" s="1" t="s">
        <v>1626</v>
      </c>
      <c r="D504" s="1" t="s">
        <v>2614</v>
      </c>
      <c r="E504">
        <f t="shared" si="8"/>
        <v>1</v>
      </c>
    </row>
    <row r="505" spans="1:5" hidden="1" x14ac:dyDescent="0.35">
      <c r="A505" s="1" t="s">
        <v>543</v>
      </c>
      <c r="B505" s="1" t="s">
        <v>693</v>
      </c>
      <c r="C505" s="1" t="s">
        <v>1627</v>
      </c>
      <c r="D505" s="1" t="s">
        <v>2614</v>
      </c>
      <c r="E505">
        <f t="shared" si="8"/>
        <v>1</v>
      </c>
    </row>
    <row r="506" spans="1:5" hidden="1" x14ac:dyDescent="0.35">
      <c r="A506" s="1" t="s">
        <v>543</v>
      </c>
      <c r="B506" s="1" t="s">
        <v>652</v>
      </c>
      <c r="C506" s="1" t="s">
        <v>1628</v>
      </c>
      <c r="D506" s="1" t="s">
        <v>2614</v>
      </c>
      <c r="E506">
        <f t="shared" si="8"/>
        <v>1</v>
      </c>
    </row>
    <row r="507" spans="1:5" hidden="1" x14ac:dyDescent="0.35">
      <c r="A507" s="1" t="s">
        <v>543</v>
      </c>
      <c r="B507" s="1" t="s">
        <v>655</v>
      </c>
      <c r="C507" s="1" t="s">
        <v>1629</v>
      </c>
      <c r="D507" s="1" t="s">
        <v>2614</v>
      </c>
      <c r="E507">
        <f t="shared" si="8"/>
        <v>1</v>
      </c>
    </row>
    <row r="508" spans="1:5" hidden="1" x14ac:dyDescent="0.35">
      <c r="A508" s="1" t="s">
        <v>543</v>
      </c>
      <c r="B508" s="1" t="s">
        <v>769</v>
      </c>
      <c r="C508" s="1" t="s">
        <v>1631</v>
      </c>
      <c r="D508" s="1" t="s">
        <v>2614</v>
      </c>
      <c r="E508">
        <f t="shared" si="8"/>
        <v>1</v>
      </c>
    </row>
    <row r="509" spans="1:5" hidden="1" x14ac:dyDescent="0.35">
      <c r="A509" s="1" t="s">
        <v>543</v>
      </c>
      <c r="B509" s="1" t="s">
        <v>768</v>
      </c>
      <c r="C509" s="1" t="s">
        <v>1632</v>
      </c>
      <c r="D509" s="1" t="s">
        <v>2614</v>
      </c>
      <c r="E509">
        <f t="shared" si="8"/>
        <v>1</v>
      </c>
    </row>
    <row r="510" spans="1:5" hidden="1" x14ac:dyDescent="0.35">
      <c r="A510" s="1" t="s">
        <v>543</v>
      </c>
      <c r="B510" s="1" t="s">
        <v>722</v>
      </c>
      <c r="C510" s="1" t="s">
        <v>1722</v>
      </c>
      <c r="D510" s="1" t="s">
        <v>2614</v>
      </c>
      <c r="E510">
        <f t="shared" si="8"/>
        <v>2</v>
      </c>
    </row>
    <row r="511" spans="1:5" hidden="1" x14ac:dyDescent="0.35">
      <c r="A511" s="1" t="s">
        <v>543</v>
      </c>
      <c r="B511" s="1" t="s">
        <v>623</v>
      </c>
      <c r="C511" s="1" t="s">
        <v>1634</v>
      </c>
      <c r="D511" s="1" t="s">
        <v>2614</v>
      </c>
      <c r="E511">
        <f t="shared" si="8"/>
        <v>1</v>
      </c>
    </row>
    <row r="512" spans="1:5" hidden="1" x14ac:dyDescent="0.35">
      <c r="A512" s="1" t="s">
        <v>543</v>
      </c>
      <c r="B512" s="1" t="s">
        <v>742</v>
      </c>
      <c r="C512" s="1" t="s">
        <v>1635</v>
      </c>
      <c r="D512" s="1" t="s">
        <v>2614</v>
      </c>
      <c r="E512">
        <f t="shared" si="8"/>
        <v>1</v>
      </c>
    </row>
    <row r="513" spans="1:5" hidden="1" x14ac:dyDescent="0.35">
      <c r="A513" s="1" t="s">
        <v>543</v>
      </c>
      <c r="B513" s="1" t="s">
        <v>743</v>
      </c>
      <c r="C513" s="1" t="s">
        <v>1636</v>
      </c>
      <c r="D513" s="1" t="s">
        <v>2614</v>
      </c>
      <c r="E513">
        <f t="shared" si="8"/>
        <v>1</v>
      </c>
    </row>
    <row r="514" spans="1:5" hidden="1" x14ac:dyDescent="0.35">
      <c r="A514" s="1" t="s">
        <v>543</v>
      </c>
      <c r="B514" s="1" t="s">
        <v>744</v>
      </c>
      <c r="C514" s="1" t="s">
        <v>1638</v>
      </c>
      <c r="D514" s="1" t="s">
        <v>2614</v>
      </c>
      <c r="E514">
        <f t="shared" si="8"/>
        <v>1</v>
      </c>
    </row>
    <row r="515" spans="1:5" hidden="1" x14ac:dyDescent="0.35">
      <c r="A515" s="1" t="s">
        <v>543</v>
      </c>
      <c r="B515" s="1" t="s">
        <v>745</v>
      </c>
      <c r="C515" s="1" t="s">
        <v>1639</v>
      </c>
      <c r="D515" s="1" t="s">
        <v>2614</v>
      </c>
      <c r="E515">
        <f t="shared" si="8"/>
        <v>1</v>
      </c>
    </row>
    <row r="516" spans="1:5" hidden="1" x14ac:dyDescent="0.35">
      <c r="A516" s="1" t="s">
        <v>543</v>
      </c>
      <c r="B516" s="1" t="s">
        <v>746</v>
      </c>
      <c r="C516" s="1" t="s">
        <v>1640</v>
      </c>
      <c r="D516" s="1" t="s">
        <v>2614</v>
      </c>
      <c r="E516">
        <f t="shared" si="8"/>
        <v>1</v>
      </c>
    </row>
    <row r="517" spans="1:5" hidden="1" x14ac:dyDescent="0.35">
      <c r="A517" s="1" t="s">
        <v>543</v>
      </c>
      <c r="B517" s="1" t="s">
        <v>622</v>
      </c>
      <c r="C517" s="1" t="s">
        <v>1605</v>
      </c>
      <c r="D517" s="1" t="s">
        <v>2615</v>
      </c>
      <c r="E517">
        <f t="shared" si="8"/>
        <v>1</v>
      </c>
    </row>
    <row r="518" spans="1:5" ht="29" hidden="1" x14ac:dyDescent="0.35">
      <c r="A518" s="1" t="s">
        <v>543</v>
      </c>
      <c r="B518" s="1" t="s">
        <v>617</v>
      </c>
      <c r="C518" s="1" t="s">
        <v>2547</v>
      </c>
      <c r="D518" s="1" t="s">
        <v>2614</v>
      </c>
      <c r="E518">
        <f t="shared" si="8"/>
        <v>1</v>
      </c>
    </row>
    <row r="519" spans="1:5" ht="29" hidden="1" x14ac:dyDescent="0.35">
      <c r="A519" s="1" t="s">
        <v>543</v>
      </c>
      <c r="B519" s="1" t="s">
        <v>620</v>
      </c>
      <c r="C519" s="1" t="s">
        <v>2548</v>
      </c>
      <c r="D519" s="1" t="s">
        <v>2614</v>
      </c>
      <c r="E519">
        <f t="shared" si="8"/>
        <v>1</v>
      </c>
    </row>
    <row r="520" spans="1:5" ht="29" hidden="1" x14ac:dyDescent="0.35">
      <c r="A520" s="1" t="s">
        <v>543</v>
      </c>
      <c r="B520" s="1" t="s">
        <v>621</v>
      </c>
      <c r="C520" s="1" t="s">
        <v>2549</v>
      </c>
      <c r="D520" s="1" t="s">
        <v>2614</v>
      </c>
      <c r="E520">
        <f t="shared" si="8"/>
        <v>1</v>
      </c>
    </row>
    <row r="521" spans="1:5" ht="29" hidden="1" x14ac:dyDescent="0.35">
      <c r="A521" s="1" t="s">
        <v>543</v>
      </c>
      <c r="B521" s="1" t="s">
        <v>618</v>
      </c>
      <c r="C521" s="1" t="s">
        <v>2551</v>
      </c>
      <c r="D521" s="1" t="s">
        <v>2614</v>
      </c>
      <c r="E521">
        <f t="shared" si="8"/>
        <v>1</v>
      </c>
    </row>
    <row r="522" spans="1:5" ht="29" hidden="1" x14ac:dyDescent="0.35">
      <c r="A522" s="1" t="s">
        <v>543</v>
      </c>
      <c r="B522" s="1" t="s">
        <v>619</v>
      </c>
      <c r="C522" s="1" t="s">
        <v>2550</v>
      </c>
      <c r="D522" s="1" t="s">
        <v>2614</v>
      </c>
      <c r="E522">
        <f t="shared" ref="E522:E585" si="9">COUNTIF(C:C,C522)</f>
        <v>1</v>
      </c>
    </row>
    <row r="523" spans="1:5" ht="29" hidden="1" x14ac:dyDescent="0.35">
      <c r="A523" s="1" t="s">
        <v>543</v>
      </c>
      <c r="B523" s="1" t="s">
        <v>616</v>
      </c>
      <c r="C523" s="1" t="s">
        <v>2552</v>
      </c>
      <c r="D523" s="1" t="s">
        <v>2614</v>
      </c>
      <c r="E523">
        <f t="shared" si="9"/>
        <v>1</v>
      </c>
    </row>
    <row r="524" spans="1:5" ht="29" hidden="1" x14ac:dyDescent="0.35">
      <c r="A524" s="1" t="s">
        <v>543</v>
      </c>
      <c r="B524" s="1" t="s">
        <v>686</v>
      </c>
      <c r="C524" s="1" t="s">
        <v>1648</v>
      </c>
      <c r="D524" s="1" t="s">
        <v>2614</v>
      </c>
      <c r="E524">
        <f t="shared" si="9"/>
        <v>1</v>
      </c>
    </row>
    <row r="525" spans="1:5" hidden="1" x14ac:dyDescent="0.35">
      <c r="A525" s="1" t="s">
        <v>543</v>
      </c>
      <c r="B525" s="1" t="s">
        <v>338</v>
      </c>
      <c r="C525" s="1" t="s">
        <v>1649</v>
      </c>
      <c r="D525" s="1" t="s">
        <v>2614</v>
      </c>
      <c r="E525">
        <f t="shared" si="9"/>
        <v>1</v>
      </c>
    </row>
    <row r="526" spans="1:5" hidden="1" x14ac:dyDescent="0.35">
      <c r="A526" s="1" t="s">
        <v>543</v>
      </c>
      <c r="B526" s="1" t="s">
        <v>1590</v>
      </c>
      <c r="C526" s="1" t="s">
        <v>1650</v>
      </c>
      <c r="D526" s="1" t="s">
        <v>2615</v>
      </c>
      <c r="E526">
        <f t="shared" si="9"/>
        <v>1</v>
      </c>
    </row>
    <row r="527" spans="1:5" hidden="1" x14ac:dyDescent="0.35">
      <c r="A527" s="1" t="s">
        <v>543</v>
      </c>
      <c r="B527" s="1" t="s">
        <v>207</v>
      </c>
      <c r="C527" s="1" t="s">
        <v>2654</v>
      </c>
      <c r="D527" s="1" t="s">
        <v>2615</v>
      </c>
      <c r="E527">
        <f t="shared" si="9"/>
        <v>1</v>
      </c>
    </row>
    <row r="528" spans="1:5" ht="43.5" hidden="1" x14ac:dyDescent="0.35">
      <c r="A528" s="1" t="s">
        <v>543</v>
      </c>
      <c r="B528" s="1" t="s">
        <v>685</v>
      </c>
      <c r="C528" s="1" t="s">
        <v>1652</v>
      </c>
      <c r="D528" s="1" t="s">
        <v>2614</v>
      </c>
      <c r="E528">
        <f t="shared" si="9"/>
        <v>1</v>
      </c>
    </row>
    <row r="529" spans="1:5" ht="43.5" hidden="1" x14ac:dyDescent="0.35">
      <c r="A529" s="1" t="s">
        <v>543</v>
      </c>
      <c r="B529" s="1" t="s">
        <v>684</v>
      </c>
      <c r="C529" s="1" t="s">
        <v>1653</v>
      </c>
      <c r="D529" s="1" t="s">
        <v>2614</v>
      </c>
      <c r="E529">
        <f t="shared" si="9"/>
        <v>1</v>
      </c>
    </row>
    <row r="530" spans="1:5" ht="29" hidden="1" x14ac:dyDescent="0.35">
      <c r="A530" s="1" t="s">
        <v>543</v>
      </c>
      <c r="B530" s="1" t="s">
        <v>648</v>
      </c>
      <c r="C530" s="1" t="s">
        <v>1655</v>
      </c>
      <c r="D530" s="1" t="s">
        <v>2614</v>
      </c>
      <c r="E530">
        <f t="shared" si="9"/>
        <v>1</v>
      </c>
    </row>
    <row r="531" spans="1:5" hidden="1" x14ac:dyDescent="0.35">
      <c r="A531" s="1" t="s">
        <v>776</v>
      </c>
      <c r="B531" s="1" t="s">
        <v>346</v>
      </c>
      <c r="C531" s="1" t="s">
        <v>1411</v>
      </c>
      <c r="D531" s="1" t="s">
        <v>2614</v>
      </c>
      <c r="E531">
        <f t="shared" si="9"/>
        <v>1</v>
      </c>
    </row>
    <row r="532" spans="1:5" hidden="1" x14ac:dyDescent="0.35">
      <c r="A532" s="1" t="s">
        <v>543</v>
      </c>
      <c r="B532" s="1" t="s">
        <v>637</v>
      </c>
      <c r="C532" s="1" t="s">
        <v>1610</v>
      </c>
      <c r="D532" s="1" t="s">
        <v>2614</v>
      </c>
      <c r="E532">
        <f t="shared" si="9"/>
        <v>1</v>
      </c>
    </row>
    <row r="533" spans="1:5" hidden="1" x14ac:dyDescent="0.35">
      <c r="A533" s="1" t="s">
        <v>543</v>
      </c>
      <c r="B533" s="1" t="s">
        <v>638</v>
      </c>
      <c r="C533" s="1" t="s">
        <v>1658</v>
      </c>
      <c r="D533" s="1" t="s">
        <v>2614</v>
      </c>
      <c r="E533">
        <f t="shared" si="9"/>
        <v>1</v>
      </c>
    </row>
    <row r="534" spans="1:5" hidden="1" x14ac:dyDescent="0.35">
      <c r="A534" s="1" t="s">
        <v>543</v>
      </c>
      <c r="B534" s="1" t="s">
        <v>755</v>
      </c>
      <c r="C534" s="1" t="s">
        <v>2625</v>
      </c>
      <c r="D534" s="1" t="s">
        <v>2615</v>
      </c>
      <c r="E534">
        <f t="shared" si="9"/>
        <v>1</v>
      </c>
    </row>
    <row r="535" spans="1:5" hidden="1" x14ac:dyDescent="0.35">
      <c r="A535" s="1" t="s">
        <v>543</v>
      </c>
      <c r="B535" s="1" t="s">
        <v>754</v>
      </c>
      <c r="C535" s="1" t="s">
        <v>2626</v>
      </c>
      <c r="D535" s="1" t="s">
        <v>2615</v>
      </c>
      <c r="E535">
        <f t="shared" si="9"/>
        <v>1</v>
      </c>
    </row>
    <row r="536" spans="1:5" hidden="1" x14ac:dyDescent="0.35">
      <c r="A536" s="1" t="s">
        <v>543</v>
      </c>
      <c r="B536" s="1" t="s">
        <v>757</v>
      </c>
      <c r="C536" s="1" t="s">
        <v>2627</v>
      </c>
      <c r="D536" s="1" t="s">
        <v>2615</v>
      </c>
      <c r="E536">
        <f t="shared" si="9"/>
        <v>1</v>
      </c>
    </row>
    <row r="537" spans="1:5" hidden="1" x14ac:dyDescent="0.35">
      <c r="A537" s="1" t="s">
        <v>543</v>
      </c>
      <c r="B537" s="1" t="s">
        <v>756</v>
      </c>
      <c r="C537" s="1" t="s">
        <v>2373</v>
      </c>
      <c r="D537" s="1" t="s">
        <v>2615</v>
      </c>
      <c r="E537">
        <f t="shared" si="9"/>
        <v>1</v>
      </c>
    </row>
    <row r="538" spans="1:5" hidden="1" x14ac:dyDescent="0.35">
      <c r="A538" s="1" t="s">
        <v>543</v>
      </c>
      <c r="B538" s="1" t="s">
        <v>2254</v>
      </c>
      <c r="C538" s="1" t="s">
        <v>758</v>
      </c>
      <c r="D538" s="1" t="s">
        <v>2614</v>
      </c>
      <c r="E538">
        <f t="shared" si="9"/>
        <v>1</v>
      </c>
    </row>
    <row r="539" spans="1:5" hidden="1" x14ac:dyDescent="0.35">
      <c r="A539" s="1" t="s">
        <v>543</v>
      </c>
      <c r="B539" s="1" t="s">
        <v>2255</v>
      </c>
      <c r="C539" s="1" t="s">
        <v>759</v>
      </c>
      <c r="D539" s="1" t="s">
        <v>2614</v>
      </c>
      <c r="E539">
        <f t="shared" si="9"/>
        <v>1</v>
      </c>
    </row>
    <row r="540" spans="1:5" hidden="1" x14ac:dyDescent="0.35">
      <c r="A540" s="1" t="s">
        <v>543</v>
      </c>
      <c r="B540" s="1" t="s">
        <v>675</v>
      </c>
      <c r="C540" s="1" t="s">
        <v>2628</v>
      </c>
      <c r="D540" s="1" t="s">
        <v>2615</v>
      </c>
      <c r="E540">
        <f t="shared" si="9"/>
        <v>1</v>
      </c>
    </row>
    <row r="541" spans="1:5" hidden="1" x14ac:dyDescent="0.35">
      <c r="A541" s="1" t="s">
        <v>543</v>
      </c>
      <c r="B541" s="1" t="s">
        <v>1593</v>
      </c>
      <c r="C541" s="1" t="s">
        <v>1665</v>
      </c>
      <c r="D541" s="1" t="s">
        <v>2615</v>
      </c>
      <c r="E541">
        <f t="shared" si="9"/>
        <v>1</v>
      </c>
    </row>
    <row r="542" spans="1:5" hidden="1" x14ac:dyDescent="0.35">
      <c r="A542" s="1" t="s">
        <v>543</v>
      </c>
      <c r="B542" s="1" t="s">
        <v>738</v>
      </c>
      <c r="C542" s="1" t="s">
        <v>2464</v>
      </c>
      <c r="D542" s="1" t="s">
        <v>2615</v>
      </c>
      <c r="E542">
        <f t="shared" si="9"/>
        <v>1</v>
      </c>
    </row>
    <row r="543" spans="1:5" hidden="1" x14ac:dyDescent="0.35">
      <c r="A543" s="1" t="s">
        <v>543</v>
      </c>
      <c r="B543" s="1" t="s">
        <v>763</v>
      </c>
      <c r="C543" s="1" t="s">
        <v>1666</v>
      </c>
      <c r="D543" s="1" t="s">
        <v>2614</v>
      </c>
      <c r="E543">
        <f t="shared" si="9"/>
        <v>1</v>
      </c>
    </row>
    <row r="544" spans="1:5" hidden="1" x14ac:dyDescent="0.35">
      <c r="A544" s="1" t="s">
        <v>543</v>
      </c>
      <c r="B544" s="1" t="s">
        <v>717</v>
      </c>
      <c r="C544" s="1" t="s">
        <v>1667</v>
      </c>
      <c r="D544" s="1" t="s">
        <v>2614</v>
      </c>
      <c r="E544">
        <f t="shared" si="9"/>
        <v>1</v>
      </c>
    </row>
    <row r="545" spans="1:5" hidden="1" x14ac:dyDescent="0.35">
      <c r="A545" s="1" t="s">
        <v>543</v>
      </c>
      <c r="B545" s="1" t="s">
        <v>715</v>
      </c>
      <c r="C545" s="1" t="s">
        <v>2560</v>
      </c>
      <c r="D545" s="1" t="s">
        <v>2614</v>
      </c>
      <c r="E545">
        <f t="shared" si="9"/>
        <v>1</v>
      </c>
    </row>
    <row r="546" spans="1:5" hidden="1" x14ac:dyDescent="0.35">
      <c r="A546" s="1" t="s">
        <v>543</v>
      </c>
      <c r="B546" s="1" t="s">
        <v>719</v>
      </c>
      <c r="C546" s="1" t="s">
        <v>1669</v>
      </c>
      <c r="D546" s="1" t="s">
        <v>2614</v>
      </c>
      <c r="E546">
        <f t="shared" si="9"/>
        <v>1</v>
      </c>
    </row>
    <row r="547" spans="1:5" ht="29" hidden="1" x14ac:dyDescent="0.35">
      <c r="A547" s="1" t="s">
        <v>543</v>
      </c>
      <c r="B547" s="1" t="s">
        <v>731</v>
      </c>
      <c r="C547" s="1" t="s">
        <v>2561</v>
      </c>
      <c r="D547" s="1" t="s">
        <v>2614</v>
      </c>
      <c r="E547">
        <f t="shared" si="9"/>
        <v>1</v>
      </c>
    </row>
    <row r="548" spans="1:5" ht="29" hidden="1" x14ac:dyDescent="0.35">
      <c r="A548" s="1" t="s">
        <v>543</v>
      </c>
      <c r="B548" s="1" t="s">
        <v>716</v>
      </c>
      <c r="C548" s="1" t="s">
        <v>2562</v>
      </c>
      <c r="D548" s="1" t="s">
        <v>2614</v>
      </c>
      <c r="E548">
        <f t="shared" si="9"/>
        <v>1</v>
      </c>
    </row>
    <row r="549" spans="1:5" ht="29" hidden="1" x14ac:dyDescent="0.35">
      <c r="A549" s="1" t="s">
        <v>543</v>
      </c>
      <c r="B549" s="1" t="s">
        <v>730</v>
      </c>
      <c r="C549" s="1" t="s">
        <v>2563</v>
      </c>
      <c r="D549" s="1" t="s">
        <v>2614</v>
      </c>
      <c r="E549">
        <f t="shared" si="9"/>
        <v>1</v>
      </c>
    </row>
    <row r="550" spans="1:5" ht="29" hidden="1" x14ac:dyDescent="0.35">
      <c r="A550" s="1" t="s">
        <v>543</v>
      </c>
      <c r="B550" s="1" t="s">
        <v>724</v>
      </c>
      <c r="C550" s="1" t="s">
        <v>2564</v>
      </c>
      <c r="D550" s="1" t="s">
        <v>2614</v>
      </c>
      <c r="E550">
        <f t="shared" si="9"/>
        <v>1</v>
      </c>
    </row>
    <row r="551" spans="1:5" hidden="1" x14ac:dyDescent="0.35">
      <c r="A551" s="1" t="s">
        <v>543</v>
      </c>
      <c r="B551" s="1" t="s">
        <v>154</v>
      </c>
      <c r="C551" s="1" t="s">
        <v>2655</v>
      </c>
      <c r="D551" s="1" t="s">
        <v>2615</v>
      </c>
      <c r="E551">
        <f t="shared" si="9"/>
        <v>1</v>
      </c>
    </row>
    <row r="552" spans="1:5" hidden="1" x14ac:dyDescent="0.35">
      <c r="A552" s="1" t="s">
        <v>543</v>
      </c>
      <c r="B552" s="1" t="s">
        <v>772</v>
      </c>
      <c r="C552" s="1" t="s">
        <v>1675</v>
      </c>
      <c r="D552" s="1" t="s">
        <v>2614</v>
      </c>
      <c r="E552">
        <f t="shared" si="9"/>
        <v>1</v>
      </c>
    </row>
    <row r="553" spans="1:5" hidden="1" x14ac:dyDescent="0.35">
      <c r="A553" s="1" t="s">
        <v>543</v>
      </c>
      <c r="B553" s="1" t="s">
        <v>748</v>
      </c>
      <c r="C553" s="1" t="s">
        <v>1678</v>
      </c>
      <c r="D553" s="1" t="s">
        <v>2615</v>
      </c>
      <c r="E553">
        <f t="shared" si="9"/>
        <v>1</v>
      </c>
    </row>
    <row r="554" spans="1:5" hidden="1" x14ac:dyDescent="0.35">
      <c r="A554" s="1" t="s">
        <v>543</v>
      </c>
      <c r="B554" s="1" t="s">
        <v>765</v>
      </c>
      <c r="C554" s="1" t="s">
        <v>1679</v>
      </c>
      <c r="D554" s="1" t="s">
        <v>2614</v>
      </c>
      <c r="E554">
        <f t="shared" si="9"/>
        <v>1</v>
      </c>
    </row>
    <row r="555" spans="1:5" ht="43.5" hidden="1" x14ac:dyDescent="0.35">
      <c r="A555" s="1" t="s">
        <v>543</v>
      </c>
      <c r="B555" s="1" t="s">
        <v>699</v>
      </c>
      <c r="C555" s="1" t="s">
        <v>1680</v>
      </c>
      <c r="D555" s="1" t="s">
        <v>2614</v>
      </c>
      <c r="E555">
        <f t="shared" si="9"/>
        <v>1</v>
      </c>
    </row>
    <row r="556" spans="1:5" ht="43.5" hidden="1" x14ac:dyDescent="0.35">
      <c r="A556" s="1" t="s">
        <v>543</v>
      </c>
      <c r="B556" s="1" t="s">
        <v>700</v>
      </c>
      <c r="C556" s="1" t="s">
        <v>1681</v>
      </c>
      <c r="D556" s="1" t="s">
        <v>2614</v>
      </c>
      <c r="E556">
        <f t="shared" si="9"/>
        <v>1</v>
      </c>
    </row>
    <row r="557" spans="1:5" hidden="1" x14ac:dyDescent="0.35">
      <c r="A557" s="1" t="s">
        <v>543</v>
      </c>
      <c r="B557" s="1" t="s">
        <v>1594</v>
      </c>
      <c r="C557" s="1" t="s">
        <v>1594</v>
      </c>
      <c r="D557" s="1" t="s">
        <v>2615</v>
      </c>
      <c r="E557">
        <f t="shared" si="9"/>
        <v>1</v>
      </c>
    </row>
    <row r="558" spans="1:5" ht="29" hidden="1" x14ac:dyDescent="0.35">
      <c r="A558" s="1" t="s">
        <v>543</v>
      </c>
      <c r="B558" s="1" t="s">
        <v>664</v>
      </c>
      <c r="C558" s="1" t="s">
        <v>2629</v>
      </c>
      <c r="D558" s="1" t="s">
        <v>2615</v>
      </c>
      <c r="E558">
        <f t="shared" si="9"/>
        <v>1</v>
      </c>
    </row>
    <row r="559" spans="1:5" ht="29" hidden="1" x14ac:dyDescent="0.35">
      <c r="A559" s="1" t="s">
        <v>543</v>
      </c>
      <c r="B559" s="1" t="s">
        <v>665</v>
      </c>
      <c r="C559" s="1" t="s">
        <v>2630</v>
      </c>
      <c r="D559" s="1" t="s">
        <v>2615</v>
      </c>
      <c r="E559">
        <f t="shared" si="9"/>
        <v>1</v>
      </c>
    </row>
    <row r="560" spans="1:5" ht="29" hidden="1" x14ac:dyDescent="0.35">
      <c r="A560" s="1" t="s">
        <v>543</v>
      </c>
      <c r="B560" s="1" t="s">
        <v>666</v>
      </c>
      <c r="C560" s="1" t="s">
        <v>2631</v>
      </c>
      <c r="D560" s="1" t="s">
        <v>2615</v>
      </c>
      <c r="E560">
        <f t="shared" si="9"/>
        <v>1</v>
      </c>
    </row>
    <row r="561" spans="1:5" hidden="1" x14ac:dyDescent="0.35">
      <c r="A561" s="1" t="s">
        <v>859</v>
      </c>
      <c r="B561" s="1" t="s">
        <v>413</v>
      </c>
      <c r="C561" s="43" t="s">
        <v>2096</v>
      </c>
      <c r="D561" s="43" t="s">
        <v>2614</v>
      </c>
      <c r="E561">
        <f t="shared" si="9"/>
        <v>1</v>
      </c>
    </row>
    <row r="562" spans="1:5" hidden="1" x14ac:dyDescent="0.35">
      <c r="A562" s="1" t="s">
        <v>2236</v>
      </c>
      <c r="B562" s="1" t="s">
        <v>1129</v>
      </c>
      <c r="C562" s="1" t="s">
        <v>2206</v>
      </c>
      <c r="D562" s="1" t="s">
        <v>2614</v>
      </c>
      <c r="E562">
        <f t="shared" si="9"/>
        <v>2</v>
      </c>
    </row>
    <row r="563" spans="1:5" hidden="1" x14ac:dyDescent="0.35">
      <c r="A563" s="1" t="s">
        <v>776</v>
      </c>
      <c r="B563" s="1" t="s">
        <v>1405</v>
      </c>
      <c r="C563" s="1" t="s">
        <v>1406</v>
      </c>
      <c r="D563" s="1" t="s">
        <v>2614</v>
      </c>
      <c r="E563">
        <f t="shared" si="9"/>
        <v>2</v>
      </c>
    </row>
    <row r="564" spans="1:5" hidden="1" x14ac:dyDescent="0.35">
      <c r="A564" s="1" t="s">
        <v>859</v>
      </c>
      <c r="B564" s="1" t="s">
        <v>176</v>
      </c>
      <c r="C564" s="43" t="s">
        <v>2632</v>
      </c>
      <c r="D564" s="43" t="s">
        <v>2615</v>
      </c>
      <c r="E564">
        <f t="shared" si="9"/>
        <v>1</v>
      </c>
    </row>
    <row r="565" spans="1:5" hidden="1" x14ac:dyDescent="0.35">
      <c r="A565" s="1" t="s">
        <v>543</v>
      </c>
      <c r="B565" s="1" t="s">
        <v>671</v>
      </c>
      <c r="C565" s="1" t="s">
        <v>1692</v>
      </c>
      <c r="D565" s="1" t="s">
        <v>2614</v>
      </c>
      <c r="E565">
        <f t="shared" si="9"/>
        <v>1</v>
      </c>
    </row>
    <row r="566" spans="1:5" ht="43.5" hidden="1" x14ac:dyDescent="0.35">
      <c r="A566" s="1" t="s">
        <v>543</v>
      </c>
      <c r="B566" s="1" t="s">
        <v>687</v>
      </c>
      <c r="C566" s="1" t="s">
        <v>1693</v>
      </c>
      <c r="D566" s="1" t="s">
        <v>2614</v>
      </c>
      <c r="E566">
        <f t="shared" si="9"/>
        <v>1</v>
      </c>
    </row>
    <row r="567" spans="1:5" ht="43.5" hidden="1" x14ac:dyDescent="0.35">
      <c r="A567" s="1" t="s">
        <v>543</v>
      </c>
      <c r="B567" s="1" t="s">
        <v>688</v>
      </c>
      <c r="C567" s="1" t="s">
        <v>1694</v>
      </c>
      <c r="D567" s="1" t="s">
        <v>2614</v>
      </c>
      <c r="E567">
        <f t="shared" si="9"/>
        <v>1</v>
      </c>
    </row>
    <row r="568" spans="1:5" hidden="1" x14ac:dyDescent="0.35">
      <c r="A568" s="1" t="s">
        <v>543</v>
      </c>
      <c r="B568" s="1" t="s">
        <v>641</v>
      </c>
      <c r="C568" s="1" t="s">
        <v>1695</v>
      </c>
      <c r="D568" s="1" t="s">
        <v>2614</v>
      </c>
      <c r="E568">
        <f t="shared" si="9"/>
        <v>1</v>
      </c>
    </row>
    <row r="569" spans="1:5" hidden="1" x14ac:dyDescent="0.35">
      <c r="A569" s="1" t="s">
        <v>543</v>
      </c>
      <c r="B569" s="1" t="s">
        <v>734</v>
      </c>
      <c r="C569" s="1" t="s">
        <v>1696</v>
      </c>
      <c r="D569" s="1" t="s">
        <v>2614</v>
      </c>
      <c r="E569">
        <f t="shared" si="9"/>
        <v>1</v>
      </c>
    </row>
    <row r="570" spans="1:5" ht="29" hidden="1" x14ac:dyDescent="0.35">
      <c r="A570" s="1" t="s">
        <v>543</v>
      </c>
      <c r="B570" s="1" t="s">
        <v>658</v>
      </c>
      <c r="C570" s="1" t="s">
        <v>1699</v>
      </c>
      <c r="D570" s="1" t="s">
        <v>2614</v>
      </c>
      <c r="E570">
        <f t="shared" si="9"/>
        <v>1</v>
      </c>
    </row>
    <row r="571" spans="1:5" ht="29" hidden="1" x14ac:dyDescent="0.35">
      <c r="A571" s="1" t="s">
        <v>543</v>
      </c>
      <c r="B571" s="1" t="s">
        <v>659</v>
      </c>
      <c r="C571" s="1" t="s">
        <v>1700</v>
      </c>
      <c r="D571" s="1" t="s">
        <v>2614</v>
      </c>
      <c r="E571">
        <f t="shared" si="9"/>
        <v>1</v>
      </c>
    </row>
    <row r="572" spans="1:5" ht="29" hidden="1" x14ac:dyDescent="0.35">
      <c r="A572" s="1" t="s">
        <v>543</v>
      </c>
      <c r="B572" s="1" t="s">
        <v>660</v>
      </c>
      <c r="C572" s="1" t="s">
        <v>1701</v>
      </c>
      <c r="D572" s="1" t="s">
        <v>2614</v>
      </c>
      <c r="E572">
        <f t="shared" si="9"/>
        <v>1</v>
      </c>
    </row>
    <row r="573" spans="1:5" hidden="1" x14ac:dyDescent="0.35">
      <c r="A573" s="1" t="s">
        <v>543</v>
      </c>
      <c r="B573" s="1" t="s">
        <v>677</v>
      </c>
      <c r="C573" s="1" t="s">
        <v>1702</v>
      </c>
      <c r="D573" s="1" t="s">
        <v>2614</v>
      </c>
      <c r="E573">
        <f t="shared" si="9"/>
        <v>1</v>
      </c>
    </row>
    <row r="574" spans="1:5" ht="29" hidden="1" x14ac:dyDescent="0.35">
      <c r="A574" s="1" t="s">
        <v>543</v>
      </c>
      <c r="B574" s="1" t="s">
        <v>2257</v>
      </c>
      <c r="C574" s="1" t="s">
        <v>1698</v>
      </c>
      <c r="D574" s="1" t="s">
        <v>2614</v>
      </c>
      <c r="E574">
        <f t="shared" si="9"/>
        <v>1</v>
      </c>
    </row>
    <row r="575" spans="1:5" hidden="1" x14ac:dyDescent="0.35">
      <c r="A575" s="1" t="s">
        <v>543</v>
      </c>
      <c r="B575" s="1" t="s">
        <v>628</v>
      </c>
      <c r="C575" s="1" t="s">
        <v>2656</v>
      </c>
      <c r="D575" s="1" t="s">
        <v>2615</v>
      </c>
      <c r="E575">
        <f t="shared" si="9"/>
        <v>1</v>
      </c>
    </row>
    <row r="576" spans="1:5" hidden="1" x14ac:dyDescent="0.35">
      <c r="A576" s="1" t="s">
        <v>543</v>
      </c>
      <c r="B576" s="1" t="s">
        <v>635</v>
      </c>
      <c r="C576" s="1" t="s">
        <v>2657</v>
      </c>
      <c r="D576" s="1" t="s">
        <v>2615</v>
      </c>
      <c r="E576">
        <f t="shared" si="9"/>
        <v>1</v>
      </c>
    </row>
    <row r="577" spans="1:5" hidden="1" x14ac:dyDescent="0.35">
      <c r="A577" s="1" t="s">
        <v>543</v>
      </c>
      <c r="B577" s="1" t="s">
        <v>636</v>
      </c>
      <c r="C577" s="1" t="s">
        <v>2658</v>
      </c>
      <c r="D577" s="1" t="s">
        <v>2615</v>
      </c>
      <c r="E577">
        <f t="shared" si="9"/>
        <v>1</v>
      </c>
    </row>
    <row r="578" spans="1:5" hidden="1" x14ac:dyDescent="0.35">
      <c r="A578" s="1" t="s">
        <v>543</v>
      </c>
      <c r="B578" s="1" t="s">
        <v>644</v>
      </c>
      <c r="C578" s="1" t="s">
        <v>1708</v>
      </c>
      <c r="D578" s="1" t="s">
        <v>2614</v>
      </c>
      <c r="E578">
        <f t="shared" si="9"/>
        <v>1</v>
      </c>
    </row>
    <row r="579" spans="1:5" hidden="1" x14ac:dyDescent="0.35">
      <c r="A579" s="1" t="s">
        <v>543</v>
      </c>
      <c r="B579" s="1" t="s">
        <v>499</v>
      </c>
      <c r="C579" s="1" t="s">
        <v>1776</v>
      </c>
      <c r="D579" s="1" t="s">
        <v>2614</v>
      </c>
      <c r="E579">
        <f t="shared" si="9"/>
        <v>1</v>
      </c>
    </row>
    <row r="580" spans="1:5" ht="29" hidden="1" x14ac:dyDescent="0.35">
      <c r="A580" s="1" t="s">
        <v>543</v>
      </c>
      <c r="B580" s="1" t="s">
        <v>708</v>
      </c>
      <c r="C580" s="1" t="s">
        <v>1713</v>
      </c>
      <c r="D580" s="1" t="s">
        <v>2614</v>
      </c>
      <c r="E580">
        <f t="shared" si="9"/>
        <v>1</v>
      </c>
    </row>
    <row r="581" spans="1:5" hidden="1" x14ac:dyDescent="0.35">
      <c r="A581" s="1" t="s">
        <v>776</v>
      </c>
      <c r="B581" s="1" t="s">
        <v>354</v>
      </c>
      <c r="C581" s="1" t="s">
        <v>1408</v>
      </c>
      <c r="D581" s="1" t="s">
        <v>2614</v>
      </c>
      <c r="E581">
        <f t="shared" si="9"/>
        <v>2</v>
      </c>
    </row>
    <row r="582" spans="1:5" hidden="1" x14ac:dyDescent="0.35">
      <c r="A582" s="1" t="s">
        <v>543</v>
      </c>
      <c r="B582" s="1" t="s">
        <v>1598</v>
      </c>
      <c r="C582" s="1" t="s">
        <v>1716</v>
      </c>
      <c r="D582" s="1" t="s">
        <v>2614</v>
      </c>
      <c r="E582">
        <f t="shared" si="9"/>
        <v>1</v>
      </c>
    </row>
    <row r="583" spans="1:5" hidden="1" x14ac:dyDescent="0.35">
      <c r="A583" s="1" t="s">
        <v>543</v>
      </c>
      <c r="B583" s="1" t="s">
        <v>1599</v>
      </c>
      <c r="C583" s="1" t="s">
        <v>1717</v>
      </c>
      <c r="D583" s="1" t="s">
        <v>2614</v>
      </c>
      <c r="E583">
        <f t="shared" si="9"/>
        <v>1</v>
      </c>
    </row>
    <row r="584" spans="1:5" hidden="1" x14ac:dyDescent="0.35">
      <c r="A584" s="1" t="s">
        <v>543</v>
      </c>
      <c r="B584" s="1" t="s">
        <v>720</v>
      </c>
      <c r="C584" s="1" t="s">
        <v>2565</v>
      </c>
      <c r="D584" s="1" t="s">
        <v>2614</v>
      </c>
      <c r="E584">
        <f t="shared" si="9"/>
        <v>1</v>
      </c>
    </row>
    <row r="585" spans="1:5" hidden="1" x14ac:dyDescent="0.35">
      <c r="A585" s="1" t="s">
        <v>543</v>
      </c>
      <c r="B585" s="1" t="s">
        <v>721</v>
      </c>
      <c r="C585" s="1" t="s">
        <v>1719</v>
      </c>
      <c r="D585" s="1" t="s">
        <v>2614</v>
      </c>
      <c r="E585">
        <f t="shared" si="9"/>
        <v>1</v>
      </c>
    </row>
    <row r="586" spans="1:5" ht="29" hidden="1" x14ac:dyDescent="0.35">
      <c r="A586" s="1" t="s">
        <v>543</v>
      </c>
      <c r="B586" s="1" t="s">
        <v>674</v>
      </c>
      <c r="C586" s="1" t="s">
        <v>1720</v>
      </c>
      <c r="D586" s="1" t="s">
        <v>2614</v>
      </c>
      <c r="E586">
        <f t="shared" ref="E586:E649" si="10">COUNTIF(C:C,C586)</f>
        <v>1</v>
      </c>
    </row>
    <row r="587" spans="1:5" hidden="1" x14ac:dyDescent="0.35">
      <c r="A587" s="1" t="s">
        <v>859</v>
      </c>
      <c r="B587" s="1" t="s">
        <v>1455</v>
      </c>
      <c r="C587" s="43" t="s">
        <v>1455</v>
      </c>
      <c r="D587" s="43" t="s">
        <v>2615</v>
      </c>
      <c r="E587">
        <f t="shared" si="10"/>
        <v>1</v>
      </c>
    </row>
    <row r="588" spans="1:5" ht="43.5" hidden="1" x14ac:dyDescent="0.35">
      <c r="A588" s="1" t="s">
        <v>543</v>
      </c>
      <c r="B588" s="1" t="s">
        <v>707</v>
      </c>
      <c r="C588" s="1" t="s">
        <v>1723</v>
      </c>
      <c r="D588" s="1" t="s">
        <v>2614</v>
      </c>
      <c r="E588">
        <f t="shared" si="10"/>
        <v>1</v>
      </c>
    </row>
    <row r="589" spans="1:5" ht="29" hidden="1" x14ac:dyDescent="0.35">
      <c r="A589" s="1" t="s">
        <v>543</v>
      </c>
      <c r="B589" s="1" t="s">
        <v>703</v>
      </c>
      <c r="C589" s="1" t="s">
        <v>1724</v>
      </c>
      <c r="D589" s="1" t="s">
        <v>2614</v>
      </c>
      <c r="E589">
        <f t="shared" si="10"/>
        <v>1</v>
      </c>
    </row>
    <row r="590" spans="1:5" ht="29" hidden="1" x14ac:dyDescent="0.35">
      <c r="A590" s="1" t="s">
        <v>543</v>
      </c>
      <c r="B590" s="1" t="s">
        <v>706</v>
      </c>
      <c r="C590" s="1" t="s">
        <v>1725</v>
      </c>
      <c r="D590" s="1" t="s">
        <v>2614</v>
      </c>
      <c r="E590">
        <f t="shared" si="10"/>
        <v>1</v>
      </c>
    </row>
    <row r="591" spans="1:5" ht="29" hidden="1" x14ac:dyDescent="0.35">
      <c r="A591" s="1" t="s">
        <v>543</v>
      </c>
      <c r="B591" s="1" t="s">
        <v>704</v>
      </c>
      <c r="C591" s="1" t="s">
        <v>1727</v>
      </c>
      <c r="D591" s="1" t="s">
        <v>2614</v>
      </c>
      <c r="E591">
        <f t="shared" si="10"/>
        <v>1</v>
      </c>
    </row>
    <row r="592" spans="1:5" ht="29" hidden="1" x14ac:dyDescent="0.35">
      <c r="A592" s="1" t="s">
        <v>543</v>
      </c>
      <c r="B592" s="1" t="s">
        <v>702</v>
      </c>
      <c r="C592" s="1" t="s">
        <v>1728</v>
      </c>
      <c r="D592" s="1" t="s">
        <v>2614</v>
      </c>
      <c r="E592">
        <f t="shared" si="10"/>
        <v>1</v>
      </c>
    </row>
    <row r="593" spans="1:5" ht="29" hidden="1" x14ac:dyDescent="0.35">
      <c r="A593" s="1" t="s">
        <v>543</v>
      </c>
      <c r="B593" s="1" t="s">
        <v>705</v>
      </c>
      <c r="C593" s="1" t="s">
        <v>1729</v>
      </c>
      <c r="D593" s="1" t="s">
        <v>2614</v>
      </c>
      <c r="E593">
        <f t="shared" si="10"/>
        <v>1</v>
      </c>
    </row>
    <row r="594" spans="1:5" hidden="1" x14ac:dyDescent="0.35">
      <c r="A594" s="1" t="s">
        <v>543</v>
      </c>
      <c r="B594" s="1" t="s">
        <v>640</v>
      </c>
      <c r="C594" s="1" t="s">
        <v>1730</v>
      </c>
      <c r="D594" s="1" t="s">
        <v>2614</v>
      </c>
      <c r="E594">
        <f t="shared" si="10"/>
        <v>1</v>
      </c>
    </row>
    <row r="595" spans="1:5" hidden="1" x14ac:dyDescent="0.35">
      <c r="A595" s="1" t="s">
        <v>543</v>
      </c>
      <c r="B595" s="1" t="s">
        <v>689</v>
      </c>
      <c r="C595" s="1" t="s">
        <v>2659</v>
      </c>
      <c r="D595" s="1" t="s">
        <v>2615</v>
      </c>
      <c r="E595">
        <f t="shared" si="10"/>
        <v>1</v>
      </c>
    </row>
    <row r="596" spans="1:5" hidden="1" x14ac:dyDescent="0.35">
      <c r="A596" s="1" t="s">
        <v>543</v>
      </c>
      <c r="B596" s="1" t="s">
        <v>630</v>
      </c>
      <c r="C596" s="1" t="s">
        <v>1732</v>
      </c>
      <c r="D596" s="1" t="s">
        <v>2614</v>
      </c>
      <c r="E596">
        <f t="shared" si="10"/>
        <v>1</v>
      </c>
    </row>
    <row r="597" spans="1:5" hidden="1" x14ac:dyDescent="0.35">
      <c r="A597" s="1" t="s">
        <v>543</v>
      </c>
      <c r="B597" s="1" t="s">
        <v>739</v>
      </c>
      <c r="C597" s="1" t="s">
        <v>1733</v>
      </c>
      <c r="D597" s="1" t="s">
        <v>2614</v>
      </c>
      <c r="E597">
        <f t="shared" si="10"/>
        <v>1</v>
      </c>
    </row>
    <row r="598" spans="1:5" hidden="1" x14ac:dyDescent="0.35">
      <c r="A598" s="1" t="s">
        <v>543</v>
      </c>
      <c r="B598" s="1" t="s">
        <v>741</v>
      </c>
      <c r="C598" s="1" t="s">
        <v>1734</v>
      </c>
      <c r="D598" s="1" t="s">
        <v>2614</v>
      </c>
      <c r="E598">
        <f t="shared" si="10"/>
        <v>1</v>
      </c>
    </row>
    <row r="599" spans="1:5" hidden="1" x14ac:dyDescent="0.35">
      <c r="A599" s="1" t="s">
        <v>543</v>
      </c>
      <c r="B599" s="1" t="s">
        <v>740</v>
      </c>
      <c r="C599" s="1" t="s">
        <v>1736</v>
      </c>
      <c r="D599" s="1" t="s">
        <v>2614</v>
      </c>
      <c r="E599">
        <f t="shared" si="10"/>
        <v>1</v>
      </c>
    </row>
    <row r="600" spans="1:5" hidden="1" x14ac:dyDescent="0.35">
      <c r="A600" s="1" t="s">
        <v>543</v>
      </c>
      <c r="B600" s="1" t="s">
        <v>736</v>
      </c>
      <c r="C600" s="1" t="s">
        <v>2581</v>
      </c>
      <c r="D600" s="1" t="s">
        <v>2614</v>
      </c>
      <c r="E600">
        <f t="shared" si="10"/>
        <v>1</v>
      </c>
    </row>
    <row r="601" spans="1:5" ht="29" hidden="1" x14ac:dyDescent="0.35">
      <c r="A601" s="1" t="s">
        <v>543</v>
      </c>
      <c r="B601" s="1" t="s">
        <v>747</v>
      </c>
      <c r="C601" s="1" t="s">
        <v>1738</v>
      </c>
      <c r="D601" s="1" t="s">
        <v>2614</v>
      </c>
      <c r="E601">
        <f t="shared" si="10"/>
        <v>1</v>
      </c>
    </row>
    <row r="602" spans="1:5" hidden="1" x14ac:dyDescent="0.35">
      <c r="A602" s="1" t="s">
        <v>543</v>
      </c>
      <c r="B602" s="1" t="s">
        <v>634</v>
      </c>
      <c r="C602" s="1" t="s">
        <v>2660</v>
      </c>
      <c r="D602" s="1" t="s">
        <v>2615</v>
      </c>
      <c r="E602">
        <f t="shared" si="10"/>
        <v>1</v>
      </c>
    </row>
    <row r="603" spans="1:5" hidden="1" x14ac:dyDescent="0.35">
      <c r="A603" s="1" t="s">
        <v>543</v>
      </c>
      <c r="B603" s="1" t="s">
        <v>749</v>
      </c>
      <c r="C603" s="1" t="s">
        <v>1740</v>
      </c>
      <c r="D603" s="1" t="s">
        <v>2615</v>
      </c>
      <c r="E603">
        <f t="shared" si="10"/>
        <v>1</v>
      </c>
    </row>
    <row r="604" spans="1:5" hidden="1" x14ac:dyDescent="0.35">
      <c r="A604" s="1" t="s">
        <v>543</v>
      </c>
      <c r="B604" s="1" t="s">
        <v>381</v>
      </c>
      <c r="C604" s="1" t="s">
        <v>2661</v>
      </c>
      <c r="D604" s="1" t="s">
        <v>2615</v>
      </c>
      <c r="E604">
        <f t="shared" si="10"/>
        <v>1</v>
      </c>
    </row>
    <row r="605" spans="1:5" hidden="1" x14ac:dyDescent="0.35">
      <c r="A605" s="1" t="s">
        <v>543</v>
      </c>
      <c r="B605" s="1" t="s">
        <v>714</v>
      </c>
      <c r="C605" s="1" t="s">
        <v>2580</v>
      </c>
      <c r="D605" s="1" t="s">
        <v>2614</v>
      </c>
      <c r="E605">
        <f t="shared" si="10"/>
        <v>1</v>
      </c>
    </row>
    <row r="606" spans="1:5" hidden="1" x14ac:dyDescent="0.35">
      <c r="A606" s="1" t="s">
        <v>543</v>
      </c>
      <c r="B606" s="1" t="s">
        <v>726</v>
      </c>
      <c r="C606" s="1" t="s">
        <v>2579</v>
      </c>
      <c r="D606" s="1" t="s">
        <v>2614</v>
      </c>
      <c r="E606">
        <f t="shared" si="10"/>
        <v>1</v>
      </c>
    </row>
    <row r="607" spans="1:5" ht="29" hidden="1" x14ac:dyDescent="0.35">
      <c r="A607" s="1" t="s">
        <v>543</v>
      </c>
      <c r="B607" s="1" t="s">
        <v>210</v>
      </c>
      <c r="C607" s="1" t="s">
        <v>2578</v>
      </c>
      <c r="D607" s="1" t="s">
        <v>2614</v>
      </c>
      <c r="E607">
        <f t="shared" si="10"/>
        <v>1</v>
      </c>
    </row>
    <row r="608" spans="1:5" ht="29" hidden="1" x14ac:dyDescent="0.35">
      <c r="A608" s="1" t="s">
        <v>543</v>
      </c>
      <c r="B608" s="1" t="s">
        <v>727</v>
      </c>
      <c r="C608" s="1" t="s">
        <v>2577</v>
      </c>
      <c r="D608" s="1" t="s">
        <v>2614</v>
      </c>
      <c r="E608">
        <f t="shared" si="10"/>
        <v>1</v>
      </c>
    </row>
    <row r="609" spans="1:5" hidden="1" x14ac:dyDescent="0.35">
      <c r="A609" s="1" t="s">
        <v>543</v>
      </c>
      <c r="B609" s="1" t="s">
        <v>718</v>
      </c>
      <c r="C609" s="1" t="s">
        <v>1746</v>
      </c>
      <c r="D609" s="1" t="s">
        <v>2614</v>
      </c>
      <c r="E609">
        <f t="shared" si="10"/>
        <v>1</v>
      </c>
    </row>
    <row r="610" spans="1:5" ht="29" hidden="1" x14ac:dyDescent="0.35">
      <c r="A610" s="1" t="s">
        <v>543</v>
      </c>
      <c r="B610" s="1" t="s">
        <v>723</v>
      </c>
      <c r="C610" s="1" t="s">
        <v>2566</v>
      </c>
      <c r="D610" s="1" t="s">
        <v>2614</v>
      </c>
      <c r="E610">
        <f t="shared" si="10"/>
        <v>1</v>
      </c>
    </row>
    <row r="611" spans="1:5" ht="29" hidden="1" x14ac:dyDescent="0.35">
      <c r="A611" s="1" t="s">
        <v>543</v>
      </c>
      <c r="B611" s="1" t="s">
        <v>725</v>
      </c>
      <c r="C611" s="1" t="s">
        <v>2576</v>
      </c>
      <c r="D611" s="1" t="s">
        <v>2614</v>
      </c>
      <c r="E611">
        <f t="shared" si="10"/>
        <v>1</v>
      </c>
    </row>
    <row r="612" spans="1:5" hidden="1" x14ac:dyDescent="0.35">
      <c r="A612" s="1" t="s">
        <v>543</v>
      </c>
      <c r="B612" s="1" t="s">
        <v>729</v>
      </c>
      <c r="C612" s="1" t="s">
        <v>2575</v>
      </c>
      <c r="D612" s="1" t="s">
        <v>2614</v>
      </c>
      <c r="E612">
        <f t="shared" si="10"/>
        <v>1</v>
      </c>
    </row>
    <row r="613" spans="1:5" ht="29" hidden="1" x14ac:dyDescent="0.35">
      <c r="A613" s="1" t="s">
        <v>543</v>
      </c>
      <c r="B613" s="1" t="s">
        <v>211</v>
      </c>
      <c r="C613" s="1" t="s">
        <v>2687</v>
      </c>
      <c r="D613" s="1" t="s">
        <v>2614</v>
      </c>
      <c r="E613">
        <f t="shared" si="10"/>
        <v>1</v>
      </c>
    </row>
    <row r="614" spans="1:5" hidden="1" x14ac:dyDescent="0.35">
      <c r="A614" s="1" t="s">
        <v>543</v>
      </c>
      <c r="B614" s="1" t="s">
        <v>728</v>
      </c>
      <c r="C614" s="1" t="s">
        <v>2574</v>
      </c>
      <c r="D614" s="1" t="s">
        <v>2614</v>
      </c>
      <c r="E614">
        <f t="shared" si="10"/>
        <v>1</v>
      </c>
    </row>
    <row r="615" spans="1:5" ht="43.5" hidden="1" x14ac:dyDescent="0.35">
      <c r="A615" s="1" t="s">
        <v>543</v>
      </c>
      <c r="B615" s="1" t="s">
        <v>712</v>
      </c>
      <c r="C615" s="1" t="s">
        <v>1752</v>
      </c>
      <c r="D615" s="1" t="s">
        <v>2614</v>
      </c>
      <c r="E615">
        <f t="shared" si="10"/>
        <v>1</v>
      </c>
    </row>
    <row r="616" spans="1:5" ht="43.5" hidden="1" x14ac:dyDescent="0.35">
      <c r="A616" s="1" t="s">
        <v>543</v>
      </c>
      <c r="B616" s="1" t="s">
        <v>713</v>
      </c>
      <c r="C616" s="1" t="s">
        <v>1753</v>
      </c>
      <c r="D616" s="1" t="s">
        <v>2614</v>
      </c>
      <c r="E616">
        <f t="shared" si="10"/>
        <v>1</v>
      </c>
    </row>
    <row r="617" spans="1:5" ht="43.5" hidden="1" x14ac:dyDescent="0.35">
      <c r="A617" s="1" t="s">
        <v>543</v>
      </c>
      <c r="B617" s="1" t="s">
        <v>711</v>
      </c>
      <c r="C617" s="1" t="s">
        <v>1754</v>
      </c>
      <c r="D617" s="1" t="s">
        <v>2614</v>
      </c>
      <c r="E617">
        <f t="shared" si="10"/>
        <v>1</v>
      </c>
    </row>
    <row r="618" spans="1:5" ht="43.5" hidden="1" x14ac:dyDescent="0.35">
      <c r="A618" s="1" t="s">
        <v>543</v>
      </c>
      <c r="B618" s="1" t="s">
        <v>709</v>
      </c>
      <c r="C618" s="1" t="s">
        <v>1755</v>
      </c>
      <c r="D618" s="1" t="s">
        <v>2614</v>
      </c>
      <c r="E618">
        <f t="shared" si="10"/>
        <v>1</v>
      </c>
    </row>
    <row r="619" spans="1:5" ht="43.5" hidden="1" x14ac:dyDescent="0.35">
      <c r="A619" s="1" t="s">
        <v>543</v>
      </c>
      <c r="B619" s="1" t="s">
        <v>682</v>
      </c>
      <c r="C619" s="1" t="s">
        <v>1756</v>
      </c>
      <c r="D619" s="1" t="s">
        <v>2614</v>
      </c>
      <c r="E619">
        <f t="shared" si="10"/>
        <v>1</v>
      </c>
    </row>
    <row r="620" spans="1:5" ht="43.5" hidden="1" x14ac:dyDescent="0.35">
      <c r="A620" s="1" t="s">
        <v>543</v>
      </c>
      <c r="B620" s="1" t="s">
        <v>683</v>
      </c>
      <c r="C620" s="1" t="s">
        <v>1757</v>
      </c>
      <c r="D620" s="1" t="s">
        <v>2614</v>
      </c>
      <c r="E620">
        <f t="shared" si="10"/>
        <v>1</v>
      </c>
    </row>
    <row r="621" spans="1:5" ht="29" hidden="1" x14ac:dyDescent="0.35">
      <c r="A621" s="1" t="s">
        <v>543</v>
      </c>
      <c r="B621" s="1" t="s">
        <v>691</v>
      </c>
      <c r="C621" s="1" t="s">
        <v>1758</v>
      </c>
      <c r="D621" s="1" t="s">
        <v>2614</v>
      </c>
      <c r="E621">
        <f t="shared" si="10"/>
        <v>1</v>
      </c>
    </row>
    <row r="622" spans="1:5" ht="43.5" hidden="1" x14ac:dyDescent="0.35">
      <c r="A622" s="1" t="s">
        <v>543</v>
      </c>
      <c r="B622" s="1" t="s">
        <v>681</v>
      </c>
      <c r="C622" s="1" t="s">
        <v>1759</v>
      </c>
      <c r="D622" s="1" t="s">
        <v>2614</v>
      </c>
      <c r="E622">
        <f t="shared" si="10"/>
        <v>1</v>
      </c>
    </row>
    <row r="623" spans="1:5" hidden="1" x14ac:dyDescent="0.35">
      <c r="A623" s="1" t="s">
        <v>543</v>
      </c>
      <c r="B623" s="1" t="s">
        <v>642</v>
      </c>
      <c r="C623" s="1" t="s">
        <v>1760</v>
      </c>
      <c r="D623" s="1" t="s">
        <v>2614</v>
      </c>
      <c r="E623">
        <f t="shared" si="10"/>
        <v>1</v>
      </c>
    </row>
    <row r="624" spans="1:5" ht="29" hidden="1" x14ac:dyDescent="0.35">
      <c r="A624" s="1" t="s">
        <v>543</v>
      </c>
      <c r="B624" s="1" t="s">
        <v>710</v>
      </c>
      <c r="C624" s="1" t="s">
        <v>1761</v>
      </c>
      <c r="D624" s="1" t="s">
        <v>2614</v>
      </c>
      <c r="E624">
        <f t="shared" si="10"/>
        <v>1</v>
      </c>
    </row>
    <row r="625" spans="1:5" hidden="1" x14ac:dyDescent="0.35">
      <c r="A625" s="1" t="s">
        <v>543</v>
      </c>
      <c r="B625" s="1" t="s">
        <v>766</v>
      </c>
      <c r="C625" s="1" t="s">
        <v>1762</v>
      </c>
      <c r="D625" s="1" t="s">
        <v>2614</v>
      </c>
      <c r="E625">
        <f t="shared" si="10"/>
        <v>1</v>
      </c>
    </row>
    <row r="626" spans="1:5" hidden="1" x14ac:dyDescent="0.35">
      <c r="A626" s="1" t="s">
        <v>543</v>
      </c>
      <c r="B626" s="1" t="s">
        <v>750</v>
      </c>
      <c r="C626" s="1" t="s">
        <v>1763</v>
      </c>
      <c r="D626" s="1" t="s">
        <v>2615</v>
      </c>
      <c r="E626">
        <f t="shared" si="10"/>
        <v>1</v>
      </c>
    </row>
    <row r="627" spans="1:5" hidden="1" x14ac:dyDescent="0.35">
      <c r="A627" s="1" t="s">
        <v>543</v>
      </c>
      <c r="B627" s="1" t="s">
        <v>694</v>
      </c>
      <c r="C627" s="1" t="s">
        <v>1764</v>
      </c>
      <c r="D627" s="1" t="s">
        <v>2614</v>
      </c>
      <c r="E627">
        <f t="shared" si="10"/>
        <v>1</v>
      </c>
    </row>
    <row r="628" spans="1:5" ht="29" hidden="1" x14ac:dyDescent="0.35">
      <c r="A628" s="1" t="s">
        <v>543</v>
      </c>
      <c r="B628" s="1" t="s">
        <v>679</v>
      </c>
      <c r="C628" s="1" t="s">
        <v>1765</v>
      </c>
      <c r="D628" s="1" t="s">
        <v>2614</v>
      </c>
      <c r="E628">
        <f t="shared" si="10"/>
        <v>1</v>
      </c>
    </row>
    <row r="629" spans="1:5" ht="29" hidden="1" x14ac:dyDescent="0.35">
      <c r="A629" s="1" t="s">
        <v>543</v>
      </c>
      <c r="B629" s="1" t="s">
        <v>680</v>
      </c>
      <c r="C629" s="1" t="s">
        <v>1766</v>
      </c>
      <c r="D629" s="1" t="s">
        <v>2614</v>
      </c>
      <c r="E629">
        <f t="shared" si="10"/>
        <v>1</v>
      </c>
    </row>
    <row r="630" spans="1:5" hidden="1" x14ac:dyDescent="0.35">
      <c r="A630" s="1" t="s">
        <v>543</v>
      </c>
      <c r="B630" s="1" t="s">
        <v>692</v>
      </c>
      <c r="C630" s="1" t="s">
        <v>1767</v>
      </c>
      <c r="D630" s="1" t="s">
        <v>2614</v>
      </c>
      <c r="E630">
        <f t="shared" si="10"/>
        <v>1</v>
      </c>
    </row>
    <row r="631" spans="1:5" ht="29" hidden="1" x14ac:dyDescent="0.35">
      <c r="A631" s="1" t="s">
        <v>543</v>
      </c>
      <c r="B631" s="1" t="s">
        <v>678</v>
      </c>
      <c r="C631" s="1" t="s">
        <v>1768</v>
      </c>
      <c r="D631" s="1" t="s">
        <v>2614</v>
      </c>
      <c r="E631">
        <f t="shared" si="10"/>
        <v>1</v>
      </c>
    </row>
    <row r="632" spans="1:5" hidden="1" x14ac:dyDescent="0.35">
      <c r="A632" s="1" t="s">
        <v>543</v>
      </c>
      <c r="B632" s="1" t="s">
        <v>701</v>
      </c>
      <c r="C632" s="1" t="s">
        <v>1769</v>
      </c>
      <c r="D632" s="1" t="s">
        <v>2614</v>
      </c>
      <c r="E632">
        <f t="shared" si="10"/>
        <v>1</v>
      </c>
    </row>
    <row r="633" spans="1:5" hidden="1" x14ac:dyDescent="0.35">
      <c r="A633" s="1" t="s">
        <v>543</v>
      </c>
      <c r="B633" s="1" t="s">
        <v>629</v>
      </c>
      <c r="C633" s="1" t="s">
        <v>1770</v>
      </c>
      <c r="D633" s="1" t="s">
        <v>2615</v>
      </c>
      <c r="E633">
        <f t="shared" si="10"/>
        <v>1</v>
      </c>
    </row>
    <row r="634" spans="1:5" hidden="1" x14ac:dyDescent="0.35">
      <c r="A634" s="1" t="s">
        <v>543</v>
      </c>
      <c r="B634" s="1" t="s">
        <v>340</v>
      </c>
      <c r="C634" s="1" t="s">
        <v>1771</v>
      </c>
      <c r="D634" s="1" t="s">
        <v>2615</v>
      </c>
      <c r="E634">
        <f t="shared" si="10"/>
        <v>1</v>
      </c>
    </row>
    <row r="635" spans="1:5" hidden="1" x14ac:dyDescent="0.35">
      <c r="A635" s="1" t="s">
        <v>543</v>
      </c>
      <c r="B635" s="1" t="s">
        <v>335</v>
      </c>
      <c r="C635" s="1" t="s">
        <v>1690</v>
      </c>
      <c r="D635" s="1" t="s">
        <v>2615</v>
      </c>
      <c r="E635">
        <f t="shared" si="10"/>
        <v>1</v>
      </c>
    </row>
    <row r="636" spans="1:5" hidden="1" x14ac:dyDescent="0.35">
      <c r="A636" s="1" t="s">
        <v>543</v>
      </c>
      <c r="B636" s="1" t="s">
        <v>624</v>
      </c>
      <c r="C636" s="1" t="s">
        <v>1774</v>
      </c>
      <c r="D636" s="1" t="s">
        <v>2614</v>
      </c>
      <c r="E636">
        <f t="shared" si="10"/>
        <v>1</v>
      </c>
    </row>
    <row r="637" spans="1:5" hidden="1" x14ac:dyDescent="0.35">
      <c r="A637" s="1" t="s">
        <v>543</v>
      </c>
      <c r="B637" s="1" t="s">
        <v>155</v>
      </c>
      <c r="C637" s="1" t="s">
        <v>2662</v>
      </c>
      <c r="D637" s="1" t="s">
        <v>2615</v>
      </c>
      <c r="E637">
        <f t="shared" si="10"/>
        <v>1</v>
      </c>
    </row>
    <row r="638" spans="1:5" hidden="1" x14ac:dyDescent="0.35">
      <c r="A638" s="1" t="s">
        <v>543</v>
      </c>
      <c r="B638" s="1" t="s">
        <v>607</v>
      </c>
      <c r="C638" s="1" t="s">
        <v>2573</v>
      </c>
      <c r="D638" s="1" t="s">
        <v>2615</v>
      </c>
      <c r="E638">
        <f t="shared" si="10"/>
        <v>1</v>
      </c>
    </row>
    <row r="639" spans="1:5" hidden="1" x14ac:dyDescent="0.35">
      <c r="A639" s="1" t="s">
        <v>543</v>
      </c>
      <c r="B639" s="1" t="s">
        <v>669</v>
      </c>
      <c r="C639" s="1" t="s">
        <v>2725</v>
      </c>
      <c r="D639" s="1" t="s">
        <v>2615</v>
      </c>
      <c r="E639">
        <f t="shared" si="10"/>
        <v>1</v>
      </c>
    </row>
    <row r="640" spans="1:5" hidden="1" x14ac:dyDescent="0.35">
      <c r="A640" s="1" t="s">
        <v>543</v>
      </c>
      <c r="B640" s="1" t="s">
        <v>633</v>
      </c>
      <c r="C640" s="1" t="s">
        <v>2663</v>
      </c>
      <c r="D640" s="1" t="s">
        <v>2615</v>
      </c>
      <c r="E640">
        <f t="shared" si="10"/>
        <v>1</v>
      </c>
    </row>
    <row r="641" spans="1:5" hidden="1" x14ac:dyDescent="0.35">
      <c r="A641" s="1" t="s">
        <v>543</v>
      </c>
      <c r="B641" s="1" t="s">
        <v>732</v>
      </c>
      <c r="C641" s="1" t="s">
        <v>2572</v>
      </c>
      <c r="D641" s="1" t="s">
        <v>2615</v>
      </c>
      <c r="E641">
        <f t="shared" si="10"/>
        <v>1</v>
      </c>
    </row>
    <row r="642" spans="1:5" hidden="1" x14ac:dyDescent="0.35">
      <c r="A642" s="1" t="s">
        <v>776</v>
      </c>
      <c r="B642" s="1" t="s">
        <v>238</v>
      </c>
      <c r="C642" s="1" t="s">
        <v>1465</v>
      </c>
      <c r="D642" s="1" t="s">
        <v>2615</v>
      </c>
      <c r="E642">
        <f t="shared" si="10"/>
        <v>1</v>
      </c>
    </row>
    <row r="643" spans="1:5" hidden="1" x14ac:dyDescent="0.35">
      <c r="A643" s="1" t="s">
        <v>543</v>
      </c>
      <c r="B643" s="1" t="s">
        <v>1601</v>
      </c>
      <c r="C643" s="1" t="s">
        <v>2664</v>
      </c>
      <c r="D643" s="1" t="s">
        <v>2615</v>
      </c>
      <c r="E643">
        <f t="shared" si="10"/>
        <v>1</v>
      </c>
    </row>
    <row r="644" spans="1:5" hidden="1" x14ac:dyDescent="0.35">
      <c r="A644" s="1" t="s">
        <v>543</v>
      </c>
      <c r="B644" s="1" t="s">
        <v>195</v>
      </c>
      <c r="C644" s="1" t="s">
        <v>2665</v>
      </c>
      <c r="D644" s="1" t="s">
        <v>2615</v>
      </c>
      <c r="E644">
        <f t="shared" si="10"/>
        <v>1</v>
      </c>
    </row>
    <row r="645" spans="1:5" ht="29" hidden="1" x14ac:dyDescent="0.35">
      <c r="A645" s="1" t="s">
        <v>543</v>
      </c>
      <c r="B645" s="1" t="s">
        <v>661</v>
      </c>
      <c r="C645" s="1" t="s">
        <v>1783</v>
      </c>
      <c r="D645" s="1" t="s">
        <v>2614</v>
      </c>
      <c r="E645">
        <f t="shared" si="10"/>
        <v>1</v>
      </c>
    </row>
    <row r="646" spans="1:5" ht="43.5" hidden="1" x14ac:dyDescent="0.35">
      <c r="A646" s="1" t="s">
        <v>543</v>
      </c>
      <c r="B646" s="1" t="s">
        <v>662</v>
      </c>
      <c r="C646" s="1" t="s">
        <v>1784</v>
      </c>
      <c r="D646" s="1" t="s">
        <v>2614</v>
      </c>
      <c r="E646">
        <f t="shared" si="10"/>
        <v>1</v>
      </c>
    </row>
    <row r="647" spans="1:5" ht="29" hidden="1" x14ac:dyDescent="0.35">
      <c r="A647" s="1" t="s">
        <v>543</v>
      </c>
      <c r="B647" s="1" t="s">
        <v>663</v>
      </c>
      <c r="C647" s="1" t="s">
        <v>1785</v>
      </c>
      <c r="D647" s="1" t="s">
        <v>2614</v>
      </c>
      <c r="E647">
        <f t="shared" si="10"/>
        <v>1</v>
      </c>
    </row>
    <row r="648" spans="1:5" hidden="1" x14ac:dyDescent="0.35">
      <c r="A648" s="1" t="s">
        <v>543</v>
      </c>
      <c r="B648" s="1" t="s">
        <v>647</v>
      </c>
      <c r="C648" s="1" t="s">
        <v>1786</v>
      </c>
      <c r="D648" s="1" t="s">
        <v>2614</v>
      </c>
      <c r="E648">
        <f t="shared" si="10"/>
        <v>1</v>
      </c>
    </row>
    <row r="649" spans="1:5" hidden="1" x14ac:dyDescent="0.35">
      <c r="A649" s="1" t="s">
        <v>543</v>
      </c>
      <c r="B649" s="1" t="s">
        <v>645</v>
      </c>
      <c r="C649" s="1" t="s">
        <v>1787</v>
      </c>
      <c r="D649" s="1" t="s">
        <v>2614</v>
      </c>
      <c r="E649">
        <f t="shared" si="10"/>
        <v>1</v>
      </c>
    </row>
    <row r="650" spans="1:5" ht="29" hidden="1" x14ac:dyDescent="0.35">
      <c r="A650" s="1" t="s">
        <v>543</v>
      </c>
      <c r="B650" s="1" t="s">
        <v>646</v>
      </c>
      <c r="C650" s="1" t="s">
        <v>1788</v>
      </c>
      <c r="D650" s="1" t="s">
        <v>2614</v>
      </c>
      <c r="E650">
        <f t="shared" ref="E650:E713" si="11">COUNTIF(C:C,C650)</f>
        <v>1</v>
      </c>
    </row>
    <row r="651" spans="1:5" hidden="1" x14ac:dyDescent="0.35">
      <c r="A651" s="1" t="s">
        <v>543</v>
      </c>
      <c r="B651" s="1" t="s">
        <v>733</v>
      </c>
      <c r="C651" s="1" t="s">
        <v>1789</v>
      </c>
      <c r="D651" s="1" t="s">
        <v>2615</v>
      </c>
      <c r="E651">
        <f t="shared" si="11"/>
        <v>1</v>
      </c>
    </row>
    <row r="652" spans="1:5" hidden="1" x14ac:dyDescent="0.35">
      <c r="A652" s="1" t="s">
        <v>543</v>
      </c>
      <c r="B652" s="1" t="s">
        <v>753</v>
      </c>
      <c r="C652" s="1" t="s">
        <v>1790</v>
      </c>
      <c r="D652" s="1" t="s">
        <v>2615</v>
      </c>
      <c r="E652">
        <f t="shared" si="11"/>
        <v>1</v>
      </c>
    </row>
    <row r="653" spans="1:5" hidden="1" x14ac:dyDescent="0.35">
      <c r="A653" s="1" t="s">
        <v>543</v>
      </c>
      <c r="B653" s="1" t="s">
        <v>735</v>
      </c>
      <c r="C653" s="1" t="s">
        <v>2571</v>
      </c>
      <c r="D653" s="1" t="s">
        <v>2615</v>
      </c>
      <c r="E653">
        <f t="shared" si="11"/>
        <v>1</v>
      </c>
    </row>
    <row r="654" spans="1:5" hidden="1" x14ac:dyDescent="0.35">
      <c r="A654" s="1" t="s">
        <v>543</v>
      </c>
      <c r="B654" s="1" t="s">
        <v>670</v>
      </c>
      <c r="C654" s="1" t="s">
        <v>1792</v>
      </c>
      <c r="D654" s="1" t="s">
        <v>2614</v>
      </c>
      <c r="E654">
        <f t="shared" si="11"/>
        <v>1</v>
      </c>
    </row>
    <row r="655" spans="1:5" hidden="1" x14ac:dyDescent="0.35">
      <c r="A655" s="1" t="s">
        <v>543</v>
      </c>
      <c r="B655" s="1" t="s">
        <v>775</v>
      </c>
      <c r="C655" s="1" t="s">
        <v>1794</v>
      </c>
      <c r="D655" s="1" t="s">
        <v>2614</v>
      </c>
      <c r="E655">
        <f t="shared" si="11"/>
        <v>1</v>
      </c>
    </row>
    <row r="656" spans="1:5" hidden="1" x14ac:dyDescent="0.35">
      <c r="A656" s="1" t="s">
        <v>543</v>
      </c>
      <c r="B656" s="1" t="s">
        <v>774</v>
      </c>
      <c r="C656" s="1" t="s">
        <v>1795</v>
      </c>
      <c r="D656" s="1" t="s">
        <v>2614</v>
      </c>
      <c r="E656">
        <f t="shared" si="11"/>
        <v>1</v>
      </c>
    </row>
    <row r="657" spans="1:5" hidden="1" x14ac:dyDescent="0.35">
      <c r="A657" s="1" t="s">
        <v>543</v>
      </c>
      <c r="B657" s="1" t="s">
        <v>764</v>
      </c>
      <c r="C657" s="1" t="s">
        <v>1796</v>
      </c>
      <c r="D657" s="1" t="s">
        <v>2614</v>
      </c>
      <c r="E657">
        <f t="shared" si="11"/>
        <v>1</v>
      </c>
    </row>
    <row r="658" spans="1:5" hidden="1" x14ac:dyDescent="0.35">
      <c r="A658" s="1" t="s">
        <v>543</v>
      </c>
      <c r="B658" s="1" t="s">
        <v>639</v>
      </c>
      <c r="C658" s="1" t="s">
        <v>1797</v>
      </c>
      <c r="D658" s="1" t="s">
        <v>2614</v>
      </c>
      <c r="E658">
        <f t="shared" si="11"/>
        <v>1</v>
      </c>
    </row>
    <row r="659" spans="1:5" ht="29" hidden="1" x14ac:dyDescent="0.35">
      <c r="A659" s="1" t="s">
        <v>543</v>
      </c>
      <c r="B659" s="1" t="s">
        <v>698</v>
      </c>
      <c r="C659" s="1" t="s">
        <v>1798</v>
      </c>
      <c r="D659" s="1" t="s">
        <v>2614</v>
      </c>
      <c r="E659">
        <f t="shared" si="11"/>
        <v>1</v>
      </c>
    </row>
    <row r="660" spans="1:5" hidden="1" x14ac:dyDescent="0.35">
      <c r="A660" s="1" t="s">
        <v>543</v>
      </c>
      <c r="B660" s="1" t="s">
        <v>631</v>
      </c>
      <c r="C660" s="1" t="s">
        <v>2666</v>
      </c>
      <c r="D660" s="1" t="s">
        <v>2615</v>
      </c>
      <c r="E660">
        <f t="shared" si="11"/>
        <v>1</v>
      </c>
    </row>
    <row r="661" spans="1:5" hidden="1" x14ac:dyDescent="0.35">
      <c r="A661" s="1" t="s">
        <v>2236</v>
      </c>
      <c r="B661" s="1" t="s">
        <v>1145</v>
      </c>
      <c r="C661" s="1" t="s">
        <v>2221</v>
      </c>
      <c r="D661" s="1" t="s">
        <v>2615</v>
      </c>
      <c r="E661">
        <f t="shared" si="11"/>
        <v>1</v>
      </c>
    </row>
    <row r="662" spans="1:5" hidden="1" x14ac:dyDescent="0.35">
      <c r="A662" s="1" t="s">
        <v>2236</v>
      </c>
      <c r="B662" s="1" t="s">
        <v>1035</v>
      </c>
      <c r="C662" s="1" t="s">
        <v>2230</v>
      </c>
      <c r="D662" s="1" t="s">
        <v>2614</v>
      </c>
      <c r="E662">
        <f t="shared" si="11"/>
        <v>1</v>
      </c>
    </row>
    <row r="663" spans="1:5" hidden="1" x14ac:dyDescent="0.35">
      <c r="A663" s="1" t="s">
        <v>2236</v>
      </c>
      <c r="B663" s="1" t="s">
        <v>2231</v>
      </c>
      <c r="C663" s="1" t="s">
        <v>2667</v>
      </c>
      <c r="D663" s="1" t="s">
        <v>2615</v>
      </c>
      <c r="E663">
        <f t="shared" si="11"/>
        <v>1</v>
      </c>
    </row>
    <row r="664" spans="1:5" hidden="1" x14ac:dyDescent="0.35">
      <c r="A664" s="1" t="s">
        <v>2236</v>
      </c>
      <c r="B664" s="1" t="s">
        <v>1090</v>
      </c>
      <c r="C664" s="1" t="s">
        <v>2668</v>
      </c>
      <c r="D664" s="1" t="s">
        <v>2615</v>
      </c>
      <c r="E664">
        <f t="shared" si="11"/>
        <v>1</v>
      </c>
    </row>
    <row r="665" spans="1:5" hidden="1" x14ac:dyDescent="0.35">
      <c r="A665" s="1" t="s">
        <v>2236</v>
      </c>
      <c r="B665" s="1" t="s">
        <v>1147</v>
      </c>
      <c r="C665" s="1" t="s">
        <v>2222</v>
      </c>
      <c r="D665" s="1" t="s">
        <v>2615</v>
      </c>
      <c r="E665">
        <f t="shared" si="11"/>
        <v>1</v>
      </c>
    </row>
    <row r="666" spans="1:5" hidden="1" x14ac:dyDescent="0.35">
      <c r="A666" s="1" t="s">
        <v>2236</v>
      </c>
      <c r="B666" s="1" t="s">
        <v>1146</v>
      </c>
      <c r="C666" s="1" t="s">
        <v>2223</v>
      </c>
      <c r="D666" s="1" t="s">
        <v>2615</v>
      </c>
      <c r="E666">
        <f t="shared" si="11"/>
        <v>1</v>
      </c>
    </row>
    <row r="667" spans="1:5" ht="29" hidden="1" x14ac:dyDescent="0.35">
      <c r="A667" s="1" t="s">
        <v>2236</v>
      </c>
      <c r="B667" s="1" t="s">
        <v>1094</v>
      </c>
      <c r="C667" s="1" t="s">
        <v>2171</v>
      </c>
      <c r="D667" s="1" t="s">
        <v>2614</v>
      </c>
      <c r="E667">
        <f t="shared" si="11"/>
        <v>1</v>
      </c>
    </row>
    <row r="668" spans="1:5" ht="29" hidden="1" x14ac:dyDescent="0.35">
      <c r="A668" s="1" t="s">
        <v>2236</v>
      </c>
      <c r="B668" s="1" t="s">
        <v>1096</v>
      </c>
      <c r="C668" s="1" t="s">
        <v>2172</v>
      </c>
      <c r="D668" s="1" t="s">
        <v>2614</v>
      </c>
      <c r="E668">
        <f t="shared" si="11"/>
        <v>1</v>
      </c>
    </row>
    <row r="669" spans="1:5" ht="29" hidden="1" x14ac:dyDescent="0.35">
      <c r="A669" s="1" t="s">
        <v>2236</v>
      </c>
      <c r="B669" s="1" t="s">
        <v>1095</v>
      </c>
      <c r="C669" s="1" t="s">
        <v>2173</v>
      </c>
      <c r="D669" s="1" t="s">
        <v>2614</v>
      </c>
      <c r="E669">
        <f t="shared" si="11"/>
        <v>1</v>
      </c>
    </row>
    <row r="670" spans="1:5" ht="29" hidden="1" x14ac:dyDescent="0.35">
      <c r="A670" s="1" t="s">
        <v>2236</v>
      </c>
      <c r="B670" s="1" t="s">
        <v>1097</v>
      </c>
      <c r="C670" s="1" t="s">
        <v>2174</v>
      </c>
      <c r="D670" s="1" t="s">
        <v>2614</v>
      </c>
      <c r="E670">
        <f t="shared" si="11"/>
        <v>1</v>
      </c>
    </row>
    <row r="671" spans="1:5" ht="29" hidden="1" x14ac:dyDescent="0.35">
      <c r="A671" s="1" t="s">
        <v>2236</v>
      </c>
      <c r="B671" s="1" t="s">
        <v>1093</v>
      </c>
      <c r="C671" s="1" t="s">
        <v>2170</v>
      </c>
      <c r="D671" s="1" t="s">
        <v>2614</v>
      </c>
      <c r="E671">
        <f t="shared" si="11"/>
        <v>1</v>
      </c>
    </row>
    <row r="672" spans="1:5" ht="29" hidden="1" x14ac:dyDescent="0.35">
      <c r="A672" s="1" t="s">
        <v>2236</v>
      </c>
      <c r="B672" s="1" t="s">
        <v>1110</v>
      </c>
      <c r="C672" s="1" t="s">
        <v>2187</v>
      </c>
      <c r="D672" s="1" t="s">
        <v>2614</v>
      </c>
      <c r="E672">
        <f t="shared" si="11"/>
        <v>1</v>
      </c>
    </row>
    <row r="673" spans="1:5" ht="29" hidden="1" x14ac:dyDescent="0.35">
      <c r="A673" s="1" t="s">
        <v>2236</v>
      </c>
      <c r="B673" s="1" t="s">
        <v>1105</v>
      </c>
      <c r="C673" s="1" t="s">
        <v>2182</v>
      </c>
      <c r="D673" s="43" t="s">
        <v>2614</v>
      </c>
      <c r="E673">
        <f t="shared" si="11"/>
        <v>1</v>
      </c>
    </row>
    <row r="674" spans="1:5" hidden="1" x14ac:dyDescent="0.35">
      <c r="A674" s="1" t="s">
        <v>2236</v>
      </c>
      <c r="B674" s="1" t="s">
        <v>1099</v>
      </c>
      <c r="C674" s="1" t="s">
        <v>2176</v>
      </c>
      <c r="D674" s="1" t="s">
        <v>2614</v>
      </c>
      <c r="E674">
        <f t="shared" si="11"/>
        <v>1</v>
      </c>
    </row>
    <row r="675" spans="1:5" ht="29" hidden="1" x14ac:dyDescent="0.35">
      <c r="A675" s="1" t="s">
        <v>2236</v>
      </c>
      <c r="B675" s="1" t="s">
        <v>1116</v>
      </c>
      <c r="C675" s="1" t="s">
        <v>2193</v>
      </c>
      <c r="D675" s="1" t="s">
        <v>2614</v>
      </c>
      <c r="E675">
        <f t="shared" si="11"/>
        <v>1</v>
      </c>
    </row>
    <row r="676" spans="1:5" hidden="1" x14ac:dyDescent="0.35">
      <c r="A676" s="1" t="s">
        <v>2236</v>
      </c>
      <c r="B676" s="1" t="s">
        <v>1127</v>
      </c>
      <c r="C676" s="1" t="s">
        <v>2465</v>
      </c>
      <c r="D676" s="1" t="s">
        <v>2615</v>
      </c>
      <c r="E676">
        <f t="shared" si="11"/>
        <v>1</v>
      </c>
    </row>
    <row r="677" spans="1:5" hidden="1" x14ac:dyDescent="0.35">
      <c r="A677" s="1" t="s">
        <v>2236</v>
      </c>
      <c r="B677" s="1" t="s">
        <v>1150</v>
      </c>
      <c r="C677" s="1" t="s">
        <v>2224</v>
      </c>
      <c r="D677" s="43" t="s">
        <v>2614</v>
      </c>
      <c r="E677">
        <f t="shared" si="11"/>
        <v>1</v>
      </c>
    </row>
    <row r="678" spans="1:5" ht="43.5" hidden="1" x14ac:dyDescent="0.35">
      <c r="A678" s="1" t="s">
        <v>2236</v>
      </c>
      <c r="B678" s="1" t="s">
        <v>1141</v>
      </c>
      <c r="C678" s="1" t="s">
        <v>2688</v>
      </c>
      <c r="D678" s="43" t="s">
        <v>2614</v>
      </c>
      <c r="E678">
        <f t="shared" si="11"/>
        <v>1</v>
      </c>
    </row>
    <row r="679" spans="1:5" ht="43.5" hidden="1" x14ac:dyDescent="0.35">
      <c r="A679" s="1" t="s">
        <v>2236</v>
      </c>
      <c r="B679" s="1" t="s">
        <v>1140</v>
      </c>
      <c r="C679" s="1" t="s">
        <v>2689</v>
      </c>
      <c r="D679" s="43" t="s">
        <v>2614</v>
      </c>
      <c r="E679">
        <f t="shared" si="11"/>
        <v>1</v>
      </c>
    </row>
    <row r="680" spans="1:5" ht="43.5" hidden="1" x14ac:dyDescent="0.35">
      <c r="A680" s="1" t="s">
        <v>2236</v>
      </c>
      <c r="B680" s="1" t="s">
        <v>1139</v>
      </c>
      <c r="C680" s="1" t="s">
        <v>2690</v>
      </c>
      <c r="D680" s="43" t="s">
        <v>2614</v>
      </c>
      <c r="E680">
        <f t="shared" si="11"/>
        <v>1</v>
      </c>
    </row>
    <row r="681" spans="1:5" ht="43.5" hidden="1" x14ac:dyDescent="0.35">
      <c r="A681" s="1" t="s">
        <v>2236</v>
      </c>
      <c r="B681" s="1" t="s">
        <v>1144</v>
      </c>
      <c r="C681" s="1" t="s">
        <v>2691</v>
      </c>
      <c r="D681" s="43" t="s">
        <v>2614</v>
      </c>
      <c r="E681">
        <f t="shared" si="11"/>
        <v>1</v>
      </c>
    </row>
    <row r="682" spans="1:5" ht="43.5" hidden="1" x14ac:dyDescent="0.35">
      <c r="A682" s="1" t="s">
        <v>2236</v>
      </c>
      <c r="B682" s="1" t="s">
        <v>1143</v>
      </c>
      <c r="C682" s="1" t="s">
        <v>2692</v>
      </c>
      <c r="D682" s="43" t="s">
        <v>2614</v>
      </c>
      <c r="E682">
        <f t="shared" si="11"/>
        <v>1</v>
      </c>
    </row>
    <row r="683" spans="1:5" ht="43.5" hidden="1" x14ac:dyDescent="0.35">
      <c r="A683" s="1" t="s">
        <v>2236</v>
      </c>
      <c r="B683" s="1" t="s">
        <v>1142</v>
      </c>
      <c r="C683" s="1" t="s">
        <v>2693</v>
      </c>
      <c r="D683" s="43" t="s">
        <v>2614</v>
      </c>
      <c r="E683">
        <f t="shared" si="11"/>
        <v>1</v>
      </c>
    </row>
    <row r="684" spans="1:5" ht="43.5" hidden="1" x14ac:dyDescent="0.35">
      <c r="A684" s="1" t="s">
        <v>2236</v>
      </c>
      <c r="B684" s="1" t="s">
        <v>1137</v>
      </c>
      <c r="C684" s="1" t="s">
        <v>2570</v>
      </c>
      <c r="D684" s="43" t="s">
        <v>2614</v>
      </c>
      <c r="E684">
        <f t="shared" si="11"/>
        <v>1</v>
      </c>
    </row>
    <row r="685" spans="1:5" hidden="1" x14ac:dyDescent="0.35">
      <c r="A685" s="1" t="s">
        <v>2236</v>
      </c>
      <c r="B685" s="1" t="s">
        <v>1131</v>
      </c>
      <c r="C685" s="1" t="s">
        <v>2208</v>
      </c>
      <c r="D685" s="1" t="s">
        <v>2614</v>
      </c>
      <c r="E685">
        <f t="shared" si="11"/>
        <v>1</v>
      </c>
    </row>
    <row r="686" spans="1:5" ht="43.5" hidden="1" x14ac:dyDescent="0.35">
      <c r="A686" s="1" t="s">
        <v>2236</v>
      </c>
      <c r="B686" s="1" t="s">
        <v>1126</v>
      </c>
      <c r="C686" s="1" t="s">
        <v>2569</v>
      </c>
      <c r="D686" s="1" t="s">
        <v>2614</v>
      </c>
      <c r="E686">
        <f t="shared" si="11"/>
        <v>1</v>
      </c>
    </row>
    <row r="687" spans="1:5" hidden="1" x14ac:dyDescent="0.35">
      <c r="A687" s="1" t="s">
        <v>2236</v>
      </c>
      <c r="B687" s="1" t="s">
        <v>1092</v>
      </c>
      <c r="C687" s="1" t="s">
        <v>2227</v>
      </c>
      <c r="D687" s="1" t="s">
        <v>2614</v>
      </c>
      <c r="E687">
        <f t="shared" si="11"/>
        <v>1</v>
      </c>
    </row>
    <row r="688" spans="1:5" hidden="1" x14ac:dyDescent="0.35">
      <c r="A688" s="1" t="s">
        <v>2236</v>
      </c>
      <c r="B688" s="1" t="s">
        <v>1031</v>
      </c>
      <c r="C688" s="1" t="s">
        <v>2669</v>
      </c>
      <c r="D688" s="1" t="s">
        <v>2615</v>
      </c>
      <c r="E688">
        <f t="shared" si="11"/>
        <v>1</v>
      </c>
    </row>
    <row r="689" spans="1:5" ht="29" hidden="1" x14ac:dyDescent="0.35">
      <c r="A689" s="1" t="s">
        <v>2236</v>
      </c>
      <c r="B689" s="1" t="s">
        <v>1089</v>
      </c>
      <c r="C689" s="1" t="s">
        <v>2670</v>
      </c>
      <c r="D689" s="1" t="s">
        <v>2615</v>
      </c>
      <c r="E689">
        <f t="shared" si="11"/>
        <v>1</v>
      </c>
    </row>
    <row r="690" spans="1:5" ht="29" hidden="1" x14ac:dyDescent="0.35">
      <c r="A690" s="1" t="s">
        <v>2236</v>
      </c>
      <c r="B690" s="1" t="s">
        <v>1112</v>
      </c>
      <c r="C690" s="1" t="s">
        <v>2189</v>
      </c>
      <c r="D690" s="1" t="s">
        <v>2614</v>
      </c>
      <c r="E690">
        <f t="shared" si="11"/>
        <v>1</v>
      </c>
    </row>
    <row r="691" spans="1:5" ht="29" hidden="1" x14ac:dyDescent="0.35">
      <c r="A691" s="1" t="s">
        <v>2236</v>
      </c>
      <c r="B691" s="1" t="s">
        <v>1107</v>
      </c>
      <c r="C691" s="1" t="s">
        <v>2184</v>
      </c>
      <c r="D691" s="43" t="s">
        <v>2614</v>
      </c>
      <c r="E691">
        <f t="shared" si="11"/>
        <v>1</v>
      </c>
    </row>
    <row r="692" spans="1:5" ht="29" hidden="1" x14ac:dyDescent="0.35">
      <c r="A692" s="1" t="s">
        <v>2236</v>
      </c>
      <c r="B692" s="1" t="s">
        <v>1101</v>
      </c>
      <c r="C692" s="1" t="s">
        <v>2178</v>
      </c>
      <c r="D692" s="1" t="s">
        <v>2614</v>
      </c>
      <c r="E692">
        <f t="shared" si="11"/>
        <v>1</v>
      </c>
    </row>
    <row r="693" spans="1:5" ht="29" hidden="1" x14ac:dyDescent="0.35">
      <c r="A693" s="1" t="s">
        <v>2236</v>
      </c>
      <c r="B693" s="1" t="s">
        <v>1125</v>
      </c>
      <c r="C693" s="1" t="s">
        <v>2671</v>
      </c>
      <c r="D693" s="1" t="s">
        <v>2614</v>
      </c>
      <c r="E693">
        <f t="shared" si="11"/>
        <v>1</v>
      </c>
    </row>
    <row r="694" spans="1:5" ht="29" hidden="1" x14ac:dyDescent="0.35">
      <c r="A694" s="1" t="s">
        <v>2236</v>
      </c>
      <c r="B694" s="1" t="s">
        <v>1124</v>
      </c>
      <c r="C694" s="1" t="s">
        <v>2672</v>
      </c>
      <c r="D694" s="1" t="s">
        <v>2614</v>
      </c>
      <c r="E694">
        <f t="shared" si="11"/>
        <v>1</v>
      </c>
    </row>
    <row r="695" spans="1:5" ht="29" hidden="1" x14ac:dyDescent="0.35">
      <c r="A695" s="1" t="s">
        <v>2236</v>
      </c>
      <c r="B695" s="1" t="s">
        <v>1123</v>
      </c>
      <c r="C695" s="1" t="s">
        <v>2673</v>
      </c>
      <c r="D695" s="1" t="s">
        <v>2614</v>
      </c>
      <c r="E695">
        <f t="shared" si="11"/>
        <v>1</v>
      </c>
    </row>
    <row r="696" spans="1:5" ht="29" hidden="1" x14ac:dyDescent="0.35">
      <c r="A696" s="1" t="s">
        <v>2236</v>
      </c>
      <c r="B696" s="1" t="s">
        <v>1122</v>
      </c>
      <c r="C696" s="1" t="s">
        <v>2674</v>
      </c>
      <c r="D696" s="1" t="s">
        <v>2614</v>
      </c>
      <c r="E696">
        <f t="shared" si="11"/>
        <v>1</v>
      </c>
    </row>
    <row r="697" spans="1:5" ht="29" hidden="1" x14ac:dyDescent="0.35">
      <c r="A697" s="1" t="s">
        <v>2236</v>
      </c>
      <c r="B697" s="1" t="s">
        <v>1111</v>
      </c>
      <c r="C697" s="1" t="s">
        <v>2188</v>
      </c>
      <c r="D697" s="1" t="s">
        <v>2614</v>
      </c>
      <c r="E697">
        <f t="shared" si="11"/>
        <v>1</v>
      </c>
    </row>
    <row r="698" spans="1:5" ht="29" hidden="1" x14ac:dyDescent="0.35">
      <c r="A698" s="1" t="s">
        <v>2236</v>
      </c>
      <c r="B698" s="1" t="s">
        <v>1106</v>
      </c>
      <c r="C698" s="1" t="s">
        <v>2183</v>
      </c>
      <c r="D698" s="43" t="s">
        <v>2614</v>
      </c>
      <c r="E698">
        <f t="shared" si="11"/>
        <v>1</v>
      </c>
    </row>
    <row r="699" spans="1:5" hidden="1" x14ac:dyDescent="0.35">
      <c r="A699" s="1" t="s">
        <v>2236</v>
      </c>
      <c r="B699" s="1" t="s">
        <v>1100</v>
      </c>
      <c r="C699" s="1" t="s">
        <v>2177</v>
      </c>
      <c r="D699" s="1" t="s">
        <v>2614</v>
      </c>
      <c r="E699">
        <f t="shared" si="11"/>
        <v>1</v>
      </c>
    </row>
    <row r="700" spans="1:5" hidden="1" x14ac:dyDescent="0.35">
      <c r="A700" s="1" t="s">
        <v>2236</v>
      </c>
      <c r="B700" s="1" t="s">
        <v>1119</v>
      </c>
      <c r="C700" s="1" t="s">
        <v>2196</v>
      </c>
      <c r="D700" s="1" t="s">
        <v>2614</v>
      </c>
      <c r="E700">
        <f t="shared" si="11"/>
        <v>1</v>
      </c>
    </row>
    <row r="701" spans="1:5" hidden="1" x14ac:dyDescent="0.35">
      <c r="A701" s="1" t="s">
        <v>2236</v>
      </c>
      <c r="B701" s="1" t="s">
        <v>1120</v>
      </c>
      <c r="C701" s="1" t="s">
        <v>2197</v>
      </c>
      <c r="D701" s="1" t="s">
        <v>2614</v>
      </c>
      <c r="E701">
        <f t="shared" si="11"/>
        <v>1</v>
      </c>
    </row>
    <row r="702" spans="1:5" hidden="1" x14ac:dyDescent="0.35">
      <c r="A702" s="1" t="s">
        <v>2236</v>
      </c>
      <c r="B702" s="1" t="s">
        <v>1121</v>
      </c>
      <c r="C702" s="1" t="s">
        <v>2474</v>
      </c>
      <c r="D702" s="1" t="s">
        <v>2614</v>
      </c>
      <c r="E702">
        <f t="shared" si="11"/>
        <v>1</v>
      </c>
    </row>
    <row r="703" spans="1:5" hidden="1" x14ac:dyDescent="0.35">
      <c r="A703" s="1" t="s">
        <v>2236</v>
      </c>
      <c r="B703" s="1" t="s">
        <v>1138</v>
      </c>
      <c r="C703" s="1" t="s">
        <v>2220</v>
      </c>
      <c r="D703" s="1" t="s">
        <v>2614</v>
      </c>
      <c r="E703">
        <f t="shared" si="11"/>
        <v>1</v>
      </c>
    </row>
    <row r="704" spans="1:5" hidden="1" x14ac:dyDescent="0.35">
      <c r="A704" s="1" t="s">
        <v>2236</v>
      </c>
      <c r="B704" s="1" t="s">
        <v>1135</v>
      </c>
      <c r="C704" s="1" t="s">
        <v>2210</v>
      </c>
      <c r="D704" s="1" t="s">
        <v>2614</v>
      </c>
      <c r="E704">
        <f t="shared" si="11"/>
        <v>1</v>
      </c>
    </row>
    <row r="705" spans="1:5" hidden="1" x14ac:dyDescent="0.35">
      <c r="A705" s="1" t="s">
        <v>2236</v>
      </c>
      <c r="B705" s="1" t="s">
        <v>1148</v>
      </c>
      <c r="C705" s="1" t="s">
        <v>2225</v>
      </c>
      <c r="D705" s="1" t="s">
        <v>2614</v>
      </c>
      <c r="E705">
        <f t="shared" si="11"/>
        <v>1</v>
      </c>
    </row>
    <row r="706" spans="1:5" hidden="1" x14ac:dyDescent="0.35">
      <c r="A706" s="1" t="s">
        <v>2236</v>
      </c>
      <c r="B706" s="1" t="s">
        <v>1149</v>
      </c>
      <c r="C706" s="1" t="s">
        <v>2226</v>
      </c>
      <c r="D706" s="1" t="s">
        <v>2614</v>
      </c>
      <c r="E706">
        <f t="shared" si="11"/>
        <v>1</v>
      </c>
    </row>
    <row r="707" spans="1:5" hidden="1" x14ac:dyDescent="0.35">
      <c r="A707" s="1" t="s">
        <v>2236</v>
      </c>
      <c r="B707" s="1" t="s">
        <v>1130</v>
      </c>
      <c r="C707" s="1" t="s">
        <v>2207</v>
      </c>
      <c r="D707" s="1" t="s">
        <v>2614</v>
      </c>
      <c r="E707">
        <f t="shared" si="11"/>
        <v>1</v>
      </c>
    </row>
    <row r="708" spans="1:5" hidden="1" x14ac:dyDescent="0.35">
      <c r="A708" s="1" t="s">
        <v>2236</v>
      </c>
      <c r="B708" s="1" t="s">
        <v>1133</v>
      </c>
      <c r="C708" s="1" t="s">
        <v>2296</v>
      </c>
      <c r="D708" s="1" t="s">
        <v>2614</v>
      </c>
      <c r="E708">
        <f t="shared" si="11"/>
        <v>1</v>
      </c>
    </row>
    <row r="709" spans="1:5" hidden="1" x14ac:dyDescent="0.35">
      <c r="A709" s="1" t="s">
        <v>2236</v>
      </c>
      <c r="B709" s="1" t="s">
        <v>1136</v>
      </c>
      <c r="C709" s="1" t="s">
        <v>2475</v>
      </c>
      <c r="D709" s="1" t="s">
        <v>2614</v>
      </c>
      <c r="E709">
        <f t="shared" si="11"/>
        <v>1</v>
      </c>
    </row>
    <row r="710" spans="1:5" hidden="1" x14ac:dyDescent="0.35">
      <c r="A710" s="1" t="s">
        <v>776</v>
      </c>
      <c r="B710" s="1" t="s">
        <v>1418</v>
      </c>
      <c r="C710" s="1" t="s">
        <v>1419</v>
      </c>
      <c r="D710" s="1" t="s">
        <v>2614</v>
      </c>
      <c r="E710">
        <f t="shared" si="11"/>
        <v>2</v>
      </c>
    </row>
    <row r="711" spans="1:5" hidden="1" x14ac:dyDescent="0.35">
      <c r="A711" s="1" t="s">
        <v>2236</v>
      </c>
      <c r="B711" s="1" t="s">
        <v>1128</v>
      </c>
      <c r="C711" s="1" t="s">
        <v>2205</v>
      </c>
      <c r="D711" s="1" t="s">
        <v>2614</v>
      </c>
      <c r="E711">
        <f t="shared" si="11"/>
        <v>1</v>
      </c>
    </row>
    <row r="712" spans="1:5" hidden="1" x14ac:dyDescent="0.35">
      <c r="A712" s="1" t="s">
        <v>2236</v>
      </c>
      <c r="B712" s="1" t="s">
        <v>1132</v>
      </c>
      <c r="C712" s="1" t="s">
        <v>2209</v>
      </c>
      <c r="D712" s="1" t="s">
        <v>2614</v>
      </c>
      <c r="E712">
        <f t="shared" si="11"/>
        <v>1</v>
      </c>
    </row>
    <row r="713" spans="1:5" hidden="1" x14ac:dyDescent="0.35">
      <c r="A713" s="1" t="s">
        <v>2236</v>
      </c>
      <c r="B713" s="1" t="s">
        <v>1134</v>
      </c>
      <c r="C713" s="1" t="s">
        <v>2212</v>
      </c>
      <c r="D713" s="1" t="s">
        <v>2614</v>
      </c>
      <c r="E713">
        <f t="shared" si="11"/>
        <v>1</v>
      </c>
    </row>
    <row r="714" spans="1:5" hidden="1" x14ac:dyDescent="0.35">
      <c r="A714" s="1" t="s">
        <v>2236</v>
      </c>
      <c r="B714" s="1" t="s">
        <v>1117</v>
      </c>
      <c r="C714" s="1" t="s">
        <v>2194</v>
      </c>
      <c r="D714" s="1" t="s">
        <v>2614</v>
      </c>
      <c r="E714">
        <f t="shared" ref="E714:E777" si="12">COUNTIF(C:C,C714)</f>
        <v>1</v>
      </c>
    </row>
    <row r="715" spans="1:5" hidden="1" x14ac:dyDescent="0.35">
      <c r="A715" s="1" t="s">
        <v>2236</v>
      </c>
      <c r="B715" s="1" t="s">
        <v>1118</v>
      </c>
      <c r="C715" s="1" t="s">
        <v>2195</v>
      </c>
      <c r="D715" s="1" t="s">
        <v>2614</v>
      </c>
      <c r="E715">
        <f t="shared" si="12"/>
        <v>1</v>
      </c>
    </row>
    <row r="716" spans="1:5" hidden="1" x14ac:dyDescent="0.35">
      <c r="A716" s="1" t="s">
        <v>2236</v>
      </c>
      <c r="B716" s="1" t="s">
        <v>1114</v>
      </c>
      <c r="C716" s="1" t="s">
        <v>2191</v>
      </c>
      <c r="D716" s="1" t="s">
        <v>2614</v>
      </c>
      <c r="E716">
        <f t="shared" si="12"/>
        <v>1</v>
      </c>
    </row>
    <row r="717" spans="1:5" hidden="1" x14ac:dyDescent="0.35">
      <c r="A717" s="1" t="s">
        <v>2236</v>
      </c>
      <c r="B717" s="1" t="s">
        <v>1115</v>
      </c>
      <c r="C717" s="1" t="s">
        <v>2192</v>
      </c>
      <c r="D717" s="1" t="s">
        <v>2614</v>
      </c>
      <c r="E717">
        <f t="shared" si="12"/>
        <v>1</v>
      </c>
    </row>
    <row r="718" spans="1:5" ht="29" hidden="1" x14ac:dyDescent="0.35">
      <c r="A718" s="1" t="s">
        <v>2236</v>
      </c>
      <c r="B718" s="1" t="s">
        <v>1102</v>
      </c>
      <c r="C718" s="1" t="s">
        <v>2179</v>
      </c>
      <c r="D718" s="1" t="s">
        <v>2614</v>
      </c>
      <c r="E718">
        <f t="shared" si="12"/>
        <v>1</v>
      </c>
    </row>
    <row r="719" spans="1:5" hidden="1" x14ac:dyDescent="0.35">
      <c r="A719" s="1" t="s">
        <v>2236</v>
      </c>
      <c r="B719" s="1" t="s">
        <v>1103</v>
      </c>
      <c r="C719" s="1" t="s">
        <v>2180</v>
      </c>
      <c r="D719" s="1" t="s">
        <v>2614</v>
      </c>
      <c r="E719">
        <f t="shared" si="12"/>
        <v>1</v>
      </c>
    </row>
    <row r="720" spans="1:5" ht="29" hidden="1" x14ac:dyDescent="0.35">
      <c r="A720" s="1" t="s">
        <v>2236</v>
      </c>
      <c r="B720" s="1" t="s">
        <v>1113</v>
      </c>
      <c r="C720" s="1" t="s">
        <v>2190</v>
      </c>
      <c r="D720" s="1" t="s">
        <v>2614</v>
      </c>
      <c r="E720">
        <f t="shared" si="12"/>
        <v>1</v>
      </c>
    </row>
    <row r="721" spans="1:5" ht="29" hidden="1" x14ac:dyDescent="0.35">
      <c r="A721" s="1" t="s">
        <v>2236</v>
      </c>
      <c r="B721" s="1" t="s">
        <v>1108</v>
      </c>
      <c r="C721" s="1" t="s">
        <v>2185</v>
      </c>
      <c r="D721" s="43" t="s">
        <v>2614</v>
      </c>
      <c r="E721">
        <f t="shared" si="12"/>
        <v>1</v>
      </c>
    </row>
    <row r="722" spans="1:5" hidden="1" x14ac:dyDescent="0.35">
      <c r="A722" s="1" t="s">
        <v>2236</v>
      </c>
      <c r="B722" s="1" t="s">
        <v>1109</v>
      </c>
      <c r="C722" s="1" t="s">
        <v>2186</v>
      </c>
      <c r="D722" s="1" t="s">
        <v>2614</v>
      </c>
      <c r="E722">
        <f t="shared" si="12"/>
        <v>1</v>
      </c>
    </row>
    <row r="723" spans="1:5" ht="29" hidden="1" x14ac:dyDescent="0.35">
      <c r="A723" s="1" t="s">
        <v>2236</v>
      </c>
      <c r="B723" s="1" t="s">
        <v>1104</v>
      </c>
      <c r="C723" s="1" t="s">
        <v>2181</v>
      </c>
      <c r="D723" s="43" t="s">
        <v>2614</v>
      </c>
      <c r="E723">
        <f t="shared" si="12"/>
        <v>1</v>
      </c>
    </row>
    <row r="724" spans="1:5" hidden="1" x14ac:dyDescent="0.35">
      <c r="A724" s="1" t="s">
        <v>2236</v>
      </c>
      <c r="B724" s="1" t="s">
        <v>1098</v>
      </c>
      <c r="C724" s="1" t="s">
        <v>2175</v>
      </c>
      <c r="D724" s="1" t="s">
        <v>2614</v>
      </c>
      <c r="E724">
        <f t="shared" si="12"/>
        <v>1</v>
      </c>
    </row>
    <row r="725" spans="1:5" hidden="1" x14ac:dyDescent="0.35">
      <c r="A725" s="1" t="s">
        <v>2236</v>
      </c>
      <c r="B725" s="1" t="s">
        <v>1091</v>
      </c>
      <c r="C725" s="1" t="s">
        <v>2169</v>
      </c>
      <c r="D725" s="1" t="s">
        <v>2614</v>
      </c>
      <c r="E725">
        <f t="shared" si="12"/>
        <v>1</v>
      </c>
    </row>
    <row r="726" spans="1:5" hidden="1" x14ac:dyDescent="0.35">
      <c r="B726" t="s">
        <v>140</v>
      </c>
      <c r="C726" s="1" t="s">
        <v>2306</v>
      </c>
      <c r="D726" s="43" t="s">
        <v>2615</v>
      </c>
      <c r="E726">
        <f t="shared" si="12"/>
        <v>1</v>
      </c>
    </row>
    <row r="727" spans="1:5" hidden="1" x14ac:dyDescent="0.35">
      <c r="B727" t="s">
        <v>141</v>
      </c>
      <c r="C727" s="1" t="s">
        <v>2311</v>
      </c>
      <c r="D727" s="43" t="s">
        <v>2615</v>
      </c>
      <c r="E727">
        <f t="shared" si="12"/>
        <v>1</v>
      </c>
    </row>
    <row r="728" spans="1:5" hidden="1" x14ac:dyDescent="0.35">
      <c r="B728" t="s">
        <v>142</v>
      </c>
      <c r="C728" s="1" t="s">
        <v>2312</v>
      </c>
      <c r="D728" s="43" t="s">
        <v>2615</v>
      </c>
      <c r="E728">
        <f t="shared" si="12"/>
        <v>1</v>
      </c>
    </row>
    <row r="729" spans="1:5" hidden="1" x14ac:dyDescent="0.35">
      <c r="B729" t="s">
        <v>143</v>
      </c>
      <c r="C729" s="1" t="s">
        <v>1207</v>
      </c>
      <c r="D729" s="43" t="s">
        <v>2615</v>
      </c>
      <c r="E729">
        <f t="shared" si="12"/>
        <v>1</v>
      </c>
    </row>
    <row r="730" spans="1:5" hidden="1" x14ac:dyDescent="0.35">
      <c r="B730" t="s">
        <v>144</v>
      </c>
      <c r="C730" s="1" t="s">
        <v>1208</v>
      </c>
      <c r="D730" s="43" t="s">
        <v>2615</v>
      </c>
      <c r="E730">
        <f t="shared" si="12"/>
        <v>1</v>
      </c>
    </row>
    <row r="731" spans="1:5" hidden="1" x14ac:dyDescent="0.35">
      <c r="B731" t="s">
        <v>145</v>
      </c>
      <c r="C731" s="1" t="s">
        <v>2313</v>
      </c>
      <c r="D731" s="43" t="s">
        <v>2615</v>
      </c>
      <c r="E731">
        <f t="shared" si="12"/>
        <v>1</v>
      </c>
    </row>
    <row r="732" spans="1:5" hidden="1" x14ac:dyDescent="0.35">
      <c r="B732" t="s">
        <v>146</v>
      </c>
      <c r="C732" s="1" t="s">
        <v>2314</v>
      </c>
      <c r="D732" s="43" t="s">
        <v>2615</v>
      </c>
      <c r="E732">
        <f t="shared" si="12"/>
        <v>1</v>
      </c>
    </row>
    <row r="733" spans="1:5" hidden="1" x14ac:dyDescent="0.35">
      <c r="B733" t="s">
        <v>147</v>
      </c>
      <c r="C733" s="1" t="s">
        <v>2307</v>
      </c>
      <c r="D733" s="43" t="s">
        <v>2615</v>
      </c>
      <c r="E733">
        <f t="shared" si="12"/>
        <v>1</v>
      </c>
    </row>
    <row r="734" spans="1:5" hidden="1" x14ac:dyDescent="0.35">
      <c r="B734" t="s">
        <v>148</v>
      </c>
      <c r="C734" s="1" t="s">
        <v>2308</v>
      </c>
      <c r="D734" s="43" t="s">
        <v>2615</v>
      </c>
      <c r="E734">
        <f t="shared" si="12"/>
        <v>1</v>
      </c>
    </row>
    <row r="735" spans="1:5" hidden="1" x14ac:dyDescent="0.35">
      <c r="B735" t="s">
        <v>149</v>
      </c>
      <c r="C735" s="1" t="s">
        <v>2309</v>
      </c>
      <c r="D735" s="43" t="s">
        <v>2615</v>
      </c>
      <c r="E735">
        <f t="shared" si="12"/>
        <v>1</v>
      </c>
    </row>
    <row r="736" spans="1:5" hidden="1" x14ac:dyDescent="0.35">
      <c r="B736" t="s">
        <v>150</v>
      </c>
      <c r="C736" s="1" t="s">
        <v>2374</v>
      </c>
      <c r="D736" s="43" t="s">
        <v>2615</v>
      </c>
      <c r="E736">
        <f t="shared" si="12"/>
        <v>1</v>
      </c>
    </row>
    <row r="737" spans="2:5" hidden="1" x14ac:dyDescent="0.35">
      <c r="B737" t="s">
        <v>151</v>
      </c>
      <c r="C737" s="1" t="s">
        <v>2375</v>
      </c>
      <c r="D737" s="43" t="s">
        <v>2615</v>
      </c>
      <c r="E737">
        <f t="shared" si="12"/>
        <v>1</v>
      </c>
    </row>
    <row r="738" spans="2:5" hidden="1" x14ac:dyDescent="0.35">
      <c r="B738" t="s">
        <v>156</v>
      </c>
      <c r="C738" s="1" t="s">
        <v>2315</v>
      </c>
      <c r="D738" s="43" t="s">
        <v>2615</v>
      </c>
      <c r="E738">
        <f t="shared" si="12"/>
        <v>1</v>
      </c>
    </row>
    <row r="739" spans="2:5" hidden="1" x14ac:dyDescent="0.35">
      <c r="B739" t="s">
        <v>157</v>
      </c>
      <c r="C739" s="1" t="s">
        <v>2316</v>
      </c>
      <c r="D739" s="43" t="s">
        <v>2615</v>
      </c>
      <c r="E739">
        <f t="shared" si="12"/>
        <v>1</v>
      </c>
    </row>
    <row r="740" spans="2:5" hidden="1" x14ac:dyDescent="0.35">
      <c r="B740" t="s">
        <v>158</v>
      </c>
      <c r="C740" s="1" t="s">
        <v>2317</v>
      </c>
      <c r="D740" s="43" t="s">
        <v>2615</v>
      </c>
      <c r="E740">
        <f t="shared" si="12"/>
        <v>1</v>
      </c>
    </row>
    <row r="741" spans="2:5" hidden="1" x14ac:dyDescent="0.35">
      <c r="B741" t="s">
        <v>159</v>
      </c>
      <c r="C741" s="1" t="s">
        <v>2318</v>
      </c>
      <c r="D741" s="43" t="s">
        <v>2615</v>
      </c>
      <c r="E741">
        <f t="shared" si="12"/>
        <v>1</v>
      </c>
    </row>
    <row r="742" spans="2:5" hidden="1" x14ac:dyDescent="0.35">
      <c r="B742" t="s">
        <v>160</v>
      </c>
      <c r="C742" s="1" t="s">
        <v>2319</v>
      </c>
      <c r="D742" s="43" t="s">
        <v>2615</v>
      </c>
      <c r="E742">
        <f t="shared" si="12"/>
        <v>1</v>
      </c>
    </row>
    <row r="743" spans="2:5" hidden="1" x14ac:dyDescent="0.35">
      <c r="B743" t="s">
        <v>161</v>
      </c>
      <c r="C743" s="1" t="s">
        <v>2320</v>
      </c>
      <c r="D743" s="43" t="s">
        <v>2615</v>
      </c>
      <c r="E743">
        <f t="shared" si="12"/>
        <v>1</v>
      </c>
    </row>
    <row r="744" spans="2:5" hidden="1" x14ac:dyDescent="0.35">
      <c r="B744" t="s">
        <v>162</v>
      </c>
      <c r="C744" s="1" t="s">
        <v>2310</v>
      </c>
      <c r="D744" s="43" t="s">
        <v>2615</v>
      </c>
      <c r="E744">
        <f t="shared" si="12"/>
        <v>1</v>
      </c>
    </row>
    <row r="745" spans="2:5" hidden="1" x14ac:dyDescent="0.35">
      <c r="B745" t="s">
        <v>163</v>
      </c>
      <c r="C745" s="1" t="s">
        <v>2321</v>
      </c>
      <c r="D745" s="43" t="s">
        <v>2615</v>
      </c>
      <c r="E745">
        <f t="shared" si="12"/>
        <v>1</v>
      </c>
    </row>
    <row r="746" spans="2:5" hidden="1" x14ac:dyDescent="0.35">
      <c r="B746" t="s">
        <v>165</v>
      </c>
      <c r="C746" s="1" t="s">
        <v>2322</v>
      </c>
      <c r="D746" s="43" t="s">
        <v>2615</v>
      </c>
      <c r="E746">
        <f t="shared" si="12"/>
        <v>1</v>
      </c>
    </row>
    <row r="747" spans="2:5" hidden="1" x14ac:dyDescent="0.35">
      <c r="B747" t="s">
        <v>173</v>
      </c>
      <c r="C747" s="1" t="s">
        <v>173</v>
      </c>
      <c r="D747" s="43" t="s">
        <v>2615</v>
      </c>
      <c r="E747">
        <f t="shared" si="12"/>
        <v>1</v>
      </c>
    </row>
    <row r="748" spans="2:5" hidden="1" x14ac:dyDescent="0.35">
      <c r="B748" t="s">
        <v>2238</v>
      </c>
      <c r="C748" s="1" t="s">
        <v>1380</v>
      </c>
      <c r="D748" s="43" t="s">
        <v>2615</v>
      </c>
      <c r="E748">
        <f t="shared" si="12"/>
        <v>1</v>
      </c>
    </row>
    <row r="749" spans="2:5" hidden="1" x14ac:dyDescent="0.35">
      <c r="B749" t="s">
        <v>180</v>
      </c>
      <c r="C749" s="1" t="s">
        <v>2323</v>
      </c>
      <c r="D749" s="43" t="s">
        <v>2615</v>
      </c>
      <c r="E749">
        <f t="shared" si="12"/>
        <v>1</v>
      </c>
    </row>
    <row r="750" spans="2:5" hidden="1" x14ac:dyDescent="0.35">
      <c r="B750" t="s">
        <v>181</v>
      </c>
      <c r="C750" s="1" t="s">
        <v>2324</v>
      </c>
      <c r="D750" s="43" t="s">
        <v>2615</v>
      </c>
      <c r="E750">
        <f t="shared" si="12"/>
        <v>1</v>
      </c>
    </row>
    <row r="751" spans="2:5" hidden="1" x14ac:dyDescent="0.35">
      <c r="B751" t="s">
        <v>191</v>
      </c>
      <c r="C751" t="s">
        <v>2325</v>
      </c>
      <c r="D751" s="43" t="s">
        <v>2615</v>
      </c>
      <c r="E751">
        <f t="shared" si="12"/>
        <v>1</v>
      </c>
    </row>
    <row r="752" spans="2:5" hidden="1" x14ac:dyDescent="0.35">
      <c r="B752" t="s">
        <v>192</v>
      </c>
      <c r="C752" t="s">
        <v>2326</v>
      </c>
      <c r="D752" s="43" t="s">
        <v>2615</v>
      </c>
      <c r="E752">
        <f t="shared" si="12"/>
        <v>1</v>
      </c>
    </row>
    <row r="753" spans="1:5" hidden="1" x14ac:dyDescent="0.35">
      <c r="B753" t="s">
        <v>2239</v>
      </c>
      <c r="C753" s="1" t="s">
        <v>2327</v>
      </c>
      <c r="D753" s="43" t="s">
        <v>2615</v>
      </c>
      <c r="E753">
        <f t="shared" si="12"/>
        <v>1</v>
      </c>
    </row>
    <row r="754" spans="1:5" hidden="1" x14ac:dyDescent="0.35">
      <c r="B754" t="s">
        <v>203</v>
      </c>
      <c r="C754" s="1" t="s">
        <v>2328</v>
      </c>
      <c r="D754" s="43" t="s">
        <v>2615</v>
      </c>
      <c r="E754">
        <f t="shared" si="12"/>
        <v>1</v>
      </c>
    </row>
    <row r="755" spans="1:5" hidden="1" x14ac:dyDescent="0.35">
      <c r="B755" t="s">
        <v>267</v>
      </c>
      <c r="C755" t="s">
        <v>2344</v>
      </c>
      <c r="D755" t="s">
        <v>2614</v>
      </c>
      <c r="E755">
        <f t="shared" si="12"/>
        <v>2</v>
      </c>
    </row>
    <row r="756" spans="1:5" hidden="1" x14ac:dyDescent="0.35">
      <c r="A756" s="1" t="s">
        <v>776</v>
      </c>
      <c r="B756" s="1" t="s">
        <v>1426</v>
      </c>
      <c r="C756" s="1" t="s">
        <v>1427</v>
      </c>
      <c r="D756" s="1" t="s">
        <v>2614</v>
      </c>
      <c r="E756">
        <f t="shared" si="12"/>
        <v>2</v>
      </c>
    </row>
    <row r="757" spans="1:5" hidden="1" x14ac:dyDescent="0.35">
      <c r="B757" t="s">
        <v>2241</v>
      </c>
      <c r="C757" s="1" t="s">
        <v>1427</v>
      </c>
      <c r="D757" s="1" t="s">
        <v>2614</v>
      </c>
      <c r="E757">
        <f t="shared" si="12"/>
        <v>2</v>
      </c>
    </row>
    <row r="758" spans="1:5" hidden="1" x14ac:dyDescent="0.35">
      <c r="A758" s="1" t="s">
        <v>859</v>
      </c>
      <c r="B758" s="1" t="s">
        <v>2268</v>
      </c>
      <c r="C758" s="43" t="s">
        <v>403</v>
      </c>
      <c r="D758" s="43" t="s">
        <v>2614</v>
      </c>
      <c r="E758">
        <f t="shared" si="12"/>
        <v>2</v>
      </c>
    </row>
    <row r="759" spans="1:5" hidden="1" x14ac:dyDescent="0.35">
      <c r="B759" t="s">
        <v>2251</v>
      </c>
      <c r="C759" t="s">
        <v>403</v>
      </c>
      <c r="D759" t="s">
        <v>2614</v>
      </c>
      <c r="E759">
        <f t="shared" si="12"/>
        <v>2</v>
      </c>
    </row>
    <row r="760" spans="1:5" hidden="1" x14ac:dyDescent="0.35">
      <c r="A760" s="1" t="s">
        <v>859</v>
      </c>
      <c r="B760" s="1" t="s">
        <v>1523</v>
      </c>
      <c r="C760" s="43" t="s">
        <v>2642</v>
      </c>
      <c r="D760" s="43" t="s">
        <v>2615</v>
      </c>
      <c r="E760">
        <f t="shared" si="12"/>
        <v>3</v>
      </c>
    </row>
    <row r="761" spans="1:5" hidden="1" x14ac:dyDescent="0.35">
      <c r="B761" t="s">
        <v>225</v>
      </c>
      <c r="C761" s="1" t="s">
        <v>2332</v>
      </c>
      <c r="D761" s="43" t="s">
        <v>2615</v>
      </c>
      <c r="E761">
        <f t="shared" si="12"/>
        <v>1</v>
      </c>
    </row>
    <row r="762" spans="1:5" hidden="1" x14ac:dyDescent="0.35">
      <c r="B762" t="s">
        <v>239</v>
      </c>
      <c r="C762" s="1" t="s">
        <v>2376</v>
      </c>
      <c r="D762" s="1" t="s">
        <v>2614</v>
      </c>
      <c r="E762">
        <f t="shared" si="12"/>
        <v>1</v>
      </c>
    </row>
    <row r="763" spans="1:5" hidden="1" x14ac:dyDescent="0.35">
      <c r="B763" t="s">
        <v>240</v>
      </c>
      <c r="C763" s="1" t="s">
        <v>2333</v>
      </c>
      <c r="D763" s="1" t="s">
        <v>2614</v>
      </c>
      <c r="E763">
        <f t="shared" si="12"/>
        <v>1</v>
      </c>
    </row>
    <row r="764" spans="1:5" hidden="1" x14ac:dyDescent="0.35">
      <c r="B764" t="s">
        <v>242</v>
      </c>
      <c r="C764" s="1" t="s">
        <v>2334</v>
      </c>
      <c r="D764" s="1" t="s">
        <v>2614</v>
      </c>
      <c r="E764">
        <f t="shared" si="12"/>
        <v>1</v>
      </c>
    </row>
    <row r="765" spans="1:5" hidden="1" x14ac:dyDescent="0.35">
      <c r="A765" s="1" t="s">
        <v>776</v>
      </c>
      <c r="B765" s="1" t="s">
        <v>297</v>
      </c>
      <c r="C765" s="1" t="s">
        <v>1446</v>
      </c>
      <c r="D765" s="1" t="s">
        <v>2615</v>
      </c>
      <c r="E765">
        <f t="shared" si="12"/>
        <v>3</v>
      </c>
    </row>
    <row r="766" spans="1:5" hidden="1" x14ac:dyDescent="0.35">
      <c r="B766" t="s">
        <v>244</v>
      </c>
      <c r="C766" s="1" t="s">
        <v>2335</v>
      </c>
      <c r="D766" s="1" t="s">
        <v>2614</v>
      </c>
      <c r="E766">
        <f t="shared" si="12"/>
        <v>1</v>
      </c>
    </row>
    <row r="767" spans="1:5" hidden="1" x14ac:dyDescent="0.35">
      <c r="B767" t="s">
        <v>247</v>
      </c>
      <c r="C767" s="1" t="s">
        <v>2377</v>
      </c>
      <c r="D767" s="1" t="s">
        <v>2614</v>
      </c>
      <c r="E767">
        <f t="shared" si="12"/>
        <v>1</v>
      </c>
    </row>
    <row r="768" spans="1:5" hidden="1" x14ac:dyDescent="0.35">
      <c r="A768" s="1" t="s">
        <v>543</v>
      </c>
      <c r="B768" s="1" t="s">
        <v>1595</v>
      </c>
      <c r="C768" s="1" t="s">
        <v>1446</v>
      </c>
      <c r="D768" s="1" t="s">
        <v>2615</v>
      </c>
      <c r="E768">
        <f t="shared" si="12"/>
        <v>3</v>
      </c>
    </row>
    <row r="769" spans="1:5" hidden="1" x14ac:dyDescent="0.35">
      <c r="A769" s="1" t="s">
        <v>859</v>
      </c>
      <c r="B769" s="1" t="s">
        <v>1538</v>
      </c>
      <c r="C769" s="43" t="s">
        <v>1447</v>
      </c>
      <c r="D769" s="43" t="s">
        <v>2615</v>
      </c>
      <c r="E769">
        <f t="shared" si="12"/>
        <v>2</v>
      </c>
    </row>
    <row r="770" spans="1:5" hidden="1" x14ac:dyDescent="0.35">
      <c r="A770" s="1" t="s">
        <v>776</v>
      </c>
      <c r="B770" s="1" t="s">
        <v>300</v>
      </c>
      <c r="C770" s="1" t="s">
        <v>1447</v>
      </c>
      <c r="D770" s="1" t="s">
        <v>2615</v>
      </c>
      <c r="E770">
        <f t="shared" si="12"/>
        <v>2</v>
      </c>
    </row>
    <row r="771" spans="1:5" hidden="1" x14ac:dyDescent="0.35">
      <c r="B771" t="s">
        <v>2246</v>
      </c>
      <c r="C771" s="1" t="s">
        <v>2340</v>
      </c>
      <c r="D771" s="1" t="s">
        <v>2614</v>
      </c>
      <c r="E771">
        <f t="shared" si="12"/>
        <v>1</v>
      </c>
    </row>
    <row r="772" spans="1:5" hidden="1" x14ac:dyDescent="0.35">
      <c r="B772" t="s">
        <v>2247</v>
      </c>
      <c r="C772" s="1" t="s">
        <v>2341</v>
      </c>
      <c r="D772" s="1" t="s">
        <v>2614</v>
      </c>
      <c r="E772">
        <f t="shared" si="12"/>
        <v>1</v>
      </c>
    </row>
    <row r="773" spans="1:5" hidden="1" x14ac:dyDescent="0.35">
      <c r="B773" t="s">
        <v>2248</v>
      </c>
      <c r="C773" s="1" t="s">
        <v>2342</v>
      </c>
      <c r="D773" s="1" t="s">
        <v>2614</v>
      </c>
      <c r="E773">
        <f t="shared" si="12"/>
        <v>1</v>
      </c>
    </row>
    <row r="774" spans="1:5" hidden="1" x14ac:dyDescent="0.35">
      <c r="B774" t="s">
        <v>261</v>
      </c>
      <c r="C774" s="1" t="s">
        <v>2343</v>
      </c>
      <c r="D774" s="1" t="s">
        <v>2614</v>
      </c>
      <c r="E774">
        <f t="shared" si="12"/>
        <v>1</v>
      </c>
    </row>
    <row r="775" spans="1:5" hidden="1" x14ac:dyDescent="0.35">
      <c r="B775" t="s">
        <v>266</v>
      </c>
      <c r="C775" t="s">
        <v>2378</v>
      </c>
      <c r="D775" t="s">
        <v>2614</v>
      </c>
      <c r="E775">
        <f t="shared" si="12"/>
        <v>1</v>
      </c>
    </row>
    <row r="776" spans="1:5" hidden="1" x14ac:dyDescent="0.35">
      <c r="A776" s="1" t="s">
        <v>776</v>
      </c>
      <c r="B776" s="1" t="s">
        <v>1451</v>
      </c>
      <c r="C776" s="1" t="s">
        <v>1452</v>
      </c>
      <c r="D776" s="1" t="s">
        <v>2614</v>
      </c>
      <c r="E776">
        <f t="shared" si="12"/>
        <v>2</v>
      </c>
    </row>
    <row r="777" spans="1:5" hidden="1" x14ac:dyDescent="0.35">
      <c r="B777" t="s">
        <v>2345</v>
      </c>
      <c r="C777" t="s">
        <v>2345</v>
      </c>
      <c r="D777" t="s">
        <v>2614</v>
      </c>
      <c r="E777">
        <f t="shared" si="12"/>
        <v>1</v>
      </c>
    </row>
    <row r="778" spans="1:5" hidden="1" x14ac:dyDescent="0.35">
      <c r="B778" t="s">
        <v>271</v>
      </c>
      <c r="C778" t="s">
        <v>2346</v>
      </c>
      <c r="D778" s="43" t="s">
        <v>2615</v>
      </c>
      <c r="E778">
        <f t="shared" ref="E778:E841" si="13">COUNTIF(C:C,C778)</f>
        <v>1</v>
      </c>
    </row>
    <row r="779" spans="1:5" hidden="1" x14ac:dyDescent="0.35">
      <c r="B779" t="s">
        <v>2240</v>
      </c>
      <c r="C779" s="1" t="s">
        <v>1452</v>
      </c>
      <c r="D779" s="1" t="s">
        <v>2614</v>
      </c>
      <c r="E779">
        <f t="shared" si="13"/>
        <v>2</v>
      </c>
    </row>
    <row r="780" spans="1:5" hidden="1" x14ac:dyDescent="0.35">
      <c r="B780" t="s">
        <v>289</v>
      </c>
      <c r="C780" t="s">
        <v>2350</v>
      </c>
      <c r="D780" s="43" t="s">
        <v>2615</v>
      </c>
      <c r="E780">
        <f t="shared" si="13"/>
        <v>1</v>
      </c>
    </row>
    <row r="781" spans="1:5" hidden="1" x14ac:dyDescent="0.35">
      <c r="B781" t="s">
        <v>296</v>
      </c>
      <c r="C781" t="s">
        <v>2347</v>
      </c>
      <c r="D781" s="43" t="s">
        <v>2615</v>
      </c>
      <c r="E781">
        <f t="shared" si="13"/>
        <v>1</v>
      </c>
    </row>
    <row r="782" spans="1:5" hidden="1" x14ac:dyDescent="0.35">
      <c r="B782" t="s">
        <v>298</v>
      </c>
      <c r="C782" t="s">
        <v>2348</v>
      </c>
      <c r="D782" s="43" t="s">
        <v>2615</v>
      </c>
      <c r="E782">
        <f t="shared" si="13"/>
        <v>1</v>
      </c>
    </row>
    <row r="783" spans="1:5" hidden="1" x14ac:dyDescent="0.35">
      <c r="B783" t="s">
        <v>299</v>
      </c>
      <c r="C783" t="s">
        <v>2694</v>
      </c>
      <c r="D783" s="43" t="s">
        <v>2615</v>
      </c>
      <c r="E783">
        <f t="shared" si="13"/>
        <v>1</v>
      </c>
    </row>
    <row r="784" spans="1:5" hidden="1" x14ac:dyDescent="0.35">
      <c r="A784" s="1" t="s">
        <v>776</v>
      </c>
      <c r="B784" s="1" t="s">
        <v>1459</v>
      </c>
      <c r="C784" s="1" t="s">
        <v>222</v>
      </c>
      <c r="D784" s="43" t="s">
        <v>2615</v>
      </c>
      <c r="E784">
        <f t="shared" si="13"/>
        <v>2</v>
      </c>
    </row>
    <row r="785" spans="2:5" hidden="1" x14ac:dyDescent="0.35">
      <c r="B785" t="s">
        <v>305</v>
      </c>
      <c r="C785" t="s">
        <v>2354</v>
      </c>
      <c r="D785" t="s">
        <v>2614</v>
      </c>
      <c r="E785">
        <f t="shared" si="13"/>
        <v>1</v>
      </c>
    </row>
    <row r="786" spans="2:5" hidden="1" x14ac:dyDescent="0.35">
      <c r="B786" t="s">
        <v>323</v>
      </c>
      <c r="C786" t="s">
        <v>2355</v>
      </c>
      <c r="D786" s="1" t="s">
        <v>2614</v>
      </c>
      <c r="E786">
        <f t="shared" si="13"/>
        <v>1</v>
      </c>
    </row>
    <row r="787" spans="2:5" hidden="1" x14ac:dyDescent="0.35">
      <c r="B787" t="s">
        <v>333</v>
      </c>
      <c r="C787" t="s">
        <v>2103</v>
      </c>
      <c r="D787" s="43" t="s">
        <v>2615</v>
      </c>
      <c r="E787">
        <f t="shared" si="13"/>
        <v>1</v>
      </c>
    </row>
    <row r="788" spans="2:5" hidden="1" x14ac:dyDescent="0.35">
      <c r="B788" t="s">
        <v>369</v>
      </c>
      <c r="C788" t="s">
        <v>2336</v>
      </c>
      <c r="D788" s="43" t="s">
        <v>2614</v>
      </c>
      <c r="E788">
        <f t="shared" si="13"/>
        <v>1</v>
      </c>
    </row>
    <row r="789" spans="2:5" hidden="1" x14ac:dyDescent="0.35">
      <c r="B789" t="s">
        <v>388</v>
      </c>
      <c r="C789" t="s">
        <v>2356</v>
      </c>
      <c r="D789" t="s">
        <v>2614</v>
      </c>
      <c r="E789">
        <f t="shared" si="13"/>
        <v>1</v>
      </c>
    </row>
    <row r="790" spans="2:5" hidden="1" x14ac:dyDescent="0.35">
      <c r="B790" t="s">
        <v>389</v>
      </c>
      <c r="C790" t="s">
        <v>2357</v>
      </c>
      <c r="D790" s="1" t="s">
        <v>2614</v>
      </c>
      <c r="E790">
        <f t="shared" si="13"/>
        <v>1</v>
      </c>
    </row>
    <row r="791" spans="2:5" hidden="1" x14ac:dyDescent="0.35">
      <c r="B791" t="s">
        <v>394</v>
      </c>
      <c r="C791" t="s">
        <v>2358</v>
      </c>
      <c r="D791" s="1" t="s">
        <v>2615</v>
      </c>
      <c r="E791">
        <f t="shared" si="13"/>
        <v>1</v>
      </c>
    </row>
    <row r="792" spans="2:5" hidden="1" x14ac:dyDescent="0.35">
      <c r="B792" t="s">
        <v>396</v>
      </c>
      <c r="C792" t="s">
        <v>2359</v>
      </c>
      <c r="D792" s="1" t="s">
        <v>2614</v>
      </c>
      <c r="E792">
        <f t="shared" si="13"/>
        <v>1</v>
      </c>
    </row>
    <row r="793" spans="2:5" hidden="1" x14ac:dyDescent="0.35">
      <c r="B793" t="s">
        <v>2250</v>
      </c>
      <c r="C793" t="s">
        <v>2360</v>
      </c>
      <c r="D793" s="1" t="s">
        <v>2614</v>
      </c>
      <c r="E793">
        <f t="shared" si="13"/>
        <v>1</v>
      </c>
    </row>
    <row r="794" spans="2:5" hidden="1" x14ac:dyDescent="0.35">
      <c r="B794" t="s">
        <v>2244</v>
      </c>
      <c r="C794" s="1" t="s">
        <v>2330</v>
      </c>
      <c r="D794" s="43" t="s">
        <v>2615</v>
      </c>
      <c r="E794">
        <f t="shared" si="13"/>
        <v>2</v>
      </c>
    </row>
    <row r="795" spans="2:5" hidden="1" x14ac:dyDescent="0.35">
      <c r="B795" t="s">
        <v>407</v>
      </c>
      <c r="C795" t="s">
        <v>2361</v>
      </c>
      <c r="D795" s="1" t="s">
        <v>2615</v>
      </c>
      <c r="E795">
        <f t="shared" si="13"/>
        <v>1</v>
      </c>
    </row>
    <row r="796" spans="2:5" hidden="1" x14ac:dyDescent="0.35">
      <c r="B796" t="s">
        <v>410</v>
      </c>
      <c r="C796" t="s">
        <v>2362</v>
      </c>
      <c r="D796" s="1" t="s">
        <v>2615</v>
      </c>
      <c r="E796">
        <f t="shared" si="13"/>
        <v>1</v>
      </c>
    </row>
    <row r="797" spans="2:5" hidden="1" x14ac:dyDescent="0.35">
      <c r="B797" t="s">
        <v>439</v>
      </c>
      <c r="C797" t="s">
        <v>2710</v>
      </c>
      <c r="D797" s="1" t="s">
        <v>2614</v>
      </c>
      <c r="E797">
        <f t="shared" si="13"/>
        <v>1</v>
      </c>
    </row>
    <row r="798" spans="2:5" hidden="1" x14ac:dyDescent="0.35">
      <c r="B798" t="s">
        <v>440</v>
      </c>
      <c r="C798" t="s">
        <v>2711</v>
      </c>
      <c r="D798" t="s">
        <v>2614</v>
      </c>
      <c r="E798">
        <f t="shared" si="13"/>
        <v>1</v>
      </c>
    </row>
    <row r="799" spans="2:5" hidden="1" x14ac:dyDescent="0.35">
      <c r="B799" t="s">
        <v>497</v>
      </c>
      <c r="C799" t="s">
        <v>2363</v>
      </c>
      <c r="D799" s="1" t="s">
        <v>2615</v>
      </c>
      <c r="E799">
        <f t="shared" si="13"/>
        <v>1</v>
      </c>
    </row>
    <row r="800" spans="2:5" hidden="1" x14ac:dyDescent="0.35">
      <c r="B800" t="s">
        <v>509</v>
      </c>
      <c r="C800" t="s">
        <v>509</v>
      </c>
      <c r="D800" s="1" t="s">
        <v>2615</v>
      </c>
      <c r="E800">
        <f t="shared" si="13"/>
        <v>1</v>
      </c>
    </row>
    <row r="801" spans="2:5" hidden="1" x14ac:dyDescent="0.35">
      <c r="B801" t="s">
        <v>2252</v>
      </c>
      <c r="C801" t="s">
        <v>2364</v>
      </c>
      <c r="D801" s="1" t="s">
        <v>2614</v>
      </c>
      <c r="E801">
        <f t="shared" si="13"/>
        <v>1</v>
      </c>
    </row>
    <row r="802" spans="2:5" hidden="1" x14ac:dyDescent="0.35">
      <c r="B802" t="s">
        <v>525</v>
      </c>
      <c r="C802" t="s">
        <v>2365</v>
      </c>
      <c r="D802" t="s">
        <v>2614</v>
      </c>
      <c r="E802">
        <f t="shared" si="13"/>
        <v>1</v>
      </c>
    </row>
    <row r="803" spans="2:5" hidden="1" x14ac:dyDescent="0.35">
      <c r="B803" t="s">
        <v>527</v>
      </c>
      <c r="C803" t="s">
        <v>2366</v>
      </c>
      <c r="D803" t="s">
        <v>2614</v>
      </c>
      <c r="E803">
        <f t="shared" si="13"/>
        <v>1</v>
      </c>
    </row>
    <row r="804" spans="2:5" hidden="1" x14ac:dyDescent="0.35">
      <c r="B804" t="s">
        <v>529</v>
      </c>
      <c r="C804" t="s">
        <v>2367</v>
      </c>
      <c r="D804" t="s">
        <v>2614</v>
      </c>
      <c r="E804">
        <f t="shared" si="13"/>
        <v>1</v>
      </c>
    </row>
    <row r="805" spans="2:5" hidden="1" x14ac:dyDescent="0.35">
      <c r="B805" t="s">
        <v>532</v>
      </c>
      <c r="C805" t="s">
        <v>2368</v>
      </c>
      <c r="D805" t="s">
        <v>2614</v>
      </c>
      <c r="E805">
        <f t="shared" si="13"/>
        <v>1</v>
      </c>
    </row>
    <row r="806" spans="2:5" hidden="1" x14ac:dyDescent="0.35">
      <c r="B806" t="s">
        <v>556</v>
      </c>
      <c r="C806" t="s">
        <v>2469</v>
      </c>
      <c r="D806" t="s">
        <v>2614</v>
      </c>
      <c r="E806">
        <f t="shared" si="13"/>
        <v>1</v>
      </c>
    </row>
    <row r="807" spans="2:5" hidden="1" x14ac:dyDescent="0.35">
      <c r="B807" t="s">
        <v>557</v>
      </c>
      <c r="C807" t="s">
        <v>2369</v>
      </c>
      <c r="D807" t="s">
        <v>2614</v>
      </c>
      <c r="E807">
        <f t="shared" si="13"/>
        <v>1</v>
      </c>
    </row>
    <row r="808" spans="2:5" hidden="1" x14ac:dyDescent="0.35">
      <c r="B808" t="s">
        <v>558</v>
      </c>
      <c r="C808" t="s">
        <v>2379</v>
      </c>
      <c r="D808" t="s">
        <v>2614</v>
      </c>
      <c r="E808">
        <f t="shared" si="13"/>
        <v>1</v>
      </c>
    </row>
    <row r="809" spans="2:5" hidden="1" x14ac:dyDescent="0.35">
      <c r="B809" t="s">
        <v>604</v>
      </c>
      <c r="C809" t="s">
        <v>2380</v>
      </c>
      <c r="D809" s="43" t="s">
        <v>2615</v>
      </c>
      <c r="E809">
        <f t="shared" si="13"/>
        <v>1</v>
      </c>
    </row>
    <row r="810" spans="2:5" hidden="1" x14ac:dyDescent="0.35">
      <c r="B810" t="s">
        <v>605</v>
      </c>
      <c r="C810" t="s">
        <v>2381</v>
      </c>
      <c r="D810" s="43" t="s">
        <v>2615</v>
      </c>
      <c r="E810">
        <f t="shared" si="13"/>
        <v>1</v>
      </c>
    </row>
    <row r="811" spans="2:5" hidden="1" x14ac:dyDescent="0.35">
      <c r="B811" t="s">
        <v>606</v>
      </c>
      <c r="C811" t="s">
        <v>2382</v>
      </c>
      <c r="D811" s="43" t="s">
        <v>2615</v>
      </c>
      <c r="E811">
        <f t="shared" si="13"/>
        <v>1</v>
      </c>
    </row>
    <row r="812" spans="2:5" hidden="1" x14ac:dyDescent="0.35">
      <c r="B812" t="s">
        <v>625</v>
      </c>
      <c r="C812" t="s">
        <v>2383</v>
      </c>
      <c r="D812" s="43" t="s">
        <v>2615</v>
      </c>
      <c r="E812">
        <f t="shared" si="13"/>
        <v>1</v>
      </c>
    </row>
    <row r="813" spans="2:5" hidden="1" x14ac:dyDescent="0.35">
      <c r="B813" t="s">
        <v>627</v>
      </c>
      <c r="C813" t="s">
        <v>2337</v>
      </c>
      <c r="D813" s="43" t="s">
        <v>2615</v>
      </c>
      <c r="E813">
        <f t="shared" si="13"/>
        <v>1</v>
      </c>
    </row>
    <row r="814" spans="2:5" hidden="1" x14ac:dyDescent="0.35">
      <c r="B814" t="s">
        <v>632</v>
      </c>
      <c r="C814" t="s">
        <v>2338</v>
      </c>
      <c r="D814" s="43" t="s">
        <v>2615</v>
      </c>
      <c r="E814">
        <f t="shared" si="13"/>
        <v>1</v>
      </c>
    </row>
    <row r="815" spans="2:5" hidden="1" x14ac:dyDescent="0.35">
      <c r="B815" t="s">
        <v>667</v>
      </c>
      <c r="C815" t="s">
        <v>2351</v>
      </c>
      <c r="D815" s="43" t="s">
        <v>2615</v>
      </c>
      <c r="E815">
        <f t="shared" si="13"/>
        <v>1</v>
      </c>
    </row>
    <row r="816" spans="2:5" hidden="1" x14ac:dyDescent="0.35">
      <c r="B816" t="s">
        <v>668</v>
      </c>
      <c r="C816" t="s">
        <v>2339</v>
      </c>
      <c r="D816" s="43" t="s">
        <v>2615</v>
      </c>
      <c r="E816">
        <f t="shared" si="13"/>
        <v>1</v>
      </c>
    </row>
    <row r="817" spans="1:5" hidden="1" x14ac:dyDescent="0.35">
      <c r="B817" t="s">
        <v>2256</v>
      </c>
      <c r="C817" t="s">
        <v>760</v>
      </c>
      <c r="D817" s="43" t="s">
        <v>2615</v>
      </c>
      <c r="E817">
        <f t="shared" si="13"/>
        <v>1</v>
      </c>
    </row>
    <row r="818" spans="1:5" hidden="1" x14ac:dyDescent="0.35">
      <c r="B818" t="s">
        <v>767</v>
      </c>
      <c r="C818" t="s">
        <v>2384</v>
      </c>
      <c r="D818" s="1" t="s">
        <v>2614</v>
      </c>
      <c r="E818">
        <f t="shared" si="13"/>
        <v>1</v>
      </c>
    </row>
    <row r="819" spans="1:5" hidden="1" x14ac:dyDescent="0.35">
      <c r="B819" t="s">
        <v>773</v>
      </c>
      <c r="C819" t="s">
        <v>2385</v>
      </c>
      <c r="D819" s="1" t="s">
        <v>2614</v>
      </c>
      <c r="E819">
        <f t="shared" si="13"/>
        <v>1</v>
      </c>
    </row>
    <row r="820" spans="1:5" hidden="1" x14ac:dyDescent="0.35">
      <c r="B820" t="s">
        <v>986</v>
      </c>
      <c r="C820" t="s">
        <v>2386</v>
      </c>
      <c r="D820" t="s">
        <v>2614</v>
      </c>
      <c r="E820">
        <f t="shared" si="13"/>
        <v>1</v>
      </c>
    </row>
    <row r="821" spans="1:5" hidden="1" x14ac:dyDescent="0.35">
      <c r="B821" t="s">
        <v>987</v>
      </c>
      <c r="C821" t="s">
        <v>2720</v>
      </c>
      <c r="D821" t="s">
        <v>2614</v>
      </c>
      <c r="E821">
        <f t="shared" si="13"/>
        <v>1</v>
      </c>
    </row>
    <row r="822" spans="1:5" hidden="1" x14ac:dyDescent="0.35">
      <c r="B822" t="s">
        <v>988</v>
      </c>
      <c r="C822" t="s">
        <v>2721</v>
      </c>
      <c r="D822" t="s">
        <v>2614</v>
      </c>
      <c r="E822">
        <f t="shared" si="13"/>
        <v>1</v>
      </c>
    </row>
    <row r="823" spans="1:5" hidden="1" x14ac:dyDescent="0.35">
      <c r="B823" t="s">
        <v>989</v>
      </c>
      <c r="C823" t="s">
        <v>2387</v>
      </c>
      <c r="D823" t="s">
        <v>2614</v>
      </c>
      <c r="E823">
        <f t="shared" si="13"/>
        <v>1</v>
      </c>
    </row>
    <row r="824" spans="1:5" hidden="1" x14ac:dyDescent="0.35">
      <c r="B824" t="s">
        <v>990</v>
      </c>
      <c r="C824" t="s">
        <v>2388</v>
      </c>
      <c r="D824" s="43" t="s">
        <v>2615</v>
      </c>
      <c r="E824">
        <f t="shared" si="13"/>
        <v>1</v>
      </c>
    </row>
    <row r="825" spans="1:5" hidden="1" x14ac:dyDescent="0.35">
      <c r="B825" t="s">
        <v>991</v>
      </c>
      <c r="C825" t="s">
        <v>2389</v>
      </c>
      <c r="D825" t="s">
        <v>2614</v>
      </c>
      <c r="E825">
        <f t="shared" si="13"/>
        <v>1</v>
      </c>
    </row>
    <row r="826" spans="1:5" hidden="1" x14ac:dyDescent="0.35">
      <c r="B826" t="s">
        <v>992</v>
      </c>
      <c r="C826" t="s">
        <v>2390</v>
      </c>
      <c r="D826" t="s">
        <v>2614</v>
      </c>
      <c r="E826">
        <f t="shared" si="13"/>
        <v>1</v>
      </c>
    </row>
    <row r="827" spans="1:5" hidden="1" x14ac:dyDescent="0.35">
      <c r="B827" t="s">
        <v>993</v>
      </c>
      <c r="C827" t="s">
        <v>2391</v>
      </c>
      <c r="D827" t="s">
        <v>2614</v>
      </c>
      <c r="E827">
        <f t="shared" si="13"/>
        <v>1</v>
      </c>
    </row>
    <row r="828" spans="1:5" hidden="1" x14ac:dyDescent="0.35">
      <c r="A828" s="1" t="s">
        <v>776</v>
      </c>
      <c r="B828" s="1" t="s">
        <v>1460</v>
      </c>
      <c r="C828" s="1" t="s">
        <v>1461</v>
      </c>
      <c r="D828" s="43" t="s">
        <v>2615</v>
      </c>
      <c r="E828">
        <f t="shared" si="13"/>
        <v>2</v>
      </c>
    </row>
    <row r="829" spans="1:5" hidden="1" x14ac:dyDescent="0.35">
      <c r="B829" t="s">
        <v>224</v>
      </c>
      <c r="C829" s="1" t="s">
        <v>2331</v>
      </c>
      <c r="D829" s="43" t="s">
        <v>2615</v>
      </c>
      <c r="E829">
        <f t="shared" si="13"/>
        <v>2</v>
      </c>
    </row>
    <row r="830" spans="1:5" hidden="1" x14ac:dyDescent="0.35">
      <c r="B830" t="s">
        <v>996</v>
      </c>
      <c r="C830" t="s">
        <v>2393</v>
      </c>
      <c r="D830" t="s">
        <v>2614</v>
      </c>
      <c r="E830">
        <f t="shared" si="13"/>
        <v>1</v>
      </c>
    </row>
    <row r="831" spans="1:5" hidden="1" x14ac:dyDescent="0.35">
      <c r="B831" t="s">
        <v>997</v>
      </c>
      <c r="C831" t="s">
        <v>2394</v>
      </c>
      <c r="D831" t="s">
        <v>2614</v>
      </c>
      <c r="E831">
        <f t="shared" si="13"/>
        <v>1</v>
      </c>
    </row>
    <row r="832" spans="1:5" hidden="1" x14ac:dyDescent="0.35">
      <c r="B832" t="s">
        <v>998</v>
      </c>
      <c r="C832" t="s">
        <v>2395</v>
      </c>
      <c r="D832" t="s">
        <v>2614</v>
      </c>
      <c r="E832">
        <f t="shared" si="13"/>
        <v>1</v>
      </c>
    </row>
    <row r="833" spans="2:5" hidden="1" x14ac:dyDescent="0.35">
      <c r="B833" t="s">
        <v>999</v>
      </c>
      <c r="C833" t="s">
        <v>2396</v>
      </c>
      <c r="D833" t="s">
        <v>2614</v>
      </c>
      <c r="E833">
        <f t="shared" si="13"/>
        <v>1</v>
      </c>
    </row>
    <row r="834" spans="2:5" hidden="1" x14ac:dyDescent="0.35">
      <c r="B834" t="s">
        <v>1000</v>
      </c>
      <c r="C834" t="s">
        <v>2397</v>
      </c>
      <c r="D834" t="s">
        <v>2614</v>
      </c>
      <c r="E834">
        <f t="shared" si="13"/>
        <v>1</v>
      </c>
    </row>
    <row r="835" spans="2:5" hidden="1" x14ac:dyDescent="0.35">
      <c r="B835" t="s">
        <v>1001</v>
      </c>
      <c r="C835" t="s">
        <v>2398</v>
      </c>
      <c r="D835" t="s">
        <v>2614</v>
      </c>
      <c r="E835">
        <f t="shared" si="13"/>
        <v>1</v>
      </c>
    </row>
    <row r="836" spans="2:5" hidden="1" x14ac:dyDescent="0.35">
      <c r="B836" t="s">
        <v>1002</v>
      </c>
      <c r="C836" t="s">
        <v>2399</v>
      </c>
      <c r="D836" t="s">
        <v>2614</v>
      </c>
      <c r="E836">
        <f t="shared" si="13"/>
        <v>1</v>
      </c>
    </row>
    <row r="837" spans="2:5" hidden="1" x14ac:dyDescent="0.35">
      <c r="B837" t="s">
        <v>1003</v>
      </c>
      <c r="C837" t="s">
        <v>2400</v>
      </c>
      <c r="D837" t="s">
        <v>2614</v>
      </c>
      <c r="E837">
        <f t="shared" si="13"/>
        <v>1</v>
      </c>
    </row>
    <row r="838" spans="2:5" hidden="1" x14ac:dyDescent="0.35">
      <c r="B838" t="s">
        <v>1004</v>
      </c>
      <c r="C838" t="s">
        <v>2401</v>
      </c>
      <c r="D838" t="s">
        <v>2614</v>
      </c>
      <c r="E838">
        <f t="shared" si="13"/>
        <v>1</v>
      </c>
    </row>
    <row r="839" spans="2:5" hidden="1" x14ac:dyDescent="0.35">
      <c r="B839" t="s">
        <v>1005</v>
      </c>
      <c r="C839" t="s">
        <v>2402</v>
      </c>
      <c r="D839" t="s">
        <v>2614</v>
      </c>
      <c r="E839">
        <f t="shared" si="13"/>
        <v>1</v>
      </c>
    </row>
    <row r="840" spans="2:5" hidden="1" x14ac:dyDescent="0.35">
      <c r="B840" t="s">
        <v>1006</v>
      </c>
      <c r="C840" t="s">
        <v>2403</v>
      </c>
      <c r="D840" t="s">
        <v>2614</v>
      </c>
      <c r="E840">
        <f t="shared" si="13"/>
        <v>1</v>
      </c>
    </row>
    <row r="841" spans="2:5" hidden="1" x14ac:dyDescent="0.35">
      <c r="B841" t="s">
        <v>1007</v>
      </c>
      <c r="C841" t="s">
        <v>2404</v>
      </c>
      <c r="D841" t="s">
        <v>2614</v>
      </c>
      <c r="E841">
        <f t="shared" si="13"/>
        <v>1</v>
      </c>
    </row>
    <row r="842" spans="2:5" hidden="1" x14ac:dyDescent="0.35">
      <c r="B842" t="s">
        <v>1008</v>
      </c>
      <c r="C842" t="s">
        <v>2405</v>
      </c>
      <c r="D842" t="s">
        <v>2614</v>
      </c>
      <c r="E842">
        <f t="shared" ref="E842:E908" si="14">COUNTIF(C:C,C842)</f>
        <v>1</v>
      </c>
    </row>
    <row r="843" spans="2:5" hidden="1" x14ac:dyDescent="0.35">
      <c r="B843" t="s">
        <v>1009</v>
      </c>
      <c r="C843" t="s">
        <v>2406</v>
      </c>
      <c r="D843" t="s">
        <v>2614</v>
      </c>
      <c r="E843">
        <f t="shared" si="14"/>
        <v>1</v>
      </c>
    </row>
    <row r="844" spans="2:5" hidden="1" x14ac:dyDescent="0.35">
      <c r="B844" t="s">
        <v>1010</v>
      </c>
      <c r="C844" t="s">
        <v>2407</v>
      </c>
      <c r="D844" t="s">
        <v>2614</v>
      </c>
      <c r="E844">
        <f t="shared" si="14"/>
        <v>1</v>
      </c>
    </row>
    <row r="845" spans="2:5" hidden="1" x14ac:dyDescent="0.35">
      <c r="B845" t="s">
        <v>1011</v>
      </c>
      <c r="C845" t="s">
        <v>2408</v>
      </c>
      <c r="D845" t="s">
        <v>2614</v>
      </c>
      <c r="E845">
        <f t="shared" si="14"/>
        <v>1</v>
      </c>
    </row>
    <row r="846" spans="2:5" hidden="1" x14ac:dyDescent="0.35">
      <c r="B846" t="s">
        <v>1012</v>
      </c>
      <c r="C846" t="s">
        <v>2409</v>
      </c>
      <c r="D846" t="s">
        <v>2614</v>
      </c>
      <c r="E846">
        <f t="shared" si="14"/>
        <v>1</v>
      </c>
    </row>
    <row r="847" spans="2:5" hidden="1" x14ac:dyDescent="0.35">
      <c r="B847" t="s">
        <v>1013</v>
      </c>
      <c r="C847" t="s">
        <v>2410</v>
      </c>
      <c r="D847" t="s">
        <v>2614</v>
      </c>
      <c r="E847">
        <f t="shared" si="14"/>
        <v>1</v>
      </c>
    </row>
    <row r="848" spans="2:5" hidden="1" x14ac:dyDescent="0.35">
      <c r="B848" t="s">
        <v>1014</v>
      </c>
      <c r="C848" t="s">
        <v>2470</v>
      </c>
      <c r="D848" t="s">
        <v>2614</v>
      </c>
      <c r="E848">
        <f t="shared" si="14"/>
        <v>1</v>
      </c>
    </row>
    <row r="849" spans="2:5" hidden="1" x14ac:dyDescent="0.35">
      <c r="B849" t="s">
        <v>1015</v>
      </c>
      <c r="C849" t="s">
        <v>2411</v>
      </c>
      <c r="D849" t="s">
        <v>2614</v>
      </c>
      <c r="E849">
        <f t="shared" si="14"/>
        <v>1</v>
      </c>
    </row>
    <row r="850" spans="2:5" hidden="1" x14ac:dyDescent="0.35">
      <c r="B850" t="s">
        <v>1016</v>
      </c>
      <c r="C850" t="s">
        <v>2412</v>
      </c>
      <c r="D850" t="s">
        <v>2614</v>
      </c>
      <c r="E850">
        <f t="shared" si="14"/>
        <v>1</v>
      </c>
    </row>
    <row r="851" spans="2:5" hidden="1" x14ac:dyDescent="0.35">
      <c r="B851" t="s">
        <v>1017</v>
      </c>
      <c r="C851" t="s">
        <v>2413</v>
      </c>
      <c r="D851" t="s">
        <v>2614</v>
      </c>
      <c r="E851">
        <f t="shared" si="14"/>
        <v>1</v>
      </c>
    </row>
    <row r="852" spans="2:5" hidden="1" x14ac:dyDescent="0.35">
      <c r="B852" t="s">
        <v>1018</v>
      </c>
      <c r="C852" t="s">
        <v>2414</v>
      </c>
      <c r="D852" t="s">
        <v>2614</v>
      </c>
      <c r="E852">
        <f t="shared" si="14"/>
        <v>1</v>
      </c>
    </row>
    <row r="853" spans="2:5" hidden="1" x14ac:dyDescent="0.35">
      <c r="B853" t="s">
        <v>1019</v>
      </c>
      <c r="C853" t="s">
        <v>2568</v>
      </c>
      <c r="D853" t="s">
        <v>2614</v>
      </c>
      <c r="E853">
        <f t="shared" si="14"/>
        <v>1</v>
      </c>
    </row>
    <row r="854" spans="2:5" hidden="1" x14ac:dyDescent="0.35">
      <c r="B854" t="s">
        <v>1020</v>
      </c>
      <c r="C854" t="s">
        <v>2415</v>
      </c>
      <c r="D854" t="s">
        <v>2614</v>
      </c>
      <c r="E854">
        <f t="shared" si="14"/>
        <v>1</v>
      </c>
    </row>
    <row r="855" spans="2:5" hidden="1" x14ac:dyDescent="0.35">
      <c r="B855" t="s">
        <v>1021</v>
      </c>
      <c r="C855" t="s">
        <v>2416</v>
      </c>
      <c r="D855" t="s">
        <v>2614</v>
      </c>
      <c r="E855">
        <f t="shared" si="14"/>
        <v>1</v>
      </c>
    </row>
    <row r="856" spans="2:5" hidden="1" x14ac:dyDescent="0.35">
      <c r="B856" t="s">
        <v>1022</v>
      </c>
      <c r="C856" t="s">
        <v>2717</v>
      </c>
      <c r="D856" t="s">
        <v>2614</v>
      </c>
      <c r="E856">
        <f t="shared" si="14"/>
        <v>1</v>
      </c>
    </row>
    <row r="857" spans="2:5" hidden="1" x14ac:dyDescent="0.35">
      <c r="B857" t="s">
        <v>1023</v>
      </c>
      <c r="C857" t="s">
        <v>2697</v>
      </c>
      <c r="D857" t="s">
        <v>2614</v>
      </c>
      <c r="E857">
        <f t="shared" si="14"/>
        <v>1</v>
      </c>
    </row>
    <row r="858" spans="2:5" hidden="1" x14ac:dyDescent="0.35">
      <c r="B858" t="s">
        <v>1024</v>
      </c>
      <c r="C858" t="s">
        <v>2417</v>
      </c>
      <c r="D858" t="s">
        <v>2614</v>
      </c>
      <c r="E858">
        <f t="shared" si="14"/>
        <v>1</v>
      </c>
    </row>
    <row r="859" spans="2:5" hidden="1" x14ac:dyDescent="0.35">
      <c r="B859" t="s">
        <v>1025</v>
      </c>
      <c r="C859" t="s">
        <v>2718</v>
      </c>
      <c r="D859" t="s">
        <v>2614</v>
      </c>
      <c r="E859">
        <f t="shared" si="14"/>
        <v>1</v>
      </c>
    </row>
    <row r="860" spans="2:5" hidden="1" x14ac:dyDescent="0.35">
      <c r="B860" t="s">
        <v>1026</v>
      </c>
      <c r="C860" t="s">
        <v>2719</v>
      </c>
      <c r="D860" t="s">
        <v>2614</v>
      </c>
      <c r="E860">
        <f t="shared" si="14"/>
        <v>1</v>
      </c>
    </row>
    <row r="861" spans="2:5" hidden="1" x14ac:dyDescent="0.35">
      <c r="B861" t="s">
        <v>1027</v>
      </c>
      <c r="C861" t="s">
        <v>2418</v>
      </c>
      <c r="D861" t="s">
        <v>2614</v>
      </c>
      <c r="E861">
        <f t="shared" si="14"/>
        <v>1</v>
      </c>
    </row>
    <row r="862" spans="2:5" hidden="1" x14ac:dyDescent="0.35">
      <c r="B862" t="s">
        <v>1028</v>
      </c>
      <c r="C862" t="s">
        <v>2419</v>
      </c>
      <c r="D862" t="s">
        <v>2614</v>
      </c>
      <c r="E862">
        <f t="shared" si="14"/>
        <v>1</v>
      </c>
    </row>
    <row r="863" spans="2:5" hidden="1" x14ac:dyDescent="0.35">
      <c r="B863" t="s">
        <v>1029</v>
      </c>
      <c r="C863" t="s">
        <v>2420</v>
      </c>
      <c r="D863" t="s">
        <v>2614</v>
      </c>
      <c r="E863">
        <f t="shared" si="14"/>
        <v>1</v>
      </c>
    </row>
    <row r="864" spans="2:5" hidden="1" x14ac:dyDescent="0.35">
      <c r="B864" t="s">
        <v>1030</v>
      </c>
      <c r="C864" t="s">
        <v>2421</v>
      </c>
      <c r="D864" s="43" t="s">
        <v>2615</v>
      </c>
      <c r="E864">
        <f t="shared" si="14"/>
        <v>1</v>
      </c>
    </row>
    <row r="865" spans="2:5" hidden="1" x14ac:dyDescent="0.35">
      <c r="B865" t="s">
        <v>1032</v>
      </c>
      <c r="C865" t="s">
        <v>1032</v>
      </c>
      <c r="D865" s="43" t="s">
        <v>2615</v>
      </c>
      <c r="E865">
        <f t="shared" si="14"/>
        <v>1</v>
      </c>
    </row>
    <row r="866" spans="2:5" hidden="1" x14ac:dyDescent="0.35">
      <c r="B866" t="s">
        <v>1033</v>
      </c>
      <c r="C866" t="s">
        <v>2422</v>
      </c>
      <c r="D866" s="43" t="s">
        <v>2615</v>
      </c>
      <c r="E866">
        <f t="shared" si="14"/>
        <v>1</v>
      </c>
    </row>
    <row r="867" spans="2:5" hidden="1" x14ac:dyDescent="0.35">
      <c r="B867" t="s">
        <v>1034</v>
      </c>
      <c r="C867" t="s">
        <v>2423</v>
      </c>
      <c r="D867" s="1" t="s">
        <v>2615</v>
      </c>
      <c r="E867">
        <f t="shared" si="14"/>
        <v>1</v>
      </c>
    </row>
    <row r="868" spans="2:5" hidden="1" x14ac:dyDescent="0.35">
      <c r="B868" t="s">
        <v>1036</v>
      </c>
      <c r="C868" t="s">
        <v>2424</v>
      </c>
      <c r="D868" s="1" t="s">
        <v>2614</v>
      </c>
      <c r="E868">
        <f t="shared" si="14"/>
        <v>1</v>
      </c>
    </row>
    <row r="869" spans="2:5" hidden="1" x14ac:dyDescent="0.35">
      <c r="B869" t="s">
        <v>1037</v>
      </c>
      <c r="C869" t="s">
        <v>2425</v>
      </c>
      <c r="D869" s="1" t="s">
        <v>2614</v>
      </c>
      <c r="E869">
        <f t="shared" si="14"/>
        <v>1</v>
      </c>
    </row>
    <row r="870" spans="2:5" hidden="1" x14ac:dyDescent="0.35">
      <c r="B870" t="s">
        <v>1038</v>
      </c>
      <c r="C870" t="s">
        <v>2426</v>
      </c>
      <c r="D870" s="1" t="s">
        <v>2614</v>
      </c>
      <c r="E870">
        <f t="shared" si="14"/>
        <v>1</v>
      </c>
    </row>
    <row r="871" spans="2:5" hidden="1" x14ac:dyDescent="0.35">
      <c r="B871" t="s">
        <v>1039</v>
      </c>
      <c r="C871" t="s">
        <v>2427</v>
      </c>
      <c r="D871" s="1" t="s">
        <v>2614</v>
      </c>
      <c r="E871">
        <f t="shared" si="14"/>
        <v>1</v>
      </c>
    </row>
    <row r="872" spans="2:5" hidden="1" x14ac:dyDescent="0.35">
      <c r="B872" t="s">
        <v>1040</v>
      </c>
      <c r="C872" t="s">
        <v>2428</v>
      </c>
      <c r="D872" s="1" t="s">
        <v>2614</v>
      </c>
      <c r="E872">
        <f t="shared" si="14"/>
        <v>1</v>
      </c>
    </row>
    <row r="873" spans="2:5" hidden="1" x14ac:dyDescent="0.35">
      <c r="B873" t="s">
        <v>1041</v>
      </c>
      <c r="C873" t="s">
        <v>2429</v>
      </c>
      <c r="D873" s="1" t="s">
        <v>2615</v>
      </c>
      <c r="E873">
        <f t="shared" si="14"/>
        <v>1</v>
      </c>
    </row>
    <row r="874" spans="2:5" hidden="1" x14ac:dyDescent="0.35">
      <c r="B874" t="s">
        <v>1042</v>
      </c>
      <c r="C874" t="s">
        <v>2430</v>
      </c>
      <c r="D874" s="1" t="s">
        <v>2615</v>
      </c>
      <c r="E874">
        <f t="shared" si="14"/>
        <v>1</v>
      </c>
    </row>
    <row r="875" spans="2:5" hidden="1" x14ac:dyDescent="0.35">
      <c r="B875" t="s">
        <v>1043</v>
      </c>
      <c r="C875" t="s">
        <v>2431</v>
      </c>
      <c r="D875" s="1" t="s">
        <v>2615</v>
      </c>
      <c r="E875">
        <f t="shared" si="14"/>
        <v>1</v>
      </c>
    </row>
    <row r="876" spans="2:5" hidden="1" x14ac:dyDescent="0.35">
      <c r="B876" t="s">
        <v>1044</v>
      </c>
      <c r="C876" t="s">
        <v>2432</v>
      </c>
      <c r="D876" s="1" t="s">
        <v>2615</v>
      </c>
      <c r="E876">
        <f t="shared" si="14"/>
        <v>1</v>
      </c>
    </row>
    <row r="877" spans="2:5" hidden="1" x14ac:dyDescent="0.35">
      <c r="B877" t="s">
        <v>1045</v>
      </c>
      <c r="C877" t="s">
        <v>2433</v>
      </c>
      <c r="D877" s="1" t="s">
        <v>2615</v>
      </c>
      <c r="E877">
        <f t="shared" si="14"/>
        <v>1</v>
      </c>
    </row>
    <row r="878" spans="2:5" hidden="1" x14ac:dyDescent="0.35">
      <c r="B878" t="s">
        <v>1046</v>
      </c>
      <c r="C878" t="s">
        <v>2434</v>
      </c>
      <c r="D878" s="1" t="s">
        <v>2614</v>
      </c>
      <c r="E878">
        <f t="shared" si="14"/>
        <v>1</v>
      </c>
    </row>
    <row r="879" spans="2:5" hidden="1" x14ac:dyDescent="0.35">
      <c r="B879" t="s">
        <v>1047</v>
      </c>
      <c r="C879" t="s">
        <v>2435</v>
      </c>
      <c r="D879" s="1" t="s">
        <v>2614</v>
      </c>
      <c r="E879">
        <f t="shared" si="14"/>
        <v>1</v>
      </c>
    </row>
    <row r="880" spans="2:5" hidden="1" x14ac:dyDescent="0.35">
      <c r="B880" t="s">
        <v>1048</v>
      </c>
      <c r="C880" t="s">
        <v>2436</v>
      </c>
      <c r="D880" s="1" t="s">
        <v>2614</v>
      </c>
      <c r="E880">
        <f t="shared" si="14"/>
        <v>1</v>
      </c>
    </row>
    <row r="881" spans="2:5" hidden="1" x14ac:dyDescent="0.35">
      <c r="B881" t="s">
        <v>1049</v>
      </c>
      <c r="C881" t="s">
        <v>2567</v>
      </c>
      <c r="D881" s="1" t="s">
        <v>2614</v>
      </c>
      <c r="E881">
        <f t="shared" si="14"/>
        <v>1</v>
      </c>
    </row>
    <row r="882" spans="2:5" hidden="1" x14ac:dyDescent="0.35">
      <c r="B882" t="s">
        <v>1050</v>
      </c>
      <c r="C882" t="s">
        <v>2471</v>
      </c>
      <c r="D882" s="1" t="s">
        <v>2614</v>
      </c>
      <c r="E882">
        <f t="shared" si="14"/>
        <v>1</v>
      </c>
    </row>
    <row r="883" spans="2:5" hidden="1" x14ac:dyDescent="0.35">
      <c r="B883" t="s">
        <v>1051</v>
      </c>
      <c r="C883" t="s">
        <v>2696</v>
      </c>
      <c r="D883" s="1" t="s">
        <v>2614</v>
      </c>
      <c r="E883">
        <f t="shared" si="14"/>
        <v>1</v>
      </c>
    </row>
    <row r="884" spans="2:5" hidden="1" x14ac:dyDescent="0.35">
      <c r="B884" t="s">
        <v>1052</v>
      </c>
      <c r="C884" t="s">
        <v>2698</v>
      </c>
      <c r="D884" s="1" t="s">
        <v>2614</v>
      </c>
      <c r="E884">
        <f t="shared" si="14"/>
        <v>1</v>
      </c>
    </row>
    <row r="885" spans="2:5" hidden="1" x14ac:dyDescent="0.35">
      <c r="B885" t="s">
        <v>1053</v>
      </c>
      <c r="C885" t="s">
        <v>1053</v>
      </c>
      <c r="D885" s="1" t="s">
        <v>2614</v>
      </c>
      <c r="E885">
        <f t="shared" si="14"/>
        <v>1</v>
      </c>
    </row>
    <row r="886" spans="2:5" hidden="1" x14ac:dyDescent="0.35">
      <c r="B886" t="s">
        <v>1054</v>
      </c>
      <c r="C886" t="s">
        <v>2437</v>
      </c>
      <c r="D886" s="1" t="s">
        <v>2615</v>
      </c>
      <c r="E886">
        <f t="shared" si="14"/>
        <v>1</v>
      </c>
    </row>
    <row r="887" spans="2:5" hidden="1" x14ac:dyDescent="0.35">
      <c r="B887" t="s">
        <v>1055</v>
      </c>
      <c r="C887" t="s">
        <v>2695</v>
      </c>
      <c r="D887" s="1" t="s">
        <v>2614</v>
      </c>
      <c r="E887">
        <f t="shared" si="14"/>
        <v>1</v>
      </c>
    </row>
    <row r="888" spans="2:5" hidden="1" x14ac:dyDescent="0.35">
      <c r="B888" t="s">
        <v>1056</v>
      </c>
      <c r="C888" t="s">
        <v>2438</v>
      </c>
      <c r="D888" t="s">
        <v>2614</v>
      </c>
      <c r="E888">
        <f t="shared" si="14"/>
        <v>1</v>
      </c>
    </row>
    <row r="889" spans="2:5" hidden="1" x14ac:dyDescent="0.35">
      <c r="B889" t="s">
        <v>1057</v>
      </c>
      <c r="C889" t="s">
        <v>2439</v>
      </c>
      <c r="D889" s="1" t="s">
        <v>2614</v>
      </c>
      <c r="E889">
        <f t="shared" si="14"/>
        <v>1</v>
      </c>
    </row>
    <row r="890" spans="2:5" hidden="1" x14ac:dyDescent="0.35">
      <c r="B890" t="s">
        <v>1058</v>
      </c>
      <c r="C890" t="s">
        <v>2440</v>
      </c>
      <c r="D890" s="1" t="s">
        <v>2614</v>
      </c>
      <c r="E890">
        <f t="shared" si="14"/>
        <v>1</v>
      </c>
    </row>
    <row r="891" spans="2:5" hidden="1" x14ac:dyDescent="0.35">
      <c r="B891" t="s">
        <v>1059</v>
      </c>
      <c r="C891" t="s">
        <v>2441</v>
      </c>
      <c r="D891" t="s">
        <v>2614</v>
      </c>
      <c r="E891">
        <f t="shared" si="14"/>
        <v>1</v>
      </c>
    </row>
    <row r="892" spans="2:5" hidden="1" x14ac:dyDescent="0.35">
      <c r="B892" t="s">
        <v>1060</v>
      </c>
      <c r="C892" t="s">
        <v>2442</v>
      </c>
      <c r="D892" t="s">
        <v>2614</v>
      </c>
      <c r="E892">
        <f t="shared" si="14"/>
        <v>1</v>
      </c>
    </row>
    <row r="893" spans="2:5" hidden="1" x14ac:dyDescent="0.35">
      <c r="B893" t="s">
        <v>1061</v>
      </c>
      <c r="C893" t="s">
        <v>2443</v>
      </c>
      <c r="D893" s="1" t="s">
        <v>2614</v>
      </c>
      <c r="E893">
        <f t="shared" si="14"/>
        <v>1</v>
      </c>
    </row>
    <row r="894" spans="2:5" hidden="1" x14ac:dyDescent="0.35">
      <c r="B894" t="s">
        <v>1062</v>
      </c>
      <c r="C894" t="s">
        <v>2444</v>
      </c>
      <c r="D894" s="1" t="s">
        <v>2614</v>
      </c>
      <c r="E894">
        <f t="shared" si="14"/>
        <v>1</v>
      </c>
    </row>
    <row r="895" spans="2:5" hidden="1" x14ac:dyDescent="0.35">
      <c r="B895" t="s">
        <v>1063</v>
      </c>
      <c r="C895" t="s">
        <v>2445</v>
      </c>
      <c r="D895" s="1" t="s">
        <v>2614</v>
      </c>
      <c r="E895">
        <f t="shared" si="14"/>
        <v>1</v>
      </c>
    </row>
    <row r="896" spans="2:5" hidden="1" x14ac:dyDescent="0.35">
      <c r="B896" t="s">
        <v>1064</v>
      </c>
      <c r="C896" t="s">
        <v>2446</v>
      </c>
      <c r="D896" s="1" t="s">
        <v>2614</v>
      </c>
      <c r="E896">
        <f t="shared" si="14"/>
        <v>1</v>
      </c>
    </row>
    <row r="897" spans="1:5" hidden="1" x14ac:dyDescent="0.35">
      <c r="B897" t="s">
        <v>1065</v>
      </c>
      <c r="C897" t="s">
        <v>2447</v>
      </c>
      <c r="D897" s="1" t="s">
        <v>2614</v>
      </c>
      <c r="E897">
        <f t="shared" si="14"/>
        <v>1</v>
      </c>
    </row>
    <row r="898" spans="1:5" hidden="1" x14ac:dyDescent="0.35">
      <c r="B898" t="s">
        <v>1066</v>
      </c>
      <c r="C898" t="s">
        <v>1066</v>
      </c>
      <c r="D898" s="1" t="s">
        <v>2614</v>
      </c>
      <c r="E898">
        <f t="shared" si="14"/>
        <v>1</v>
      </c>
    </row>
    <row r="899" spans="1:5" hidden="1" x14ac:dyDescent="0.35">
      <c r="B899" t="s">
        <v>1067</v>
      </c>
      <c r="C899" t="s">
        <v>2448</v>
      </c>
      <c r="D899" s="1" t="s">
        <v>2614</v>
      </c>
      <c r="E899">
        <f t="shared" si="14"/>
        <v>1</v>
      </c>
    </row>
    <row r="900" spans="1:5" hidden="1" x14ac:dyDescent="0.35">
      <c r="B900" t="s">
        <v>1068</v>
      </c>
      <c r="C900" t="s">
        <v>2449</v>
      </c>
      <c r="D900" s="1" t="s">
        <v>2614</v>
      </c>
      <c r="E900">
        <f t="shared" si="14"/>
        <v>1</v>
      </c>
    </row>
    <row r="901" spans="1:5" x14ac:dyDescent="0.35">
      <c r="A901" s="1" t="s">
        <v>776</v>
      </c>
      <c r="B901" s="1" t="s">
        <v>1495</v>
      </c>
      <c r="C901" s="1" t="s">
        <v>1463</v>
      </c>
      <c r="D901" s="1" t="s">
        <v>2614</v>
      </c>
      <c r="E901">
        <f t="shared" si="14"/>
        <v>2</v>
      </c>
    </row>
    <row r="902" spans="1:5" hidden="1" x14ac:dyDescent="0.35">
      <c r="B902" t="s">
        <v>1070</v>
      </c>
      <c r="C902" t="s">
        <v>1070</v>
      </c>
      <c r="D902" s="1" t="s">
        <v>2614</v>
      </c>
      <c r="E902">
        <f t="shared" si="14"/>
        <v>1</v>
      </c>
    </row>
    <row r="903" spans="1:5" hidden="1" x14ac:dyDescent="0.35">
      <c r="B903" t="s">
        <v>1071</v>
      </c>
      <c r="C903" t="s">
        <v>2450</v>
      </c>
      <c r="D903" s="1" t="s">
        <v>2614</v>
      </c>
      <c r="E903">
        <f t="shared" si="14"/>
        <v>1</v>
      </c>
    </row>
    <row r="904" spans="1:5" hidden="1" x14ac:dyDescent="0.35">
      <c r="B904" t="s">
        <v>1072</v>
      </c>
      <c r="C904" t="s">
        <v>2451</v>
      </c>
      <c r="D904" s="1" t="s">
        <v>2614</v>
      </c>
      <c r="E904">
        <f t="shared" si="14"/>
        <v>1</v>
      </c>
    </row>
    <row r="905" spans="1:5" hidden="1" x14ac:dyDescent="0.35">
      <c r="B905" t="s">
        <v>1073</v>
      </c>
      <c r="C905" t="s">
        <v>2452</v>
      </c>
      <c r="D905" s="1" t="s">
        <v>2614</v>
      </c>
      <c r="E905">
        <f t="shared" si="14"/>
        <v>1</v>
      </c>
    </row>
    <row r="906" spans="1:5" hidden="1" x14ac:dyDescent="0.35">
      <c r="B906" t="s">
        <v>1074</v>
      </c>
      <c r="C906" t="s">
        <v>1993</v>
      </c>
      <c r="D906" s="1" t="s">
        <v>2614</v>
      </c>
      <c r="E906">
        <f t="shared" si="14"/>
        <v>1</v>
      </c>
    </row>
    <row r="907" spans="1:5" hidden="1" x14ac:dyDescent="0.35">
      <c r="B907" t="s">
        <v>1075</v>
      </c>
      <c r="C907" t="s">
        <v>2453</v>
      </c>
      <c r="D907" s="1" t="s">
        <v>2614</v>
      </c>
      <c r="E907">
        <f t="shared" si="14"/>
        <v>1</v>
      </c>
    </row>
    <row r="908" spans="1:5" x14ac:dyDescent="0.35">
      <c r="B908" t="s">
        <v>243</v>
      </c>
      <c r="C908" s="1" t="s">
        <v>1463</v>
      </c>
      <c r="D908" s="1" t="s">
        <v>2614</v>
      </c>
      <c r="E908">
        <f t="shared" si="14"/>
        <v>2</v>
      </c>
    </row>
    <row r="909" spans="1:5" hidden="1" x14ac:dyDescent="0.35">
      <c r="B909" t="s">
        <v>1077</v>
      </c>
      <c r="C909" t="s">
        <v>2454</v>
      </c>
      <c r="D909" s="1" t="s">
        <v>2614</v>
      </c>
      <c r="E909">
        <f t="shared" ref="E909:E926" si="15">COUNTIF(C:C,C909)</f>
        <v>1</v>
      </c>
    </row>
    <row r="910" spans="1:5" hidden="1" x14ac:dyDescent="0.35">
      <c r="B910" t="s">
        <v>1078</v>
      </c>
      <c r="C910" t="s">
        <v>2455</v>
      </c>
      <c r="D910" s="1" t="s">
        <v>2614</v>
      </c>
      <c r="E910">
        <f t="shared" si="15"/>
        <v>1</v>
      </c>
    </row>
    <row r="911" spans="1:5" hidden="1" x14ac:dyDescent="0.35">
      <c r="B911" t="s">
        <v>1079</v>
      </c>
      <c r="C911" t="s">
        <v>2456</v>
      </c>
      <c r="D911" s="1" t="s">
        <v>2614</v>
      </c>
      <c r="E911">
        <f t="shared" si="15"/>
        <v>1</v>
      </c>
    </row>
    <row r="912" spans="1:5" hidden="1" x14ac:dyDescent="0.35">
      <c r="B912" t="s">
        <v>1080</v>
      </c>
      <c r="C912" t="s">
        <v>1080</v>
      </c>
      <c r="D912" s="1" t="s">
        <v>2614</v>
      </c>
      <c r="E912">
        <f t="shared" si="15"/>
        <v>1</v>
      </c>
    </row>
    <row r="913" spans="1:5" hidden="1" x14ac:dyDescent="0.35">
      <c r="B913" t="s">
        <v>1081</v>
      </c>
      <c r="C913" t="s">
        <v>2457</v>
      </c>
      <c r="D913" s="1" t="s">
        <v>2614</v>
      </c>
      <c r="E913">
        <f t="shared" si="15"/>
        <v>1</v>
      </c>
    </row>
    <row r="914" spans="1:5" hidden="1" x14ac:dyDescent="0.35">
      <c r="B914" t="s">
        <v>1082</v>
      </c>
      <c r="C914" t="s">
        <v>2458</v>
      </c>
      <c r="D914" s="1" t="s">
        <v>2614</v>
      </c>
      <c r="E914">
        <f t="shared" si="15"/>
        <v>1</v>
      </c>
    </row>
    <row r="915" spans="1:5" hidden="1" x14ac:dyDescent="0.35">
      <c r="B915" t="s">
        <v>1083</v>
      </c>
      <c r="C915" t="s">
        <v>2459</v>
      </c>
      <c r="D915" s="1" t="s">
        <v>2614</v>
      </c>
      <c r="E915">
        <f t="shared" si="15"/>
        <v>1</v>
      </c>
    </row>
    <row r="916" spans="1:5" hidden="1" x14ac:dyDescent="0.35">
      <c r="B916" t="s">
        <v>1084</v>
      </c>
      <c r="C916" t="s">
        <v>2460</v>
      </c>
      <c r="D916" s="1" t="s">
        <v>2614</v>
      </c>
      <c r="E916">
        <f t="shared" si="15"/>
        <v>1</v>
      </c>
    </row>
    <row r="917" spans="1:5" hidden="1" x14ac:dyDescent="0.35">
      <c r="B917" t="s">
        <v>1085</v>
      </c>
      <c r="C917" t="s">
        <v>2461</v>
      </c>
      <c r="D917" s="1" t="s">
        <v>2614</v>
      </c>
      <c r="E917">
        <f t="shared" si="15"/>
        <v>1</v>
      </c>
    </row>
    <row r="918" spans="1:5" hidden="1" x14ac:dyDescent="0.35">
      <c r="B918" t="s">
        <v>1086</v>
      </c>
      <c r="C918" t="s">
        <v>2462</v>
      </c>
      <c r="D918" s="1" t="s">
        <v>2614</v>
      </c>
      <c r="E918">
        <f t="shared" si="15"/>
        <v>1</v>
      </c>
    </row>
    <row r="919" spans="1:5" hidden="1" x14ac:dyDescent="0.35">
      <c r="B919" t="s">
        <v>1087</v>
      </c>
      <c r="C919" t="s">
        <v>1087</v>
      </c>
      <c r="D919" s="1" t="s">
        <v>2614</v>
      </c>
      <c r="E919">
        <f t="shared" si="15"/>
        <v>1</v>
      </c>
    </row>
    <row r="920" spans="1:5" hidden="1" x14ac:dyDescent="0.35">
      <c r="B920" t="s">
        <v>1088</v>
      </c>
      <c r="C920" t="s">
        <v>2463</v>
      </c>
      <c r="D920" s="1" t="s">
        <v>2614</v>
      </c>
      <c r="E920">
        <f t="shared" si="15"/>
        <v>1</v>
      </c>
    </row>
    <row r="921" spans="1:5" hidden="1" x14ac:dyDescent="0.35">
      <c r="A921" s="1"/>
      <c r="B921" s="1" t="s">
        <v>138</v>
      </c>
      <c r="C921" s="43" t="s">
        <v>2304</v>
      </c>
      <c r="D921" s="43" t="s">
        <v>2614</v>
      </c>
      <c r="E921">
        <f t="shared" si="15"/>
        <v>1</v>
      </c>
    </row>
    <row r="922" spans="1:5" hidden="1" x14ac:dyDescent="0.35">
      <c r="A922" s="1"/>
      <c r="B922" s="1" t="s">
        <v>139</v>
      </c>
      <c r="C922" s="43" t="s">
        <v>2305</v>
      </c>
      <c r="D922" s="43" t="s">
        <v>2614</v>
      </c>
      <c r="E922">
        <f t="shared" si="15"/>
        <v>1</v>
      </c>
    </row>
    <row r="923" spans="1:5" hidden="1" x14ac:dyDescent="0.35">
      <c r="B923" s="47" t="s">
        <v>408</v>
      </c>
      <c r="C923" t="s">
        <v>2584</v>
      </c>
      <c r="D923" s="1" t="s">
        <v>2614</v>
      </c>
      <c r="E923">
        <f t="shared" si="15"/>
        <v>1</v>
      </c>
    </row>
    <row r="924" spans="1:5" hidden="1" x14ac:dyDescent="0.35">
      <c r="B924" s="47" t="s">
        <v>554</v>
      </c>
      <c r="C924" t="s">
        <v>2585</v>
      </c>
      <c r="D924" s="1" t="s">
        <v>2614</v>
      </c>
      <c r="E924">
        <f t="shared" si="15"/>
        <v>1</v>
      </c>
    </row>
    <row r="925" spans="1:5" hidden="1" x14ac:dyDescent="0.35">
      <c r="B925" s="47" t="s">
        <v>770</v>
      </c>
      <c r="C925" s="1" t="s">
        <v>2586</v>
      </c>
      <c r="D925" s="1" t="s">
        <v>2614</v>
      </c>
      <c r="E925">
        <f t="shared" si="15"/>
        <v>1</v>
      </c>
    </row>
    <row r="926" spans="1:5" hidden="1" x14ac:dyDescent="0.35">
      <c r="B926" s="47" t="s">
        <v>771</v>
      </c>
      <c r="C926" s="1" t="s">
        <v>1676</v>
      </c>
      <c r="D926" s="1" t="s">
        <v>2614</v>
      </c>
      <c r="E926">
        <f t="shared" si="15"/>
        <v>1</v>
      </c>
    </row>
  </sheetData>
  <autoFilter ref="A1:E926" xr:uid="{02CB4924-9029-4808-9A3A-5AF0D511D71C}">
    <filterColumn colId="2">
      <filters>
        <filter val="Traineeship starts"/>
      </filters>
    </filterColumn>
  </autoFilter>
  <sortState xmlns:xlrd2="http://schemas.microsoft.com/office/spreadsheetml/2017/richdata2" ref="A1:C725">
    <sortCondition ref="A2:A725"/>
    <sortCondition ref="B2:B725"/>
    <sortCondition ref="C2:C725"/>
  </sortState>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FC744-80BE-4CEF-831E-184E59B672DF}">
  <sheetPr codeName="Sheet5"/>
  <dimension ref="A2:HJ83"/>
  <sheetViews>
    <sheetView zoomScale="81" zoomScaleNormal="81" workbookViewId="0">
      <pane xSplit="3" ySplit="2" topLeftCell="D79" activePane="bottomRight" state="frozen"/>
      <selection pane="topRight" activeCell="D1" sqref="D1"/>
      <selection pane="bottomLeft" activeCell="A3" sqref="A3"/>
      <selection pane="bottomRight" activeCell="A84" sqref="A84:A85"/>
    </sheetView>
  </sheetViews>
  <sheetFormatPr defaultColWidth="8.7265625" defaultRowHeight="14.5" x14ac:dyDescent="0.35"/>
  <cols>
    <col min="1" max="1" width="8.7265625" style="1"/>
    <col min="2" max="2" width="11.1796875" style="1" customWidth="1"/>
    <col min="3" max="3" width="13.54296875" style="1" customWidth="1"/>
    <col min="4" max="10" width="8.7265625" style="1"/>
    <col min="11" max="11" width="7.453125" style="1" customWidth="1"/>
    <col min="12" max="15" width="8.7265625" style="1"/>
    <col min="16" max="16" width="6.1796875" style="1" customWidth="1"/>
    <col min="17" max="17" width="6" style="1" customWidth="1"/>
    <col min="18" max="22" width="8.7265625" style="1"/>
    <col min="23" max="24" width="7.54296875" style="1" customWidth="1"/>
    <col min="25" max="25" width="11.7265625" style="1" customWidth="1"/>
    <col min="26" max="26" width="8.7265625" style="1"/>
    <col min="27" max="27" width="7.81640625" style="1" customWidth="1"/>
    <col min="28" max="28" width="4.54296875" style="1" bestFit="1" customWidth="1"/>
    <col min="29" max="30" width="4.54296875" style="1" customWidth="1"/>
    <col min="31" max="32" width="7.1796875" style="1" customWidth="1"/>
    <col min="33" max="34" width="8.7265625" style="1"/>
    <col min="35" max="35" width="5.7265625" style="1" customWidth="1"/>
    <col min="36" max="38" width="8.7265625" style="1"/>
    <col min="39" max="39" width="5.1796875" style="1" customWidth="1"/>
    <col min="40" max="40" width="5.26953125" style="1" customWidth="1"/>
    <col min="41" max="42" width="5.81640625" style="1" customWidth="1"/>
    <col min="43" max="43" width="5.1796875" style="1" customWidth="1"/>
    <col min="44" max="46" width="5" style="1" customWidth="1"/>
    <col min="47" max="48" width="7.54296875" style="1" customWidth="1"/>
    <col min="49" max="49" width="5.26953125" style="1" customWidth="1"/>
    <col min="50" max="51" width="8.81640625" style="1" customWidth="1"/>
    <col min="52" max="56" width="8.7265625" style="1"/>
    <col min="57" max="59" width="10" style="1" customWidth="1"/>
    <col min="60" max="60" width="5" style="1" customWidth="1"/>
    <col min="61" max="61" width="10" style="1" customWidth="1"/>
    <col min="62" max="62" width="6.453125" style="1" bestFit="1" customWidth="1"/>
    <col min="63" max="63" width="7" style="1" bestFit="1" customWidth="1"/>
    <col min="64" max="66" width="8.7265625" style="1"/>
    <col min="67" max="68" width="6.81640625" style="1" customWidth="1"/>
    <col min="69" max="69" width="6" style="1" customWidth="1"/>
    <col min="70" max="72" width="11.54296875" style="1" customWidth="1"/>
    <col min="73" max="73" width="10.1796875" style="1" customWidth="1"/>
    <col min="74" max="77" width="8.7265625" style="1"/>
    <col min="78" max="78" width="10.1796875" style="1" customWidth="1"/>
    <col min="79" max="79" width="12.453125" style="1" customWidth="1"/>
    <col min="80" max="80" width="7.26953125" style="1" customWidth="1"/>
    <col min="81" max="81" width="7.54296875" style="1" customWidth="1"/>
    <col min="82" max="82" width="5.453125" style="1" bestFit="1" customWidth="1"/>
    <col min="83" max="83" width="8.1796875" style="1" customWidth="1"/>
    <col min="84" max="86" width="8.7265625" style="1"/>
    <col min="87" max="87" width="10.54296875" style="1" customWidth="1"/>
    <col min="88" max="91" width="8.7265625" style="1"/>
    <col min="92" max="92" width="10.1796875" style="1" customWidth="1"/>
    <col min="93" max="98" width="9.1796875" style="1" customWidth="1"/>
    <col min="99" max="105" width="8.7265625" style="1"/>
    <col min="106" max="108" width="9.81640625" style="1" customWidth="1"/>
    <col min="109" max="109" width="8.7265625" style="1"/>
    <col min="110" max="110" width="5.7265625" style="1" customWidth="1"/>
    <col min="111" max="111" width="8.7265625" style="1"/>
    <col min="112" max="112" width="5.7265625" style="1" customWidth="1"/>
    <col min="113" max="115" width="8.7265625" style="1"/>
    <col min="116" max="116" width="6.1796875" style="1" customWidth="1"/>
    <col min="117" max="117" width="8.7265625" style="1"/>
    <col min="118" max="118" width="12.26953125" style="1" customWidth="1"/>
    <col min="119" max="133" width="8.7265625" style="1"/>
    <col min="134" max="134" width="5.54296875" style="1" customWidth="1"/>
    <col min="135" max="135" width="7.453125" style="1" customWidth="1"/>
    <col min="136" max="136" width="9.54296875" style="1" customWidth="1"/>
    <col min="137" max="137" width="6.26953125" style="1" customWidth="1"/>
    <col min="138" max="138" width="5.7265625" style="1" customWidth="1"/>
    <col min="139" max="139" width="7.7265625" style="1" customWidth="1"/>
    <col min="140" max="140" width="5.81640625" style="1" customWidth="1"/>
    <col min="141" max="141" width="5.26953125" style="1" customWidth="1"/>
    <col min="142" max="142" width="8.7265625" style="1"/>
    <col min="143" max="144" width="5.1796875" style="1" customWidth="1"/>
    <col min="145" max="145" width="8.26953125" style="1" customWidth="1"/>
    <col min="146" max="147" width="8.7265625" style="1"/>
    <col min="148" max="148" width="9.81640625" style="1" customWidth="1"/>
    <col min="149" max="151" width="8.7265625" style="1"/>
    <col min="152" max="152" width="7" style="1" customWidth="1"/>
    <col min="153" max="153" width="8" style="1" customWidth="1"/>
    <col min="154" max="154" width="7.54296875" style="1" customWidth="1"/>
    <col min="155" max="155" width="7.453125" style="1" customWidth="1"/>
    <col min="156" max="156" width="7.26953125" style="1" customWidth="1"/>
    <col min="157" max="157" width="7" style="1" customWidth="1"/>
    <col min="158" max="158" width="3.453125" style="1" customWidth="1"/>
    <col min="159" max="169" width="8.7265625" style="1"/>
    <col min="170" max="170" width="4.7265625" style="1" customWidth="1"/>
    <col min="171" max="171" width="4.54296875" style="1" customWidth="1"/>
    <col min="172" max="189" width="8.7265625" style="1"/>
    <col min="190" max="190" width="11.54296875" style="1" customWidth="1"/>
    <col min="191" max="192" width="8.7265625" style="1"/>
    <col min="193" max="193" width="10.1796875" style="1" customWidth="1"/>
    <col min="194" max="194" width="9.54296875" style="1" customWidth="1"/>
    <col min="195" max="16384" width="8.7265625" style="1"/>
  </cols>
  <sheetData>
    <row r="2" spans="1:217" ht="101.5" x14ac:dyDescent="0.35">
      <c r="B2" s="1" t="s">
        <v>136</v>
      </c>
      <c r="C2" s="1" t="s">
        <v>137</v>
      </c>
      <c r="D2" s="1" t="s">
        <v>138</v>
      </c>
      <c r="E2" s="1" t="s">
        <v>139</v>
      </c>
      <c r="F2" s="1" t="s">
        <v>140</v>
      </c>
      <c r="G2" s="1" t="s">
        <v>141</v>
      </c>
      <c r="H2" s="1" t="s">
        <v>142</v>
      </c>
      <c r="I2" s="1" t="s">
        <v>1207</v>
      </c>
      <c r="J2" s="1" t="s">
        <v>1208</v>
      </c>
      <c r="K2" s="1" t="s">
        <v>145</v>
      </c>
      <c r="L2" s="1" t="s">
        <v>146</v>
      </c>
      <c r="M2" s="1" t="s">
        <v>147</v>
      </c>
      <c r="N2" s="1" t="s">
        <v>148</v>
      </c>
      <c r="O2" s="1" t="s">
        <v>149</v>
      </c>
      <c r="P2" s="1" t="s">
        <v>150</v>
      </c>
      <c r="Q2" s="1" t="s">
        <v>151</v>
      </c>
      <c r="R2" s="1" t="s">
        <v>158</v>
      </c>
      <c r="S2" s="1" t="s">
        <v>159</v>
      </c>
      <c r="T2" s="1" t="s">
        <v>160</v>
      </c>
      <c r="U2" s="1" t="s">
        <v>161</v>
      </c>
      <c r="V2" s="1" t="s">
        <v>162</v>
      </c>
      <c r="W2" s="1" t="s">
        <v>163</v>
      </c>
      <c r="X2" s="1" t="s">
        <v>164</v>
      </c>
      <c r="Y2" s="1" t="s">
        <v>165</v>
      </c>
      <c r="Z2" s="1" t="s">
        <v>166</v>
      </c>
      <c r="AA2" s="1" t="s">
        <v>168</v>
      </c>
      <c r="AB2" s="1" t="s">
        <v>170</v>
      </c>
      <c r="AC2" s="1" t="s">
        <v>171</v>
      </c>
      <c r="AD2" s="1" t="s">
        <v>172</v>
      </c>
      <c r="AE2" s="1" t="s">
        <v>173</v>
      </c>
      <c r="AF2" s="1" t="s">
        <v>174</v>
      </c>
      <c r="AG2" s="1" t="s">
        <v>175</v>
      </c>
      <c r="AH2" s="1" t="s">
        <v>177</v>
      </c>
      <c r="AI2" s="1" t="s">
        <v>179</v>
      </c>
      <c r="AJ2" s="1" t="s">
        <v>180</v>
      </c>
      <c r="AK2" s="1" t="s">
        <v>181</v>
      </c>
      <c r="AL2" s="1" t="s">
        <v>182</v>
      </c>
      <c r="AM2" s="1" t="s">
        <v>183</v>
      </c>
      <c r="AN2" s="1" t="s">
        <v>184</v>
      </c>
      <c r="AO2" s="1" t="s">
        <v>185</v>
      </c>
      <c r="AP2" s="1" t="s">
        <v>188</v>
      </c>
      <c r="AQ2" s="1" t="s">
        <v>189</v>
      </c>
      <c r="AR2" s="1" t="s">
        <v>190</v>
      </c>
      <c r="AS2" s="1" t="s">
        <v>191</v>
      </c>
      <c r="AT2" s="1" t="s">
        <v>192</v>
      </c>
      <c r="AU2" s="1" t="s">
        <v>193</v>
      </c>
      <c r="AV2" s="1" t="s">
        <v>194</v>
      </c>
      <c r="AW2" s="1" t="s">
        <v>196</v>
      </c>
      <c r="AX2" s="1" t="s">
        <v>197</v>
      </c>
      <c r="AY2" s="1" t="s">
        <v>198</v>
      </c>
      <c r="AZ2" s="1" t="s">
        <v>200</v>
      </c>
      <c r="BA2" s="1" t="s">
        <v>204</v>
      </c>
      <c r="BB2" s="1" t="s">
        <v>205</v>
      </c>
      <c r="BC2" s="1" t="s">
        <v>206</v>
      </c>
      <c r="BD2" s="1" t="s">
        <v>212</v>
      </c>
      <c r="BE2" s="1" t="s">
        <v>213</v>
      </c>
      <c r="BF2" s="1" t="s">
        <v>214</v>
      </c>
      <c r="BG2" s="1" t="s">
        <v>215</v>
      </c>
      <c r="BH2" s="1" t="s">
        <v>216</v>
      </c>
      <c r="BI2" s="1" t="s">
        <v>217</v>
      </c>
      <c r="BJ2" s="1" t="s">
        <v>218</v>
      </c>
      <c r="BK2" s="1" t="s">
        <v>219</v>
      </c>
      <c r="BL2" s="1" t="s">
        <v>220</v>
      </c>
      <c r="BM2" s="1" t="s">
        <v>221</v>
      </c>
      <c r="BN2" s="1" t="s">
        <v>222</v>
      </c>
      <c r="BO2" s="1" t="s">
        <v>223</v>
      </c>
      <c r="BP2" s="1" t="s">
        <v>224</v>
      </c>
      <c r="BQ2" s="1" t="s">
        <v>225</v>
      </c>
      <c r="BR2" s="1" t="s">
        <v>226</v>
      </c>
      <c r="BS2" s="1" t="s">
        <v>227</v>
      </c>
      <c r="BT2" s="1" t="s">
        <v>228</v>
      </c>
      <c r="BU2" s="1" t="s">
        <v>229</v>
      </c>
      <c r="BV2" s="1" t="s">
        <v>230</v>
      </c>
      <c r="BW2" s="1" t="s">
        <v>231</v>
      </c>
      <c r="BX2" s="1" t="s">
        <v>232</v>
      </c>
      <c r="BY2" s="1" t="s">
        <v>233</v>
      </c>
      <c r="BZ2" s="1" t="s">
        <v>234</v>
      </c>
      <c r="CA2" s="1" t="s">
        <v>235</v>
      </c>
      <c r="CB2" s="1" t="s">
        <v>236</v>
      </c>
      <c r="CC2" s="1" t="s">
        <v>237</v>
      </c>
      <c r="CD2" s="1" t="s">
        <v>238</v>
      </c>
      <c r="CE2" s="1" t="s">
        <v>239</v>
      </c>
      <c r="CF2" s="1" t="s">
        <v>240</v>
      </c>
      <c r="CG2" s="1" t="s">
        <v>241</v>
      </c>
      <c r="CH2" s="1" t="s">
        <v>242</v>
      </c>
      <c r="CI2" s="1" t="s">
        <v>243</v>
      </c>
      <c r="CJ2" s="1" t="s">
        <v>244</v>
      </c>
      <c r="CK2" s="1" t="s">
        <v>245</v>
      </c>
      <c r="CL2" s="1" t="s">
        <v>246</v>
      </c>
      <c r="CM2" s="1" t="s">
        <v>247</v>
      </c>
      <c r="CN2" s="1" t="s">
        <v>248</v>
      </c>
      <c r="CO2" s="1" t="s">
        <v>249</v>
      </c>
      <c r="CP2" s="1" t="s">
        <v>250</v>
      </c>
      <c r="CQ2" s="1" t="s">
        <v>251</v>
      </c>
      <c r="CR2" s="1" t="s">
        <v>252</v>
      </c>
      <c r="CS2" s="1" t="s">
        <v>253</v>
      </c>
      <c r="CT2" s="1" t="s">
        <v>254</v>
      </c>
      <c r="CU2" s="1" t="s">
        <v>255</v>
      </c>
      <c r="CV2" s="1" t="s">
        <v>261</v>
      </c>
      <c r="CW2" s="1" t="s">
        <v>262</v>
      </c>
      <c r="CX2" s="1" t="s">
        <v>263</v>
      </c>
      <c r="CY2" s="1" t="s">
        <v>264</v>
      </c>
      <c r="CZ2" s="1" t="s">
        <v>265</v>
      </c>
      <c r="DA2" s="1" t="s">
        <v>267</v>
      </c>
      <c r="DB2" s="1" t="s">
        <v>326</v>
      </c>
      <c r="DC2" s="1" t="s">
        <v>269</v>
      </c>
      <c r="DD2" s="1" t="s">
        <v>270</v>
      </c>
      <c r="DE2" s="1" t="s">
        <v>271</v>
      </c>
      <c r="DF2" s="1" t="s">
        <v>272</v>
      </c>
      <c r="DG2" s="1" t="s">
        <v>273</v>
      </c>
      <c r="DH2" s="1" t="s">
        <v>274</v>
      </c>
      <c r="DI2" s="1" t="s">
        <v>275</v>
      </c>
      <c r="DJ2" s="1" t="s">
        <v>276</v>
      </c>
      <c r="DK2" s="1" t="s">
        <v>277</v>
      </c>
      <c r="DL2" s="1" t="s">
        <v>278</v>
      </c>
      <c r="DM2" s="1" t="s">
        <v>279</v>
      </c>
      <c r="DN2" s="1" t="s">
        <v>280</v>
      </c>
      <c r="DO2" s="1" t="s">
        <v>281</v>
      </c>
      <c r="DP2" s="1" t="s">
        <v>282</v>
      </c>
      <c r="DQ2" s="1" t="s">
        <v>283</v>
      </c>
      <c r="DR2" s="1" t="s">
        <v>284</v>
      </c>
      <c r="DS2" s="1" t="s">
        <v>291</v>
      </c>
      <c r="DT2" s="1" t="s">
        <v>292</v>
      </c>
      <c r="DU2" s="1" t="s">
        <v>293</v>
      </c>
      <c r="DV2" s="1" t="s">
        <v>294</v>
      </c>
      <c r="DW2" s="1" t="s">
        <v>295</v>
      </c>
      <c r="DX2" s="1" t="s">
        <v>296</v>
      </c>
      <c r="DY2" s="1" t="s">
        <v>297</v>
      </c>
      <c r="DZ2" s="1" t="s">
        <v>298</v>
      </c>
      <c r="EA2" s="1" t="s">
        <v>299</v>
      </c>
      <c r="EB2" s="1" t="s">
        <v>300</v>
      </c>
      <c r="EC2" s="1" t="s">
        <v>301</v>
      </c>
      <c r="ED2" s="1" t="s">
        <v>302</v>
      </c>
      <c r="EE2" s="1" t="s">
        <v>303</v>
      </c>
      <c r="EF2" s="1" t="s">
        <v>304</v>
      </c>
      <c r="EG2" s="1" t="s">
        <v>309</v>
      </c>
      <c r="EH2" s="1" t="s">
        <v>310</v>
      </c>
      <c r="EI2" s="1" t="s">
        <v>311</v>
      </c>
      <c r="EJ2" s="1" t="s">
        <v>312</v>
      </c>
      <c r="EK2" s="1" t="s">
        <v>313</v>
      </c>
      <c r="EL2" s="1" t="s">
        <v>314</v>
      </c>
      <c r="EM2" s="1" t="s">
        <v>315</v>
      </c>
      <c r="EN2" s="1" t="s">
        <v>316</v>
      </c>
      <c r="EO2" s="1" t="s">
        <v>317</v>
      </c>
      <c r="EP2" s="1" t="s">
        <v>318</v>
      </c>
      <c r="EQ2" s="1" t="s">
        <v>319</v>
      </c>
      <c r="ER2" s="1" t="s">
        <v>320</v>
      </c>
      <c r="ES2" s="1" t="s">
        <v>321</v>
      </c>
      <c r="ET2" s="1" t="s">
        <v>322</v>
      </c>
      <c r="EU2" s="1" t="s">
        <v>323</v>
      </c>
      <c r="EV2" s="1" t="s">
        <v>326</v>
      </c>
      <c r="EW2" s="1" t="s">
        <v>327</v>
      </c>
      <c r="EX2" s="1" t="s">
        <v>328</v>
      </c>
      <c r="EY2" s="1" t="s">
        <v>329</v>
      </c>
      <c r="EZ2" s="1" t="s">
        <v>330</v>
      </c>
      <c r="FA2" s="1" t="s">
        <v>331</v>
      </c>
      <c r="FB2" s="1" t="s">
        <v>332</v>
      </c>
      <c r="FC2" s="1" t="s">
        <v>335</v>
      </c>
      <c r="FD2" s="1" t="s">
        <v>336</v>
      </c>
      <c r="FE2" s="1" t="s">
        <v>339</v>
      </c>
      <c r="FF2" s="1" t="s">
        <v>343</v>
      </c>
      <c r="FG2" s="1" t="s">
        <v>344</v>
      </c>
      <c r="FH2" s="1" t="s">
        <v>345</v>
      </c>
      <c r="FI2" s="1" t="s">
        <v>346</v>
      </c>
      <c r="FJ2" s="1" t="s">
        <v>347</v>
      </c>
      <c r="FK2" s="1" t="s">
        <v>348</v>
      </c>
      <c r="FL2" s="1" t="s">
        <v>349</v>
      </c>
      <c r="FM2" s="1" t="s">
        <v>350</v>
      </c>
      <c r="FN2" s="1" t="s">
        <v>351</v>
      </c>
      <c r="FO2" s="1" t="s">
        <v>352</v>
      </c>
      <c r="FP2" s="1" t="s">
        <v>353</v>
      </c>
      <c r="FQ2" s="1" t="s">
        <v>354</v>
      </c>
      <c r="FR2" s="1" t="s">
        <v>355</v>
      </c>
      <c r="FS2" s="1" t="s">
        <v>356</v>
      </c>
      <c r="FT2" s="1" t="s">
        <v>357</v>
      </c>
      <c r="FU2" s="1" t="s">
        <v>358</v>
      </c>
      <c r="FV2" s="1" t="s">
        <v>359</v>
      </c>
      <c r="FW2" s="1" t="s">
        <v>360</v>
      </c>
      <c r="FX2" s="1" t="s">
        <v>361</v>
      </c>
      <c r="FY2" s="1" t="s">
        <v>362</v>
      </c>
      <c r="FZ2" s="1" t="s">
        <v>363</v>
      </c>
      <c r="GA2" s="1" t="s">
        <v>364</v>
      </c>
      <c r="GB2" s="1" t="s">
        <v>365</v>
      </c>
      <c r="GC2" s="1" t="s">
        <v>366</v>
      </c>
      <c r="GD2" s="1" t="s">
        <v>367</v>
      </c>
      <c r="GE2" s="1" t="s">
        <v>368</v>
      </c>
      <c r="GF2" s="1" t="s">
        <v>369</v>
      </c>
      <c r="GG2" s="1" t="s">
        <v>370</v>
      </c>
      <c r="GH2" s="1" t="s">
        <v>371</v>
      </c>
      <c r="GI2" s="1" t="s">
        <v>372</v>
      </c>
      <c r="GJ2" s="1" t="s">
        <v>373</v>
      </c>
      <c r="GK2" s="1" t="s">
        <v>374</v>
      </c>
      <c r="GL2" s="1" t="s">
        <v>375</v>
      </c>
      <c r="GM2" s="1" t="s">
        <v>376</v>
      </c>
      <c r="GN2" s="1" t="s">
        <v>377</v>
      </c>
      <c r="GO2" s="1" t="s">
        <v>378</v>
      </c>
      <c r="GP2" s="1" t="s">
        <v>379</v>
      </c>
      <c r="GQ2" s="1" t="s">
        <v>380</v>
      </c>
      <c r="GR2" s="1" t="s">
        <v>382</v>
      </c>
      <c r="GS2" s="1" t="s">
        <v>383</v>
      </c>
      <c r="GT2" s="1" t="s">
        <v>384</v>
      </c>
      <c r="GU2" s="1" t="s">
        <v>385</v>
      </c>
      <c r="GV2" s="1" t="s">
        <v>386</v>
      </c>
      <c r="GW2" s="1" t="s">
        <v>387</v>
      </c>
      <c r="GX2" s="1" t="s">
        <v>388</v>
      </c>
      <c r="GY2" s="1" t="s">
        <v>389</v>
      </c>
      <c r="GZ2" s="1" t="s">
        <v>390</v>
      </c>
      <c r="HA2" s="1" t="s">
        <v>391</v>
      </c>
      <c r="HB2" s="1" t="s">
        <v>392</v>
      </c>
      <c r="HC2" s="1" t="s">
        <v>608</v>
      </c>
      <c r="HD2" s="1" t="s">
        <v>610</v>
      </c>
      <c r="HE2" s="1" t="s">
        <v>611</v>
      </c>
      <c r="HF2" s="1" t="s">
        <v>612</v>
      </c>
      <c r="HG2" s="1" t="s">
        <v>613</v>
      </c>
      <c r="HH2" s="1" t="s">
        <v>614</v>
      </c>
      <c r="HI2" s="1" t="s">
        <v>615</v>
      </c>
    </row>
    <row r="3" spans="1:217" ht="87" x14ac:dyDescent="0.35">
      <c r="A3" s="1" t="s">
        <v>776</v>
      </c>
      <c r="B3" s="1" t="s">
        <v>24</v>
      </c>
      <c r="C3" s="1" t="s">
        <v>777</v>
      </c>
      <c r="D3" s="1" t="s">
        <v>778</v>
      </c>
      <c r="E3" s="1" t="s">
        <v>778</v>
      </c>
      <c r="F3" s="1" t="s">
        <v>778</v>
      </c>
      <c r="G3" s="1" t="s">
        <v>778</v>
      </c>
      <c r="H3" s="1" t="s">
        <v>778</v>
      </c>
      <c r="AB3" s="1" t="s">
        <v>778</v>
      </c>
      <c r="AH3" s="1" t="s">
        <v>778</v>
      </c>
      <c r="AI3" s="1" t="s">
        <v>778</v>
      </c>
      <c r="AN3" s="1" t="s">
        <v>778</v>
      </c>
      <c r="AO3"/>
      <c r="AP3"/>
      <c r="AQ3"/>
      <c r="AW3" s="1" t="s">
        <v>778</v>
      </c>
      <c r="BA3" s="1" t="s">
        <v>778</v>
      </c>
      <c r="BB3" s="1" t="s">
        <v>778</v>
      </c>
      <c r="BD3" s="1" t="s">
        <v>778</v>
      </c>
      <c r="BE3" s="1" t="s">
        <v>778</v>
      </c>
      <c r="BF3" s="1" t="s">
        <v>778</v>
      </c>
      <c r="BG3" s="1" t="s">
        <v>778</v>
      </c>
      <c r="BH3" s="1" t="s">
        <v>778</v>
      </c>
      <c r="BI3" s="1" t="s">
        <v>778</v>
      </c>
      <c r="DY3"/>
      <c r="ED3"/>
    </row>
    <row r="4" spans="1:217" ht="116" x14ac:dyDescent="0.35">
      <c r="A4" s="1" t="s">
        <v>776</v>
      </c>
      <c r="B4" s="1" t="s">
        <v>24</v>
      </c>
      <c r="C4" s="1" t="s">
        <v>779</v>
      </c>
      <c r="D4" s="1" t="s">
        <v>778</v>
      </c>
      <c r="E4" s="1" t="s">
        <v>778</v>
      </c>
      <c r="F4" s="1" t="s">
        <v>778</v>
      </c>
      <c r="G4" s="1" t="s">
        <v>778</v>
      </c>
      <c r="H4" s="1" t="s">
        <v>778</v>
      </c>
      <c r="V4" s="1" t="s">
        <v>778</v>
      </c>
      <c r="AB4" s="1" t="s">
        <v>778</v>
      </c>
      <c r="AG4" s="1" t="s">
        <v>778</v>
      </c>
      <c r="AH4" s="1" t="s">
        <v>778</v>
      </c>
      <c r="AI4" s="1" t="s">
        <v>778</v>
      </c>
      <c r="AO4" t="s">
        <v>778</v>
      </c>
      <c r="AP4"/>
      <c r="AQ4" t="s">
        <v>778</v>
      </c>
      <c r="AZ4" s="1" t="s">
        <v>778</v>
      </c>
      <c r="BD4" s="1" t="s">
        <v>778</v>
      </c>
      <c r="BE4" s="1" t="s">
        <v>778</v>
      </c>
      <c r="BF4" s="1" t="s">
        <v>778</v>
      </c>
      <c r="BG4" s="1" t="s">
        <v>778</v>
      </c>
      <c r="BH4" s="1" t="s">
        <v>778</v>
      </c>
      <c r="BI4" s="1" t="s">
        <v>778</v>
      </c>
      <c r="DY4"/>
      <c r="ED4"/>
    </row>
    <row r="5" spans="1:217" ht="116" x14ac:dyDescent="0.35">
      <c r="A5" s="1" t="s">
        <v>776</v>
      </c>
      <c r="B5" s="1" t="s">
        <v>24</v>
      </c>
      <c r="C5" s="1" t="s">
        <v>780</v>
      </c>
      <c r="D5" s="1" t="s">
        <v>778</v>
      </c>
      <c r="E5" s="1" t="s">
        <v>778</v>
      </c>
      <c r="F5" s="1" t="s">
        <v>778</v>
      </c>
      <c r="G5" s="1" t="s">
        <v>778</v>
      </c>
      <c r="H5" s="1" t="s">
        <v>778</v>
      </c>
      <c r="AB5" s="1" t="s">
        <v>778</v>
      </c>
      <c r="AH5" s="1" t="s">
        <v>778</v>
      </c>
      <c r="AI5" s="1" t="s">
        <v>778</v>
      </c>
      <c r="AO5"/>
      <c r="AP5"/>
      <c r="AQ5" t="s">
        <v>778</v>
      </c>
      <c r="BD5" s="1" t="s">
        <v>778</v>
      </c>
      <c r="BE5" s="1" t="s">
        <v>778</v>
      </c>
      <c r="BF5" s="1" t="s">
        <v>778</v>
      </c>
      <c r="BG5" s="1" t="s">
        <v>778</v>
      </c>
      <c r="BH5" s="1" t="s">
        <v>778</v>
      </c>
      <c r="BI5" s="1" t="s">
        <v>778</v>
      </c>
      <c r="DY5" t="s">
        <v>778</v>
      </c>
      <c r="ED5"/>
    </row>
    <row r="6" spans="1:217" ht="43.5" x14ac:dyDescent="0.35">
      <c r="A6" s="1" t="s">
        <v>776</v>
      </c>
      <c r="B6" s="1" t="s">
        <v>24</v>
      </c>
      <c r="C6" s="1" t="s">
        <v>781</v>
      </c>
      <c r="D6" s="1" t="s">
        <v>778</v>
      </c>
      <c r="E6" s="1" t="s">
        <v>778</v>
      </c>
      <c r="F6" s="1" t="s">
        <v>778</v>
      </c>
      <c r="G6" s="1" t="s">
        <v>778</v>
      </c>
      <c r="H6" s="1" t="s">
        <v>778</v>
      </c>
      <c r="AB6" s="1" t="s">
        <v>778</v>
      </c>
      <c r="AH6" s="1" t="s">
        <v>778</v>
      </c>
      <c r="AI6" s="1" t="s">
        <v>778</v>
      </c>
      <c r="AN6" s="1" t="s">
        <v>778</v>
      </c>
      <c r="AW6" s="1" t="s">
        <v>778</v>
      </c>
      <c r="BA6" s="1" t="s">
        <v>778</v>
      </c>
      <c r="BB6" s="1" t="s">
        <v>778</v>
      </c>
      <c r="BD6" s="1" t="s">
        <v>778</v>
      </c>
      <c r="BE6" s="1" t="s">
        <v>778</v>
      </c>
    </row>
    <row r="7" spans="1:217" ht="58" x14ac:dyDescent="0.35">
      <c r="A7" s="1" t="s">
        <v>776</v>
      </c>
      <c r="B7" s="1" t="s">
        <v>24</v>
      </c>
      <c r="C7" s="1" t="s">
        <v>782</v>
      </c>
      <c r="D7" s="1" t="s">
        <v>778</v>
      </c>
      <c r="E7" s="1" t="s">
        <v>778</v>
      </c>
      <c r="F7" s="1" t="s">
        <v>778</v>
      </c>
      <c r="G7" s="1" t="s">
        <v>778</v>
      </c>
      <c r="V7" s="1" t="s">
        <v>778</v>
      </c>
      <c r="AB7" s="1" t="s">
        <v>778</v>
      </c>
      <c r="AG7" s="1" t="s">
        <v>778</v>
      </c>
      <c r="AH7" s="1" t="s">
        <v>778</v>
      </c>
      <c r="AI7" s="1" t="s">
        <v>778</v>
      </c>
      <c r="AO7" s="1" t="s">
        <v>778</v>
      </c>
      <c r="AQ7" s="1" t="s">
        <v>778</v>
      </c>
      <c r="AZ7" s="1" t="s">
        <v>778</v>
      </c>
      <c r="BD7" s="1" t="s">
        <v>778</v>
      </c>
      <c r="BE7" s="1" t="s">
        <v>778</v>
      </c>
      <c r="BF7" s="1" t="s">
        <v>778</v>
      </c>
      <c r="BG7" s="1" t="s">
        <v>778</v>
      </c>
      <c r="BH7" s="1" t="s">
        <v>778</v>
      </c>
      <c r="BI7" s="1" t="s">
        <v>778</v>
      </c>
    </row>
    <row r="8" spans="1:217" ht="43.5" x14ac:dyDescent="0.35">
      <c r="A8" s="1" t="s">
        <v>776</v>
      </c>
      <c r="B8" s="1" t="s">
        <v>24</v>
      </c>
      <c r="C8" s="1" t="s">
        <v>783</v>
      </c>
      <c r="D8" s="1" t="s">
        <v>778</v>
      </c>
      <c r="E8" s="1" t="s">
        <v>778</v>
      </c>
      <c r="F8" s="1" t="s">
        <v>778</v>
      </c>
      <c r="G8" s="1" t="s">
        <v>778</v>
      </c>
      <c r="H8" s="1" t="s">
        <v>778</v>
      </c>
      <c r="AB8" s="1" t="s">
        <v>778</v>
      </c>
      <c r="AH8" s="1" t="s">
        <v>778</v>
      </c>
      <c r="AI8" s="1" t="s">
        <v>778</v>
      </c>
      <c r="AQ8" s="1" t="s">
        <v>778</v>
      </c>
      <c r="BD8" s="1" t="s">
        <v>778</v>
      </c>
      <c r="BE8" s="1" t="s">
        <v>778</v>
      </c>
      <c r="BF8" s="1" t="s">
        <v>778</v>
      </c>
      <c r="BG8" s="1" t="s">
        <v>778</v>
      </c>
      <c r="BH8" s="1" t="s">
        <v>778</v>
      </c>
      <c r="BI8" s="1" t="s">
        <v>778</v>
      </c>
      <c r="DY8" s="1" t="s">
        <v>778</v>
      </c>
    </row>
    <row r="9" spans="1:217" ht="72.5" x14ac:dyDescent="0.35">
      <c r="A9" s="1" t="s">
        <v>776</v>
      </c>
      <c r="B9" s="1" t="s">
        <v>24</v>
      </c>
      <c r="C9" s="1" t="s">
        <v>784</v>
      </c>
      <c r="D9" s="1" t="s">
        <v>778</v>
      </c>
      <c r="E9" s="1" t="s">
        <v>778</v>
      </c>
      <c r="F9" s="1" t="s">
        <v>778</v>
      </c>
      <c r="G9" s="1" t="s">
        <v>778</v>
      </c>
      <c r="H9" s="1" t="s">
        <v>778</v>
      </c>
      <c r="V9" s="1" t="s">
        <v>778</v>
      </c>
      <c r="AB9" s="1" t="s">
        <v>778</v>
      </c>
      <c r="AH9" s="1" t="s">
        <v>778</v>
      </c>
      <c r="AI9" s="1" t="s">
        <v>778</v>
      </c>
      <c r="AQ9" s="1" t="s">
        <v>778</v>
      </c>
      <c r="BD9" s="1" t="s">
        <v>778</v>
      </c>
      <c r="BE9" s="1" t="s">
        <v>778</v>
      </c>
      <c r="BF9" s="1" t="s">
        <v>778</v>
      </c>
      <c r="BG9" s="1" t="s">
        <v>778</v>
      </c>
      <c r="BH9" s="1" t="s">
        <v>778</v>
      </c>
      <c r="BI9" s="1" t="s">
        <v>778</v>
      </c>
      <c r="DZ9" s="1" t="s">
        <v>778</v>
      </c>
      <c r="EA9" s="1" t="s">
        <v>778</v>
      </c>
    </row>
    <row r="10" spans="1:217" ht="87" x14ac:dyDescent="0.35">
      <c r="A10" s="1" t="s">
        <v>776</v>
      </c>
      <c r="B10" s="1" t="s">
        <v>24</v>
      </c>
      <c r="C10" s="1" t="s">
        <v>785</v>
      </c>
      <c r="D10" s="1" t="s">
        <v>778</v>
      </c>
      <c r="E10" s="1" t="s">
        <v>778</v>
      </c>
      <c r="F10" s="1" t="s">
        <v>778</v>
      </c>
      <c r="G10" s="1" t="s">
        <v>778</v>
      </c>
      <c r="H10" s="1" t="s">
        <v>778</v>
      </c>
      <c r="V10" s="1" t="s">
        <v>778</v>
      </c>
      <c r="W10" s="1" t="s">
        <v>778</v>
      </c>
      <c r="AB10" s="1" t="s">
        <v>778</v>
      </c>
      <c r="AG10" s="1" t="s">
        <v>778</v>
      </c>
      <c r="AH10" s="1" t="s">
        <v>778</v>
      </c>
      <c r="AI10" s="1" t="s">
        <v>778</v>
      </c>
      <c r="AO10" s="1" t="s">
        <v>786</v>
      </c>
      <c r="AQ10" s="1" t="s">
        <v>786</v>
      </c>
      <c r="AR10" s="1" t="s">
        <v>778</v>
      </c>
      <c r="BD10" s="1" t="s">
        <v>778</v>
      </c>
      <c r="BE10" s="1" t="s">
        <v>778</v>
      </c>
      <c r="BF10" s="1" t="s">
        <v>778</v>
      </c>
      <c r="BG10" s="1" t="s">
        <v>778</v>
      </c>
      <c r="BH10" s="1" t="s">
        <v>778</v>
      </c>
      <c r="BI10" s="1" t="s">
        <v>778</v>
      </c>
      <c r="EC10" s="1" t="s">
        <v>778</v>
      </c>
    </row>
    <row r="11" spans="1:217" ht="101.5" x14ac:dyDescent="0.35">
      <c r="A11" s="1" t="s">
        <v>776</v>
      </c>
      <c r="B11" s="1" t="s">
        <v>24</v>
      </c>
      <c r="C11" s="1" t="s">
        <v>787</v>
      </c>
      <c r="D11" s="1" t="s">
        <v>778</v>
      </c>
      <c r="E11" s="1" t="s">
        <v>778</v>
      </c>
      <c r="F11" s="1" t="s">
        <v>778</v>
      </c>
      <c r="G11" s="1" t="s">
        <v>778</v>
      </c>
      <c r="H11" s="1" t="s">
        <v>778</v>
      </c>
      <c r="AB11" s="1" t="s">
        <v>778</v>
      </c>
      <c r="AG11" s="1" t="s">
        <v>778</v>
      </c>
      <c r="AO11" s="1" t="s">
        <v>778</v>
      </c>
      <c r="AQ11" s="1" t="s">
        <v>778</v>
      </c>
      <c r="BD11" s="1" t="s">
        <v>778</v>
      </c>
      <c r="BE11" s="1" t="s">
        <v>778</v>
      </c>
      <c r="BF11" s="1" t="s">
        <v>778</v>
      </c>
      <c r="BG11" s="1" t="s">
        <v>778</v>
      </c>
      <c r="BH11" s="1" t="s">
        <v>778</v>
      </c>
      <c r="BI11" s="1" t="s">
        <v>778</v>
      </c>
    </row>
    <row r="12" spans="1:217" ht="43.5" x14ac:dyDescent="0.35">
      <c r="A12" s="1" t="s">
        <v>776</v>
      </c>
      <c r="B12" s="1" t="s">
        <v>24</v>
      </c>
      <c r="C12" s="1" t="s">
        <v>788</v>
      </c>
      <c r="D12" s="1" t="s">
        <v>778</v>
      </c>
      <c r="E12" s="1" t="s">
        <v>778</v>
      </c>
      <c r="F12" s="1" t="s">
        <v>778</v>
      </c>
      <c r="G12" s="1" t="s">
        <v>778</v>
      </c>
      <c r="H12" s="1" t="s">
        <v>778</v>
      </c>
      <c r="AB12" s="1" t="s">
        <v>778</v>
      </c>
      <c r="BJ12" s="1" t="s">
        <v>778</v>
      </c>
      <c r="BK12" s="1" t="s">
        <v>778</v>
      </c>
      <c r="BL12" s="1" t="s">
        <v>778</v>
      </c>
    </row>
    <row r="13" spans="1:217" ht="43.5" x14ac:dyDescent="0.35">
      <c r="A13" s="1" t="s">
        <v>776</v>
      </c>
      <c r="B13" s="1" t="s">
        <v>24</v>
      </c>
      <c r="C13" s="1" t="s">
        <v>789</v>
      </c>
      <c r="D13" s="1" t="s">
        <v>778</v>
      </c>
      <c r="E13" s="1" t="s">
        <v>778</v>
      </c>
      <c r="F13" s="1" t="s">
        <v>778</v>
      </c>
      <c r="G13" s="1" t="s">
        <v>778</v>
      </c>
      <c r="H13" s="1" t="s">
        <v>778</v>
      </c>
      <c r="AB13" s="1" t="s">
        <v>778</v>
      </c>
      <c r="AI13" s="1" t="s">
        <v>778</v>
      </c>
      <c r="BN13" s="1" t="s">
        <v>778</v>
      </c>
      <c r="BO13" s="1" t="s">
        <v>778</v>
      </c>
      <c r="BV13" s="1" t="s">
        <v>778</v>
      </c>
      <c r="BW13" s="1" t="s">
        <v>778</v>
      </c>
      <c r="BX13" s="1" t="s">
        <v>778</v>
      </c>
      <c r="BY13" s="1" t="s">
        <v>778</v>
      </c>
    </row>
    <row r="14" spans="1:217" ht="43.5" x14ac:dyDescent="0.35">
      <c r="A14" s="1" t="s">
        <v>776</v>
      </c>
      <c r="B14" s="1" t="s">
        <v>24</v>
      </c>
      <c r="C14" s="1" t="s">
        <v>790</v>
      </c>
      <c r="D14" s="1" t="s">
        <v>778</v>
      </c>
      <c r="E14" s="1" t="s">
        <v>778</v>
      </c>
      <c r="F14" s="1" t="s">
        <v>778</v>
      </c>
      <c r="G14" s="1" t="s">
        <v>778</v>
      </c>
      <c r="H14" s="1" t="s">
        <v>778</v>
      </c>
      <c r="AJ14" s="1" t="s">
        <v>778</v>
      </c>
      <c r="BZ14" s="1" t="s">
        <v>778</v>
      </c>
      <c r="CA14" s="1" t="s">
        <v>778</v>
      </c>
      <c r="CB14" s="1" t="s">
        <v>778</v>
      </c>
      <c r="CC14" s="1" t="s">
        <v>778</v>
      </c>
      <c r="CD14" s="1" t="s">
        <v>778</v>
      </c>
      <c r="DG14" s="1" t="s">
        <v>778</v>
      </c>
    </row>
    <row r="15" spans="1:217" ht="58" x14ac:dyDescent="0.35">
      <c r="A15" s="1" t="s">
        <v>776</v>
      </c>
      <c r="B15" s="1" t="s">
        <v>24</v>
      </c>
      <c r="C15" s="1" t="s">
        <v>791</v>
      </c>
      <c r="D15" s="1" t="s">
        <v>778</v>
      </c>
      <c r="E15" s="1" t="s">
        <v>778</v>
      </c>
      <c r="F15" s="1" t="s">
        <v>778</v>
      </c>
      <c r="G15" s="1" t="s">
        <v>778</v>
      </c>
      <c r="H15" s="1" t="s">
        <v>778</v>
      </c>
      <c r="I15" s="1" t="s">
        <v>778</v>
      </c>
      <c r="J15" s="1" t="s">
        <v>778</v>
      </c>
      <c r="K15" s="1" t="s">
        <v>778</v>
      </c>
      <c r="L15" s="1" t="s">
        <v>778</v>
      </c>
      <c r="M15" s="1" t="s">
        <v>778</v>
      </c>
      <c r="P15" s="1" t="s">
        <v>778</v>
      </c>
      <c r="Q15" s="1" t="s">
        <v>778</v>
      </c>
      <c r="BM15" s="1" t="s">
        <v>778</v>
      </c>
      <c r="CD15" s="1" t="s">
        <v>778</v>
      </c>
    </row>
    <row r="16" spans="1:217" ht="87" x14ac:dyDescent="0.35">
      <c r="A16" s="1" t="s">
        <v>776</v>
      </c>
      <c r="B16" s="1" t="s">
        <v>24</v>
      </c>
      <c r="C16" s="1" t="s">
        <v>792</v>
      </c>
      <c r="D16" s="1" t="s">
        <v>778</v>
      </c>
      <c r="E16" s="1" t="s">
        <v>778</v>
      </c>
      <c r="F16" s="1" t="s">
        <v>778</v>
      </c>
      <c r="G16" s="1" t="s">
        <v>778</v>
      </c>
      <c r="H16" s="1" t="s">
        <v>778</v>
      </c>
      <c r="N16" s="1" t="s">
        <v>778</v>
      </c>
      <c r="O16" s="1" t="s">
        <v>778</v>
      </c>
      <c r="P16" s="1" t="s">
        <v>778</v>
      </c>
      <c r="Q16" s="1" t="s">
        <v>778</v>
      </c>
      <c r="AI16" s="1" t="s">
        <v>778</v>
      </c>
      <c r="AN16" s="1" t="s">
        <v>778</v>
      </c>
      <c r="CD16" s="1" t="s">
        <v>778</v>
      </c>
      <c r="CJ16" s="1" t="s">
        <v>778</v>
      </c>
      <c r="CU16" s="1" t="s">
        <v>778</v>
      </c>
      <c r="DF16" s="1" t="s">
        <v>778</v>
      </c>
    </row>
    <row r="17" spans="1:149" ht="174" x14ac:dyDescent="0.35">
      <c r="A17" s="1" t="s">
        <v>776</v>
      </c>
      <c r="B17" s="1" t="s">
        <v>24</v>
      </c>
      <c r="C17" s="1" t="s">
        <v>793</v>
      </c>
      <c r="D17" s="1" t="s">
        <v>778</v>
      </c>
      <c r="E17" s="1" t="s">
        <v>778</v>
      </c>
      <c r="F17" s="1" t="s">
        <v>778</v>
      </c>
      <c r="G17" s="1" t="s">
        <v>778</v>
      </c>
      <c r="H17" s="1" t="s">
        <v>778</v>
      </c>
      <c r="R17" s="1" t="s">
        <v>778</v>
      </c>
      <c r="S17" s="1" t="s">
        <v>778</v>
      </c>
      <c r="T17" s="1" t="s">
        <v>778</v>
      </c>
      <c r="U17" s="1" t="s">
        <v>778</v>
      </c>
      <c r="AJ17" s="1" t="s">
        <v>778</v>
      </c>
      <c r="AN17" s="1" t="s">
        <v>778</v>
      </c>
      <c r="AS17" s="1" t="s">
        <v>778</v>
      </c>
      <c r="BB17" s="1" t="s">
        <v>778</v>
      </c>
      <c r="CD17" s="1" t="s">
        <v>778</v>
      </c>
      <c r="CJ17" s="1" t="s">
        <v>778</v>
      </c>
      <c r="DF17" s="1" t="s">
        <v>778</v>
      </c>
    </row>
    <row r="18" spans="1:149" ht="261" x14ac:dyDescent="0.35">
      <c r="A18" s="1" t="s">
        <v>776</v>
      </c>
      <c r="B18" s="1" t="s">
        <v>24</v>
      </c>
      <c r="C18" s="1" t="s">
        <v>794</v>
      </c>
      <c r="D18" s="1" t="s">
        <v>778</v>
      </c>
      <c r="E18" s="1" t="s">
        <v>778</v>
      </c>
      <c r="F18" s="1" t="s">
        <v>778</v>
      </c>
      <c r="G18" s="1" t="s">
        <v>778</v>
      </c>
      <c r="H18" s="1" t="s">
        <v>778</v>
      </c>
      <c r="I18" s="1" t="s">
        <v>778</v>
      </c>
      <c r="J18" s="1" t="s">
        <v>778</v>
      </c>
      <c r="K18" s="1" t="s">
        <v>778</v>
      </c>
      <c r="L18" s="1" t="s">
        <v>778</v>
      </c>
      <c r="M18" s="1" t="s">
        <v>778</v>
      </c>
      <c r="N18" s="1" t="s">
        <v>778</v>
      </c>
      <c r="P18" s="1" t="s">
        <v>778</v>
      </c>
      <c r="Q18" s="1" t="s">
        <v>778</v>
      </c>
      <c r="AI18" s="1" t="s">
        <v>778</v>
      </c>
      <c r="CD18" s="1" t="s">
        <v>778</v>
      </c>
      <c r="CF18" s="1" t="s">
        <v>778</v>
      </c>
      <c r="CJ18" s="1" t="s">
        <v>778</v>
      </c>
      <c r="CL18" s="1" t="s">
        <v>778</v>
      </c>
      <c r="CU18" s="1" t="s">
        <v>778</v>
      </c>
      <c r="CV18" s="1" t="s">
        <v>778</v>
      </c>
      <c r="DF18" s="1" t="s">
        <v>778</v>
      </c>
    </row>
    <row r="19" spans="1:149" ht="145" x14ac:dyDescent="0.35">
      <c r="A19" s="1" t="s">
        <v>776</v>
      </c>
      <c r="B19" s="1" t="s">
        <v>24</v>
      </c>
      <c r="C19" s="1" t="s">
        <v>795</v>
      </c>
      <c r="D19" s="1" t="s">
        <v>778</v>
      </c>
      <c r="E19" s="1" t="s">
        <v>778</v>
      </c>
      <c r="F19" s="1" t="s">
        <v>778</v>
      </c>
      <c r="G19" s="1" t="s">
        <v>778</v>
      </c>
      <c r="H19" s="1" t="s">
        <v>778</v>
      </c>
      <c r="I19" s="1" t="s">
        <v>778</v>
      </c>
      <c r="J19" s="1" t="s">
        <v>778</v>
      </c>
      <c r="N19" s="1" t="s">
        <v>778</v>
      </c>
      <c r="O19" s="1" t="s">
        <v>778</v>
      </c>
      <c r="AN19" s="1" t="s">
        <v>778</v>
      </c>
      <c r="AS19" s="1" t="s">
        <v>778</v>
      </c>
      <c r="BB19" s="1" t="s">
        <v>778</v>
      </c>
      <c r="CD19" s="1" t="s">
        <v>778</v>
      </c>
      <c r="CJ19" s="1" t="s">
        <v>778</v>
      </c>
      <c r="DF19" s="1" t="s">
        <v>778</v>
      </c>
    </row>
    <row r="20" spans="1:149" ht="116" x14ac:dyDescent="0.35">
      <c r="A20" s="1" t="s">
        <v>776</v>
      </c>
      <c r="B20" s="1" t="s">
        <v>24</v>
      </c>
      <c r="C20" s="1" t="s">
        <v>796</v>
      </c>
      <c r="D20" s="1" t="s">
        <v>778</v>
      </c>
      <c r="E20" s="1" t="s">
        <v>778</v>
      </c>
      <c r="F20" s="1" t="s">
        <v>778</v>
      </c>
      <c r="G20" s="1" t="s">
        <v>778</v>
      </c>
      <c r="H20" s="1" t="s">
        <v>778</v>
      </c>
      <c r="I20" s="1" t="s">
        <v>778</v>
      </c>
      <c r="J20" s="1" t="s">
        <v>778</v>
      </c>
      <c r="AB20" s="1" t="s">
        <v>778</v>
      </c>
      <c r="AH20" s="1" t="s">
        <v>778</v>
      </c>
      <c r="AI20" s="1" t="s">
        <v>778</v>
      </c>
      <c r="CD20" s="1" t="s">
        <v>778</v>
      </c>
      <c r="CG20" s="1" t="s">
        <v>778</v>
      </c>
      <c r="CH20" s="1" t="s">
        <v>778</v>
      </c>
      <c r="CJ20" s="1" t="s">
        <v>778</v>
      </c>
      <c r="CN20" s="1" t="s">
        <v>778</v>
      </c>
      <c r="CO20" s="1" t="s">
        <v>778</v>
      </c>
      <c r="CU20" s="1" t="s">
        <v>778</v>
      </c>
      <c r="DY20" s="1" t="s">
        <v>778</v>
      </c>
      <c r="EC20" s="1" t="s">
        <v>778</v>
      </c>
    </row>
    <row r="21" spans="1:149" ht="58" x14ac:dyDescent="0.35">
      <c r="A21" s="1" t="s">
        <v>776</v>
      </c>
      <c r="B21" s="1" t="s">
        <v>24</v>
      </c>
      <c r="C21" s="1" t="s">
        <v>797</v>
      </c>
      <c r="D21" s="1" t="s">
        <v>778</v>
      </c>
      <c r="E21" s="1" t="s">
        <v>778</v>
      </c>
      <c r="F21" s="1" t="s">
        <v>778</v>
      </c>
      <c r="G21" s="1" t="s">
        <v>778</v>
      </c>
      <c r="H21" s="1" t="s">
        <v>778</v>
      </c>
      <c r="I21" s="1" t="s">
        <v>778</v>
      </c>
      <c r="J21" s="1" t="s">
        <v>778</v>
      </c>
      <c r="AB21" s="1" t="s">
        <v>778</v>
      </c>
      <c r="AH21" s="1" t="s">
        <v>778</v>
      </c>
      <c r="AI21" s="1" t="s">
        <v>778</v>
      </c>
      <c r="CD21" s="1" t="s">
        <v>778</v>
      </c>
      <c r="CG21" s="1" t="s">
        <v>778</v>
      </c>
      <c r="CH21" s="1" t="s">
        <v>778</v>
      </c>
      <c r="CJ21" s="1" t="s">
        <v>778</v>
      </c>
      <c r="CN21" s="1" t="s">
        <v>778</v>
      </c>
      <c r="CO21" s="1" t="s">
        <v>778</v>
      </c>
      <c r="CU21" s="1" t="s">
        <v>778</v>
      </c>
      <c r="DY21" s="1" t="s">
        <v>778</v>
      </c>
      <c r="EC21" s="1" t="s">
        <v>778</v>
      </c>
    </row>
    <row r="22" spans="1:149" ht="130.5" x14ac:dyDescent="0.35">
      <c r="A22" s="1" t="s">
        <v>776</v>
      </c>
      <c r="B22" s="1" t="s">
        <v>24</v>
      </c>
      <c r="C22" s="1" t="s">
        <v>798</v>
      </c>
      <c r="D22" s="1" t="s">
        <v>778</v>
      </c>
      <c r="E22" s="1" t="s">
        <v>778</v>
      </c>
      <c r="F22" s="1" t="s">
        <v>778</v>
      </c>
      <c r="G22" s="1" t="s">
        <v>778</v>
      </c>
      <c r="H22" s="1" t="s">
        <v>778</v>
      </c>
      <c r="AH22" s="1" t="s">
        <v>778</v>
      </c>
      <c r="AJ22" s="1" t="s">
        <v>778</v>
      </c>
      <c r="AZ22" s="1" t="s">
        <v>778</v>
      </c>
      <c r="CU22" s="1" t="s">
        <v>778</v>
      </c>
      <c r="DN22" s="1" t="s">
        <v>778</v>
      </c>
      <c r="DO22" s="1" t="s">
        <v>778</v>
      </c>
      <c r="DX22" s="1" t="s">
        <v>778</v>
      </c>
    </row>
    <row r="23" spans="1:149" ht="159.5" x14ac:dyDescent="0.35">
      <c r="A23" s="1" t="s">
        <v>776</v>
      </c>
      <c r="B23" s="1" t="s">
        <v>24</v>
      </c>
      <c r="C23" s="1" t="s">
        <v>799</v>
      </c>
      <c r="D23" s="1" t="s">
        <v>778</v>
      </c>
      <c r="E23" s="1" t="s">
        <v>778</v>
      </c>
      <c r="F23" s="1" t="s">
        <v>778</v>
      </c>
      <c r="G23" s="1" t="s">
        <v>778</v>
      </c>
      <c r="H23" s="1" t="s">
        <v>778</v>
      </c>
      <c r="AH23" s="1" t="s">
        <v>778</v>
      </c>
      <c r="AJ23" s="1" t="s">
        <v>778</v>
      </c>
      <c r="AS23" s="1" t="s">
        <v>778</v>
      </c>
      <c r="AZ23" s="1" t="s">
        <v>778</v>
      </c>
      <c r="CD23" s="1" t="s">
        <v>778</v>
      </c>
      <c r="CJ23" s="1" t="s">
        <v>778</v>
      </c>
      <c r="DG23" s="1" t="s">
        <v>778</v>
      </c>
    </row>
    <row r="24" spans="1:149" ht="88.5" x14ac:dyDescent="0.35">
      <c r="A24" s="1" t="s">
        <v>776</v>
      </c>
      <c r="B24" s="1" t="s">
        <v>24</v>
      </c>
      <c r="C24" s="2" t="s">
        <v>800</v>
      </c>
      <c r="D24" s="1" t="s">
        <v>778</v>
      </c>
      <c r="E24" s="1" t="s">
        <v>778</v>
      </c>
      <c r="F24" s="1" t="s">
        <v>778</v>
      </c>
      <c r="G24" s="1" t="s">
        <v>778</v>
      </c>
      <c r="H24" s="1" t="s">
        <v>778</v>
      </c>
      <c r="I24" s="1" t="s">
        <v>778</v>
      </c>
      <c r="J24" s="1" t="s">
        <v>778</v>
      </c>
      <c r="AB24" s="1" t="s">
        <v>778</v>
      </c>
      <c r="AH24" s="1" t="s">
        <v>778</v>
      </c>
      <c r="AI24" s="1" t="s">
        <v>778</v>
      </c>
      <c r="CD24" s="1" t="s">
        <v>778</v>
      </c>
      <c r="CG24" s="1" t="s">
        <v>778</v>
      </c>
      <c r="CH24" s="1" t="s">
        <v>778</v>
      </c>
      <c r="CJ24" s="1" t="s">
        <v>778</v>
      </c>
      <c r="CN24" s="1" t="s">
        <v>778</v>
      </c>
      <c r="CO24" s="1" t="s">
        <v>778</v>
      </c>
      <c r="CU24" s="1" t="s">
        <v>778</v>
      </c>
      <c r="DY24" s="1" t="s">
        <v>778</v>
      </c>
      <c r="EC24" s="1" t="s">
        <v>778</v>
      </c>
    </row>
    <row r="25" spans="1:149" ht="145" x14ac:dyDescent="0.35">
      <c r="A25" s="1" t="s">
        <v>776</v>
      </c>
      <c r="B25" s="1" t="s">
        <v>24</v>
      </c>
      <c r="C25" s="1" t="s">
        <v>801</v>
      </c>
      <c r="D25" s="1" t="s">
        <v>778</v>
      </c>
      <c r="E25" s="1" t="s">
        <v>778</v>
      </c>
      <c r="F25" s="1" t="s">
        <v>778</v>
      </c>
      <c r="G25" s="1" t="s">
        <v>778</v>
      </c>
      <c r="H25" s="1" t="s">
        <v>778</v>
      </c>
      <c r="AH25" s="1" t="s">
        <v>778</v>
      </c>
      <c r="AJ25" s="1" t="s">
        <v>778</v>
      </c>
      <c r="AZ25" s="1" t="s">
        <v>778</v>
      </c>
      <c r="CU25" s="1" t="s">
        <v>778</v>
      </c>
      <c r="DN25" s="1" t="s">
        <v>778</v>
      </c>
      <c r="DO25" s="1" t="s">
        <v>778</v>
      </c>
      <c r="DX25" s="1" t="s">
        <v>778</v>
      </c>
    </row>
    <row r="26" spans="1:149" ht="116" x14ac:dyDescent="0.35">
      <c r="A26" s="1" t="s">
        <v>776</v>
      </c>
      <c r="B26" s="1" t="s">
        <v>24</v>
      </c>
      <c r="C26" s="1" t="s">
        <v>802</v>
      </c>
      <c r="D26" s="1" t="s">
        <v>778</v>
      </c>
      <c r="E26" s="1" t="s">
        <v>778</v>
      </c>
      <c r="F26" s="1" t="s">
        <v>778</v>
      </c>
      <c r="G26" s="1" t="s">
        <v>778</v>
      </c>
      <c r="H26" s="1" t="s">
        <v>778</v>
      </c>
      <c r="AB26" s="1" t="s">
        <v>778</v>
      </c>
      <c r="AH26" s="1" t="s">
        <v>778</v>
      </c>
      <c r="AJ26" s="1" t="s">
        <v>778</v>
      </c>
      <c r="AN26" s="1" t="s">
        <v>778</v>
      </c>
      <c r="AW26" s="1" t="s">
        <v>778</v>
      </c>
      <c r="BA26" s="1" t="s">
        <v>778</v>
      </c>
      <c r="BB26" s="1" t="s">
        <v>778</v>
      </c>
      <c r="BC26" s="1" t="s">
        <v>778</v>
      </c>
      <c r="CD26" s="1" t="s">
        <v>778</v>
      </c>
      <c r="CJ26" s="1" t="s">
        <v>778</v>
      </c>
      <c r="CU26" s="1" t="s">
        <v>778</v>
      </c>
    </row>
    <row r="27" spans="1:149" ht="72.5" x14ac:dyDescent="0.35">
      <c r="A27" s="1" t="s">
        <v>776</v>
      </c>
      <c r="B27" s="1" t="s">
        <v>24</v>
      </c>
      <c r="C27" s="1" t="s">
        <v>803</v>
      </c>
      <c r="D27" s="1" t="s">
        <v>778</v>
      </c>
      <c r="E27" s="1" t="s">
        <v>778</v>
      </c>
      <c r="F27" s="1" t="s">
        <v>778</v>
      </c>
      <c r="G27" s="1" t="s">
        <v>778</v>
      </c>
      <c r="H27" s="1" t="s">
        <v>778</v>
      </c>
      <c r="AE27" s="1" t="s">
        <v>778</v>
      </c>
      <c r="AF27" s="1" t="s">
        <v>778</v>
      </c>
      <c r="CD27" s="1" t="s">
        <v>778</v>
      </c>
      <c r="CE27" s="1" t="s">
        <v>778</v>
      </c>
      <c r="CJ27" s="1" t="s">
        <v>778</v>
      </c>
      <c r="CM27" s="1" t="s">
        <v>778</v>
      </c>
    </row>
    <row r="28" spans="1:149" ht="87" x14ac:dyDescent="0.35">
      <c r="A28" s="1" t="s">
        <v>776</v>
      </c>
      <c r="B28" s="1" t="s">
        <v>24</v>
      </c>
      <c r="C28" s="1" t="s">
        <v>804</v>
      </c>
      <c r="D28" s="1" t="s">
        <v>778</v>
      </c>
      <c r="E28" s="1" t="s">
        <v>778</v>
      </c>
      <c r="F28" s="1" t="s">
        <v>778</v>
      </c>
      <c r="G28" s="1" t="s">
        <v>778</v>
      </c>
      <c r="H28" s="1" t="s">
        <v>778</v>
      </c>
      <c r="AB28" s="1" t="s">
        <v>778</v>
      </c>
      <c r="AH28" s="1" t="s">
        <v>778</v>
      </c>
      <c r="AJ28" s="1" t="s">
        <v>778</v>
      </c>
      <c r="AW28" s="1" t="s">
        <v>778</v>
      </c>
      <c r="AX28" s="1" t="s">
        <v>778</v>
      </c>
      <c r="BA28" s="1" t="s">
        <v>778</v>
      </c>
      <c r="CD28" s="1" t="s">
        <v>778</v>
      </c>
      <c r="CJ28" s="1" t="s">
        <v>778</v>
      </c>
      <c r="CU28" s="1" t="s">
        <v>778</v>
      </c>
    </row>
    <row r="29" spans="1:149" ht="101.5" x14ac:dyDescent="0.35">
      <c r="A29" s="1" t="s">
        <v>776</v>
      </c>
      <c r="B29" s="1" t="s">
        <v>24</v>
      </c>
      <c r="C29" s="1" t="s">
        <v>805</v>
      </c>
      <c r="D29" s="1" t="s">
        <v>778</v>
      </c>
      <c r="E29" s="1" t="s">
        <v>778</v>
      </c>
      <c r="F29" s="1" t="s">
        <v>778</v>
      </c>
      <c r="G29" s="1" t="s">
        <v>778</v>
      </c>
      <c r="H29" s="1" t="s">
        <v>778</v>
      </c>
      <c r="V29" s="1" t="s">
        <v>778</v>
      </c>
      <c r="AB29" s="1" t="s">
        <v>778</v>
      </c>
      <c r="AJ29" s="1" t="s">
        <v>778</v>
      </c>
      <c r="BO29" s="1" t="s">
        <v>778</v>
      </c>
      <c r="CD29" s="1" t="s">
        <v>778</v>
      </c>
      <c r="EC29" s="1" t="s">
        <v>778</v>
      </c>
    </row>
    <row r="30" spans="1:149" ht="101.5" x14ac:dyDescent="0.35">
      <c r="A30" s="1" t="s">
        <v>776</v>
      </c>
      <c r="B30" s="1" t="s">
        <v>24</v>
      </c>
      <c r="C30" s="1" t="s">
        <v>806</v>
      </c>
      <c r="D30" s="1" t="s">
        <v>778</v>
      </c>
      <c r="E30" s="1" t="s">
        <v>778</v>
      </c>
      <c r="F30" s="1" t="s">
        <v>778</v>
      </c>
      <c r="G30" s="1" t="s">
        <v>778</v>
      </c>
      <c r="H30" s="1" t="s">
        <v>778</v>
      </c>
      <c r="AS30" s="1" t="s">
        <v>778</v>
      </c>
      <c r="CD30" s="1" t="s">
        <v>778</v>
      </c>
      <c r="CJ30" s="1" t="s">
        <v>778</v>
      </c>
      <c r="DF30" s="1" t="s">
        <v>778</v>
      </c>
      <c r="DZ30" s="1" t="s">
        <v>778</v>
      </c>
      <c r="EA30" s="1" t="s">
        <v>778</v>
      </c>
    </row>
    <row r="31" spans="1:149" ht="159.5" x14ac:dyDescent="0.35">
      <c r="A31" s="1" t="s">
        <v>776</v>
      </c>
      <c r="B31" s="1" t="s">
        <v>24</v>
      </c>
      <c r="C31" s="1" t="s">
        <v>807</v>
      </c>
      <c r="D31" s="1" t="s">
        <v>778</v>
      </c>
      <c r="E31" s="1" t="s">
        <v>778</v>
      </c>
      <c r="F31" s="1" t="s">
        <v>778</v>
      </c>
      <c r="G31" s="1" t="s">
        <v>778</v>
      </c>
      <c r="H31" s="1" t="s">
        <v>778</v>
      </c>
      <c r="ED31" s="1" t="s">
        <v>778</v>
      </c>
      <c r="EE31" s="1" t="s">
        <v>778</v>
      </c>
      <c r="EF31" s="1" t="s">
        <v>778</v>
      </c>
      <c r="EG31" s="1" t="s">
        <v>778</v>
      </c>
      <c r="EH31" s="1" t="s">
        <v>778</v>
      </c>
      <c r="EI31" s="1" t="s">
        <v>778</v>
      </c>
      <c r="EJ31" s="1" t="s">
        <v>778</v>
      </c>
      <c r="EK31" s="1" t="s">
        <v>778</v>
      </c>
      <c r="EL31" s="1" t="s">
        <v>778</v>
      </c>
      <c r="EM31" s="1" t="s">
        <v>778</v>
      </c>
      <c r="EN31" s="1" t="s">
        <v>778</v>
      </c>
      <c r="EO31" s="1" t="s">
        <v>778</v>
      </c>
      <c r="EP31" s="1" t="s">
        <v>778</v>
      </c>
      <c r="EQ31" s="1" t="s">
        <v>778</v>
      </c>
      <c r="ER31" s="1" t="s">
        <v>778</v>
      </c>
    </row>
    <row r="32" spans="1:149" ht="87" x14ac:dyDescent="0.35">
      <c r="A32" s="1" t="s">
        <v>776</v>
      </c>
      <c r="B32" s="1" t="s">
        <v>24</v>
      </c>
      <c r="C32" s="1" t="s">
        <v>808</v>
      </c>
      <c r="D32" s="1" t="s">
        <v>778</v>
      </c>
      <c r="E32" s="1" t="s">
        <v>778</v>
      </c>
      <c r="F32" s="1" t="s">
        <v>778</v>
      </c>
      <c r="G32" s="1" t="s">
        <v>778</v>
      </c>
      <c r="H32" s="1" t="s">
        <v>778</v>
      </c>
      <c r="AI32" s="1" t="s">
        <v>778</v>
      </c>
      <c r="BJ32" s="1" t="s">
        <v>778</v>
      </c>
      <c r="BM32" s="1" t="s">
        <v>778</v>
      </c>
      <c r="DF32" s="1" t="s">
        <v>778</v>
      </c>
      <c r="ES32" s="1" t="s">
        <v>778</v>
      </c>
    </row>
    <row r="33" spans="1:160" ht="116" x14ac:dyDescent="0.35">
      <c r="A33" s="1" t="s">
        <v>776</v>
      </c>
      <c r="B33" s="1" t="s">
        <v>24</v>
      </c>
      <c r="C33" s="1" t="s">
        <v>809</v>
      </c>
      <c r="D33" s="1" t="s">
        <v>778</v>
      </c>
      <c r="E33" s="1" t="s">
        <v>778</v>
      </c>
      <c r="F33" s="1" t="s">
        <v>778</v>
      </c>
      <c r="G33" s="1" t="s">
        <v>778</v>
      </c>
      <c r="H33" s="1" t="s">
        <v>778</v>
      </c>
      <c r="V33" s="1" t="s">
        <v>778</v>
      </c>
      <c r="AS33" s="1" t="s">
        <v>778</v>
      </c>
      <c r="AT33" s="1" t="s">
        <v>778</v>
      </c>
      <c r="CD33" s="1" t="s">
        <v>778</v>
      </c>
      <c r="CE33" s="1" t="s">
        <v>778</v>
      </c>
      <c r="CJ33" s="1" t="s">
        <v>778</v>
      </c>
      <c r="CM33" s="1" t="s">
        <v>778</v>
      </c>
    </row>
    <row r="34" spans="1:160" ht="87" x14ac:dyDescent="0.35">
      <c r="A34" s="1" t="s">
        <v>776</v>
      </c>
      <c r="B34" s="1" t="s">
        <v>24</v>
      </c>
      <c r="C34" s="1" t="s">
        <v>810</v>
      </c>
      <c r="D34" s="1" t="s">
        <v>778</v>
      </c>
      <c r="E34" s="1" t="s">
        <v>778</v>
      </c>
      <c r="F34" s="1" t="s">
        <v>778</v>
      </c>
      <c r="G34" s="1" t="s">
        <v>778</v>
      </c>
      <c r="H34" s="1" t="s">
        <v>778</v>
      </c>
      <c r="AH34" s="1" t="s">
        <v>778</v>
      </c>
      <c r="AJ34" s="1" t="s">
        <v>778</v>
      </c>
      <c r="AN34" s="1" t="s">
        <v>778</v>
      </c>
      <c r="AW34" s="1" t="s">
        <v>778</v>
      </c>
      <c r="CD34" s="1" t="s">
        <v>778</v>
      </c>
      <c r="CJ34" s="1" t="s">
        <v>778</v>
      </c>
      <c r="DF34" s="1" t="s">
        <v>778</v>
      </c>
      <c r="EC34" s="1" t="s">
        <v>778</v>
      </c>
    </row>
    <row r="35" spans="1:160" ht="174" x14ac:dyDescent="0.35">
      <c r="A35" s="1" t="s">
        <v>776</v>
      </c>
      <c r="B35" s="1" t="s">
        <v>24</v>
      </c>
      <c r="C35" s="1" t="s">
        <v>811</v>
      </c>
      <c r="D35" s="1" t="s">
        <v>778</v>
      </c>
      <c r="E35" s="1" t="s">
        <v>778</v>
      </c>
      <c r="F35" s="1" t="s">
        <v>778</v>
      </c>
      <c r="G35" s="1" t="s">
        <v>778</v>
      </c>
      <c r="H35" s="1" t="s">
        <v>778</v>
      </c>
      <c r="V35" s="1" t="s">
        <v>778</v>
      </c>
      <c r="Z35" s="1" t="s">
        <v>778</v>
      </c>
      <c r="AA35" s="1" t="s">
        <v>778</v>
      </c>
      <c r="AS35" s="1" t="s">
        <v>778</v>
      </c>
      <c r="CD35" s="1" t="s">
        <v>778</v>
      </c>
      <c r="CJ35" s="1" t="s">
        <v>778</v>
      </c>
      <c r="DB35" s="1" t="s">
        <v>778</v>
      </c>
      <c r="DG35" s="1" t="s">
        <v>778</v>
      </c>
    </row>
    <row r="36" spans="1:160" ht="116" x14ac:dyDescent="0.35">
      <c r="A36" s="1" t="s">
        <v>776</v>
      </c>
      <c r="B36" s="1" t="s">
        <v>24</v>
      </c>
      <c r="C36" s="1" t="s">
        <v>812</v>
      </c>
      <c r="D36" s="1" t="s">
        <v>778</v>
      </c>
      <c r="E36" s="1" t="s">
        <v>778</v>
      </c>
      <c r="F36" s="1" t="s">
        <v>778</v>
      </c>
      <c r="G36" s="1" t="s">
        <v>778</v>
      </c>
      <c r="H36" s="1" t="s">
        <v>778</v>
      </c>
      <c r="V36" s="1" t="s">
        <v>778</v>
      </c>
      <c r="AO36" s="1" t="s">
        <v>778</v>
      </c>
      <c r="AS36" s="1" t="s">
        <v>778</v>
      </c>
      <c r="AT36" s="1" t="s">
        <v>778</v>
      </c>
      <c r="CD36" s="1" t="s">
        <v>778</v>
      </c>
      <c r="CJ36" s="1" t="s">
        <v>778</v>
      </c>
      <c r="DE36" s="1" t="s">
        <v>778</v>
      </c>
      <c r="DF36" s="1" t="s">
        <v>778</v>
      </c>
      <c r="DG36" s="1" t="s">
        <v>778</v>
      </c>
      <c r="DL36" s="1" t="s">
        <v>778</v>
      </c>
      <c r="DM36" s="1" t="s">
        <v>778</v>
      </c>
    </row>
    <row r="37" spans="1:160" ht="116" x14ac:dyDescent="0.35">
      <c r="A37" s="1" t="s">
        <v>776</v>
      </c>
      <c r="B37" s="1" t="s">
        <v>24</v>
      </c>
      <c r="C37" s="1" t="s">
        <v>813</v>
      </c>
      <c r="D37" s="1" t="s">
        <v>778</v>
      </c>
      <c r="E37" s="1" t="s">
        <v>778</v>
      </c>
      <c r="F37" s="1" t="s">
        <v>778</v>
      </c>
      <c r="G37" s="1" t="s">
        <v>778</v>
      </c>
      <c r="H37" s="1" t="s">
        <v>778</v>
      </c>
      <c r="Y37" s="1" t="s">
        <v>778</v>
      </c>
      <c r="AA37" s="1" t="s">
        <v>778</v>
      </c>
      <c r="CD37" s="1" t="s">
        <v>778</v>
      </c>
    </row>
    <row r="38" spans="1:160" ht="72.5" x14ac:dyDescent="0.35">
      <c r="A38" s="1" t="s">
        <v>776</v>
      </c>
      <c r="B38" s="1" t="s">
        <v>24</v>
      </c>
      <c r="C38" s="1" t="s">
        <v>814</v>
      </c>
      <c r="D38" s="1" t="s">
        <v>778</v>
      </c>
      <c r="E38" s="1" t="s">
        <v>778</v>
      </c>
      <c r="F38" s="1" t="s">
        <v>778</v>
      </c>
      <c r="G38" s="1" t="s">
        <v>778</v>
      </c>
      <c r="H38" s="1" t="s">
        <v>778</v>
      </c>
      <c r="I38" s="1" t="s">
        <v>778</v>
      </c>
      <c r="J38" s="1" t="s">
        <v>778</v>
      </c>
      <c r="CI38" s="1" t="s">
        <v>778</v>
      </c>
    </row>
    <row r="39" spans="1:160" ht="72.5" x14ac:dyDescent="0.35">
      <c r="A39" s="1" t="s">
        <v>776</v>
      </c>
      <c r="B39" s="1" t="s">
        <v>24</v>
      </c>
      <c r="C39" s="1" t="s">
        <v>814</v>
      </c>
      <c r="D39" s="1" t="s">
        <v>778</v>
      </c>
      <c r="E39" s="1" t="s">
        <v>778</v>
      </c>
      <c r="F39" s="1" t="s">
        <v>778</v>
      </c>
      <c r="G39" s="1" t="s">
        <v>778</v>
      </c>
      <c r="H39" s="1" t="s">
        <v>778</v>
      </c>
      <c r="AL39" s="1" t="s">
        <v>778</v>
      </c>
      <c r="AN39" s="1" t="s">
        <v>778</v>
      </c>
      <c r="AO39" s="1" t="s">
        <v>778</v>
      </c>
      <c r="AS39" s="1" t="s">
        <v>778</v>
      </c>
      <c r="AW39" s="1" t="s">
        <v>778</v>
      </c>
      <c r="BA39" s="1" t="s">
        <v>778</v>
      </c>
      <c r="CD39" s="1" t="s">
        <v>778</v>
      </c>
      <c r="DB39" s="1" t="s">
        <v>778</v>
      </c>
      <c r="DG39" s="1" t="s">
        <v>778</v>
      </c>
    </row>
    <row r="40" spans="1:160" ht="87" x14ac:dyDescent="0.35">
      <c r="A40" s="1" t="s">
        <v>776</v>
      </c>
      <c r="B40" s="1" t="s">
        <v>24</v>
      </c>
      <c r="C40" s="1" t="s">
        <v>815</v>
      </c>
      <c r="D40" s="1" t="s">
        <v>778</v>
      </c>
      <c r="E40" s="1" t="s">
        <v>778</v>
      </c>
      <c r="F40" s="1" t="s">
        <v>778</v>
      </c>
      <c r="G40" s="1" t="s">
        <v>778</v>
      </c>
      <c r="H40" s="1" t="s">
        <v>778</v>
      </c>
      <c r="Y40" s="1" t="s">
        <v>778</v>
      </c>
      <c r="AA40" s="1" t="s">
        <v>778</v>
      </c>
      <c r="CD40" s="1" t="s">
        <v>778</v>
      </c>
    </row>
    <row r="41" spans="1:160" ht="58" x14ac:dyDescent="0.35">
      <c r="A41" s="1" t="s">
        <v>776</v>
      </c>
      <c r="B41" s="1" t="s">
        <v>24</v>
      </c>
      <c r="C41" s="1" t="s">
        <v>816</v>
      </c>
      <c r="D41" s="1" t="s">
        <v>778</v>
      </c>
      <c r="E41" s="1" t="s">
        <v>778</v>
      </c>
      <c r="F41" s="1" t="s">
        <v>778</v>
      </c>
      <c r="G41" s="1" t="s">
        <v>778</v>
      </c>
      <c r="H41" s="1" t="s">
        <v>778</v>
      </c>
      <c r="AM41" s="1" t="s">
        <v>778</v>
      </c>
      <c r="AN41" s="1" t="s">
        <v>778</v>
      </c>
      <c r="AY41" s="1" t="s">
        <v>778</v>
      </c>
      <c r="BA41" s="1" t="s">
        <v>778</v>
      </c>
      <c r="BB41" s="1" t="s">
        <v>778</v>
      </c>
      <c r="BD41" s="1" t="s">
        <v>778</v>
      </c>
      <c r="BE41" s="1" t="s">
        <v>778</v>
      </c>
      <c r="BG41" s="1" t="s">
        <v>778</v>
      </c>
      <c r="ET41" s="1" t="s">
        <v>778</v>
      </c>
      <c r="EU41" s="1" t="s">
        <v>778</v>
      </c>
    </row>
    <row r="42" spans="1:160" ht="58" x14ac:dyDescent="0.35">
      <c r="A42" s="1" t="s">
        <v>776</v>
      </c>
      <c r="B42" s="1" t="s">
        <v>24</v>
      </c>
      <c r="C42" s="1" t="s">
        <v>816</v>
      </c>
      <c r="D42" s="1" t="s">
        <v>778</v>
      </c>
      <c r="E42" s="1" t="s">
        <v>778</v>
      </c>
      <c r="F42" s="1" t="s">
        <v>778</v>
      </c>
      <c r="G42" s="1" t="s">
        <v>778</v>
      </c>
      <c r="H42" s="1" t="s">
        <v>778</v>
      </c>
      <c r="AM42" s="1" t="s">
        <v>778</v>
      </c>
      <c r="BD42" s="1" t="s">
        <v>778</v>
      </c>
      <c r="BE42" s="1" t="s">
        <v>778</v>
      </c>
      <c r="BG42" s="1" t="s">
        <v>778</v>
      </c>
      <c r="DZ42" s="1" t="s">
        <v>778</v>
      </c>
      <c r="EA42" s="1" t="s">
        <v>778</v>
      </c>
      <c r="ET42" s="1" t="s">
        <v>778</v>
      </c>
      <c r="EU42" s="1" t="s">
        <v>778</v>
      </c>
    </row>
    <row r="43" spans="1:160" ht="72.5" x14ac:dyDescent="0.35">
      <c r="A43" s="1" t="s">
        <v>776</v>
      </c>
      <c r="B43" s="1" t="s">
        <v>24</v>
      </c>
      <c r="C43" s="1" t="s">
        <v>817</v>
      </c>
      <c r="D43" s="1" t="s">
        <v>778</v>
      </c>
      <c r="E43" s="1" t="s">
        <v>778</v>
      </c>
      <c r="F43" s="1" t="s">
        <v>778</v>
      </c>
      <c r="G43" s="1" t="s">
        <v>778</v>
      </c>
      <c r="H43" s="1" t="s">
        <v>778</v>
      </c>
      <c r="DZ43" s="1" t="s">
        <v>778</v>
      </c>
      <c r="EA43" s="1" t="s">
        <v>778</v>
      </c>
    </row>
    <row r="44" spans="1:160" ht="72.5" x14ac:dyDescent="0.35">
      <c r="A44" s="1" t="s">
        <v>776</v>
      </c>
      <c r="B44" s="1" t="s">
        <v>24</v>
      </c>
      <c r="C44" s="1" t="s">
        <v>818</v>
      </c>
      <c r="D44" s="1" t="s">
        <v>778</v>
      </c>
      <c r="E44" s="1" t="s">
        <v>778</v>
      </c>
      <c r="F44" s="1" t="s">
        <v>778</v>
      </c>
      <c r="G44" s="1" t="s">
        <v>778</v>
      </c>
      <c r="H44" s="1" t="s">
        <v>778</v>
      </c>
      <c r="I44" s="1" t="s">
        <v>778</v>
      </c>
      <c r="BQ44" s="1" t="s">
        <v>778</v>
      </c>
      <c r="BR44" s="1" t="s">
        <v>778</v>
      </c>
      <c r="BS44" s="1" t="s">
        <v>778</v>
      </c>
      <c r="BT44" s="1" t="s">
        <v>778</v>
      </c>
      <c r="BU44" s="1" t="s">
        <v>778</v>
      </c>
      <c r="CI44" s="1" t="s">
        <v>778</v>
      </c>
    </row>
    <row r="45" spans="1:160" ht="43.5" x14ac:dyDescent="0.35">
      <c r="A45" s="1" t="s">
        <v>776</v>
      </c>
      <c r="B45" s="1" t="s">
        <v>24</v>
      </c>
      <c r="C45" s="1" t="s">
        <v>819</v>
      </c>
      <c r="D45" s="1" t="s">
        <v>778</v>
      </c>
      <c r="E45" s="1" t="s">
        <v>778</v>
      </c>
      <c r="F45" s="1" t="s">
        <v>778</v>
      </c>
      <c r="G45" s="1" t="s">
        <v>778</v>
      </c>
      <c r="H45" s="1" t="s">
        <v>778</v>
      </c>
      <c r="DH45" s="1" t="s">
        <v>778</v>
      </c>
      <c r="DI45" s="1" t="s">
        <v>778</v>
      </c>
      <c r="DJ45" s="1" t="s">
        <v>778</v>
      </c>
      <c r="DK45" s="1" t="s">
        <v>778</v>
      </c>
      <c r="EV45" s="1" t="s">
        <v>778</v>
      </c>
      <c r="EW45" s="1" t="s">
        <v>778</v>
      </c>
      <c r="EX45" s="1" t="s">
        <v>778</v>
      </c>
      <c r="EY45" s="1" t="s">
        <v>778</v>
      </c>
      <c r="EZ45" s="1" t="s">
        <v>778</v>
      </c>
      <c r="FA45" s="1" t="s">
        <v>778</v>
      </c>
      <c r="FB45" s="1" t="s">
        <v>778</v>
      </c>
    </row>
    <row r="46" spans="1:160" ht="101.5" x14ac:dyDescent="0.35">
      <c r="A46" s="1" t="s">
        <v>776</v>
      </c>
      <c r="B46" s="1" t="s">
        <v>820</v>
      </c>
      <c r="C46" s="1" t="s">
        <v>821</v>
      </c>
      <c r="D46" s="1" t="s">
        <v>778</v>
      </c>
      <c r="E46" s="1" t="s">
        <v>778</v>
      </c>
      <c r="F46" s="1" t="s">
        <v>778</v>
      </c>
      <c r="G46" s="1" t="s">
        <v>778</v>
      </c>
      <c r="H46" s="1" t="s">
        <v>778</v>
      </c>
      <c r="AM46" s="1" t="s">
        <v>778</v>
      </c>
      <c r="AQ46" s="1" t="s">
        <v>778</v>
      </c>
      <c r="BD46" s="1" t="s">
        <v>778</v>
      </c>
      <c r="BE46" s="1" t="s">
        <v>778</v>
      </c>
      <c r="BF46" s="1" t="s">
        <v>778</v>
      </c>
      <c r="BG46" s="1" t="s">
        <v>778</v>
      </c>
      <c r="BH46" s="1" t="s">
        <v>778</v>
      </c>
      <c r="BI46" s="1" t="s">
        <v>778</v>
      </c>
      <c r="FC46" s="1" t="s">
        <v>778</v>
      </c>
      <c r="FD46" s="1" t="s">
        <v>778</v>
      </c>
    </row>
    <row r="47" spans="1:160" ht="101.5" x14ac:dyDescent="0.35">
      <c r="A47" s="1" t="s">
        <v>776</v>
      </c>
      <c r="B47" s="1" t="s">
        <v>820</v>
      </c>
      <c r="C47" s="1" t="s">
        <v>822</v>
      </c>
      <c r="D47" s="1" t="s">
        <v>778</v>
      </c>
      <c r="E47" s="1" t="s">
        <v>778</v>
      </c>
      <c r="F47" s="1" t="s">
        <v>778</v>
      </c>
      <c r="G47" s="1" t="s">
        <v>778</v>
      </c>
      <c r="H47" s="1" t="s">
        <v>778</v>
      </c>
      <c r="AM47" s="1" t="s">
        <v>778</v>
      </c>
      <c r="AN47" s="1" t="s">
        <v>778</v>
      </c>
      <c r="AY47" s="1" t="s">
        <v>778</v>
      </c>
      <c r="BA47" s="1" t="s">
        <v>778</v>
      </c>
      <c r="BB47" s="1" t="s">
        <v>778</v>
      </c>
      <c r="BD47" s="1" t="s">
        <v>778</v>
      </c>
      <c r="BE47" s="1" t="s">
        <v>778</v>
      </c>
      <c r="BF47" s="1" t="s">
        <v>778</v>
      </c>
      <c r="BG47" s="1" t="s">
        <v>778</v>
      </c>
      <c r="BH47" s="1" t="s">
        <v>778</v>
      </c>
      <c r="BI47" s="1" t="s">
        <v>778</v>
      </c>
      <c r="FC47" s="1" t="s">
        <v>778</v>
      </c>
    </row>
    <row r="48" spans="1:160" ht="101.5" x14ac:dyDescent="0.35">
      <c r="A48" s="1" t="s">
        <v>776</v>
      </c>
      <c r="B48" s="1" t="s">
        <v>820</v>
      </c>
      <c r="C48" s="1" t="s">
        <v>823</v>
      </c>
      <c r="D48" s="1" t="s">
        <v>778</v>
      </c>
      <c r="E48" s="1" t="s">
        <v>778</v>
      </c>
      <c r="F48" s="1" t="s">
        <v>778</v>
      </c>
      <c r="G48" s="1" t="s">
        <v>778</v>
      </c>
      <c r="AM48" s="1" t="s">
        <v>778</v>
      </c>
      <c r="AQ48" s="1" t="s">
        <v>778</v>
      </c>
      <c r="AZ48" s="1" t="s">
        <v>778</v>
      </c>
      <c r="BD48" s="1" t="s">
        <v>778</v>
      </c>
      <c r="BE48" s="1" t="s">
        <v>778</v>
      </c>
      <c r="BF48" s="1" t="s">
        <v>778</v>
      </c>
      <c r="BG48" s="1" t="s">
        <v>778</v>
      </c>
      <c r="BH48" s="1" t="s">
        <v>778</v>
      </c>
      <c r="BI48" s="1" t="s">
        <v>778</v>
      </c>
      <c r="FC48" s="1" t="s">
        <v>778</v>
      </c>
      <c r="FD48" s="1" t="s">
        <v>778</v>
      </c>
    </row>
    <row r="49" spans="1:198" ht="101.5" x14ac:dyDescent="0.35">
      <c r="A49" s="1" t="s">
        <v>776</v>
      </c>
      <c r="B49" s="1" t="s">
        <v>820</v>
      </c>
      <c r="C49" s="1" t="s">
        <v>824</v>
      </c>
      <c r="D49" s="1" t="s">
        <v>778</v>
      </c>
      <c r="E49" s="1" t="s">
        <v>778</v>
      </c>
      <c r="F49" s="1" t="s">
        <v>778</v>
      </c>
      <c r="G49" s="1" t="s">
        <v>778</v>
      </c>
      <c r="H49" s="1" t="s">
        <v>778</v>
      </c>
      <c r="AQ49" s="1" t="s">
        <v>778</v>
      </c>
      <c r="BD49" s="1" t="s">
        <v>778</v>
      </c>
      <c r="BE49" s="1" t="s">
        <v>778</v>
      </c>
      <c r="BF49" s="1" t="s">
        <v>778</v>
      </c>
      <c r="BG49" s="1" t="s">
        <v>778</v>
      </c>
      <c r="BH49" s="1" t="s">
        <v>778</v>
      </c>
      <c r="BI49" s="1" t="s">
        <v>778</v>
      </c>
      <c r="DY49" s="1" t="s">
        <v>778</v>
      </c>
      <c r="FC49" s="1" t="s">
        <v>778</v>
      </c>
      <c r="FD49" s="1" t="s">
        <v>778</v>
      </c>
    </row>
    <row r="50" spans="1:198" ht="116" x14ac:dyDescent="0.35">
      <c r="A50" s="1" t="s">
        <v>776</v>
      </c>
      <c r="B50" s="1" t="s">
        <v>820</v>
      </c>
      <c r="C50" s="1" t="s">
        <v>825</v>
      </c>
      <c r="D50" s="1" t="s">
        <v>778</v>
      </c>
      <c r="E50" s="1" t="s">
        <v>778</v>
      </c>
      <c r="F50" s="1" t="s">
        <v>778</v>
      </c>
      <c r="G50" s="1" t="s">
        <v>778</v>
      </c>
      <c r="H50" s="1" t="s">
        <v>778</v>
      </c>
      <c r="AM50" s="1" t="s">
        <v>778</v>
      </c>
      <c r="AQ50" s="1" t="s">
        <v>778</v>
      </c>
      <c r="BD50" s="1" t="s">
        <v>778</v>
      </c>
      <c r="BE50" s="1" t="s">
        <v>778</v>
      </c>
      <c r="BF50" s="1" t="s">
        <v>778</v>
      </c>
      <c r="BG50" s="1" t="s">
        <v>778</v>
      </c>
      <c r="BH50" s="1" t="s">
        <v>778</v>
      </c>
      <c r="BI50" s="1" t="s">
        <v>778</v>
      </c>
      <c r="DZ50" s="1" t="s">
        <v>778</v>
      </c>
      <c r="FC50" s="1" t="s">
        <v>778</v>
      </c>
      <c r="FD50" s="1" t="s">
        <v>778</v>
      </c>
    </row>
    <row r="51" spans="1:198" ht="116" x14ac:dyDescent="0.35">
      <c r="A51" s="1" t="s">
        <v>776</v>
      </c>
      <c r="B51" s="1" t="s">
        <v>820</v>
      </c>
      <c r="C51" s="1" t="s">
        <v>826</v>
      </c>
      <c r="D51" s="1" t="s">
        <v>778</v>
      </c>
      <c r="E51" s="1" t="s">
        <v>778</v>
      </c>
      <c r="F51" s="1" t="s">
        <v>778</v>
      </c>
      <c r="G51" s="1" t="s">
        <v>778</v>
      </c>
      <c r="H51" s="1" t="s">
        <v>778</v>
      </c>
      <c r="AB51" s="1" t="s">
        <v>778</v>
      </c>
      <c r="AM51" s="1" t="s">
        <v>778</v>
      </c>
      <c r="AQ51" s="1" t="s">
        <v>778</v>
      </c>
      <c r="BD51" s="1" t="s">
        <v>778</v>
      </c>
      <c r="BE51" s="1" t="s">
        <v>778</v>
      </c>
      <c r="BF51" s="1" t="s">
        <v>778</v>
      </c>
      <c r="BG51" s="1" t="s">
        <v>778</v>
      </c>
      <c r="BH51" s="1" t="s">
        <v>778</v>
      </c>
      <c r="BI51" s="1" t="s">
        <v>778</v>
      </c>
      <c r="FD51" s="1" t="s">
        <v>778</v>
      </c>
      <c r="FE51" s="1" t="s">
        <v>778</v>
      </c>
    </row>
    <row r="52" spans="1:198" ht="101.5" x14ac:dyDescent="0.35">
      <c r="A52" s="1" t="s">
        <v>776</v>
      </c>
      <c r="B52" s="1" t="s">
        <v>820</v>
      </c>
      <c r="C52" s="3" t="s">
        <v>827</v>
      </c>
      <c r="D52" s="1" t="s">
        <v>778</v>
      </c>
      <c r="E52" s="1" t="s">
        <v>778</v>
      </c>
      <c r="F52" s="1" t="s">
        <v>778</v>
      </c>
      <c r="G52" s="1" t="s">
        <v>778</v>
      </c>
      <c r="H52" s="1" t="s">
        <v>778</v>
      </c>
      <c r="Y52" s="1" t="s">
        <v>778</v>
      </c>
      <c r="AA52" s="1" t="s">
        <v>778</v>
      </c>
      <c r="AM52" s="1" t="s">
        <v>778</v>
      </c>
      <c r="AQ52" s="1" t="s">
        <v>778</v>
      </c>
      <c r="BD52" s="1" t="s">
        <v>778</v>
      </c>
      <c r="BE52" s="1" t="s">
        <v>778</v>
      </c>
      <c r="BF52" s="1" t="s">
        <v>778</v>
      </c>
      <c r="BG52" s="1" t="s">
        <v>778</v>
      </c>
      <c r="BH52" s="1" t="s">
        <v>778</v>
      </c>
      <c r="BI52" s="1" t="s">
        <v>778</v>
      </c>
      <c r="FC52" s="1" t="s">
        <v>778</v>
      </c>
    </row>
    <row r="53" spans="1:198" ht="101.5" x14ac:dyDescent="0.35">
      <c r="A53" s="1" t="s">
        <v>776</v>
      </c>
      <c r="B53" s="1" t="s">
        <v>820</v>
      </c>
      <c r="C53" s="1" t="s">
        <v>828</v>
      </c>
      <c r="D53" s="1" t="s">
        <v>778</v>
      </c>
      <c r="E53" s="1" t="s">
        <v>778</v>
      </c>
      <c r="F53" s="1" t="s">
        <v>778</v>
      </c>
      <c r="G53" s="1" t="s">
        <v>778</v>
      </c>
      <c r="H53" s="1" t="s">
        <v>778</v>
      </c>
      <c r="I53" s="1" t="s">
        <v>778</v>
      </c>
      <c r="J53" s="1" t="s">
        <v>778</v>
      </c>
      <c r="X53" s="1" t="s">
        <v>778</v>
      </c>
      <c r="Z53" s="1" t="s">
        <v>778</v>
      </c>
      <c r="AS53" s="1" t="s">
        <v>778</v>
      </c>
      <c r="DY53" s="1" t="s">
        <v>778</v>
      </c>
      <c r="FD53" s="1" t="s">
        <v>778</v>
      </c>
      <c r="FF53" s="1" t="s">
        <v>778</v>
      </c>
      <c r="FG53" s="1" t="s">
        <v>778</v>
      </c>
      <c r="FH53" s="1" t="s">
        <v>778</v>
      </c>
    </row>
    <row r="54" spans="1:198" ht="116" x14ac:dyDescent="0.35">
      <c r="A54" s="1" t="s">
        <v>776</v>
      </c>
      <c r="B54" s="1" t="s">
        <v>820</v>
      </c>
      <c r="C54" s="1" t="s">
        <v>829</v>
      </c>
      <c r="D54" s="1" t="s">
        <v>778</v>
      </c>
      <c r="E54" s="1" t="s">
        <v>778</v>
      </c>
      <c r="F54" s="1" t="s">
        <v>778</v>
      </c>
      <c r="G54" s="1" t="s">
        <v>778</v>
      </c>
      <c r="H54" s="1" t="s">
        <v>778</v>
      </c>
      <c r="AC54" s="1" t="s">
        <v>778</v>
      </c>
      <c r="AD54" s="1" t="s">
        <v>778</v>
      </c>
      <c r="AI54" s="1" t="s">
        <v>778</v>
      </c>
      <c r="DP54" s="1" t="s">
        <v>778</v>
      </c>
    </row>
    <row r="55" spans="1:198" ht="101.5" x14ac:dyDescent="0.35">
      <c r="A55" s="1" t="s">
        <v>776</v>
      </c>
      <c r="B55" s="1" t="s">
        <v>820</v>
      </c>
      <c r="C55" s="1" t="s">
        <v>830</v>
      </c>
      <c r="D55" s="1" t="s">
        <v>778</v>
      </c>
      <c r="E55" s="1" t="s">
        <v>778</v>
      </c>
      <c r="F55" s="1" t="s">
        <v>778</v>
      </c>
      <c r="G55" s="1" t="s">
        <v>778</v>
      </c>
      <c r="H55" s="1" t="s">
        <v>778</v>
      </c>
      <c r="FI55" s="1" t="s">
        <v>778</v>
      </c>
      <c r="FJ55" s="1" t="s">
        <v>778</v>
      </c>
      <c r="FK55" s="1" t="s">
        <v>778</v>
      </c>
      <c r="FL55" s="1" t="s">
        <v>778</v>
      </c>
      <c r="FM55" s="1" t="s">
        <v>778</v>
      </c>
      <c r="FN55" s="1" t="s">
        <v>778</v>
      </c>
      <c r="FO55" s="1" t="s">
        <v>778</v>
      </c>
      <c r="FQ55" s="1" t="s">
        <v>778</v>
      </c>
      <c r="FR55" s="1" t="s">
        <v>778</v>
      </c>
      <c r="FS55" s="1" t="s">
        <v>778</v>
      </c>
      <c r="FT55" s="1" t="s">
        <v>778</v>
      </c>
      <c r="FU55" s="1" t="s">
        <v>778</v>
      </c>
      <c r="FV55" s="1" t="s">
        <v>778</v>
      </c>
      <c r="FW55" s="1" t="s">
        <v>778</v>
      </c>
      <c r="FX55" s="1" t="s">
        <v>778</v>
      </c>
      <c r="FZ55" s="1" t="s">
        <v>778</v>
      </c>
    </row>
    <row r="56" spans="1:198" ht="58" x14ac:dyDescent="0.35">
      <c r="A56" s="1" t="s">
        <v>776</v>
      </c>
      <c r="B56" s="1" t="s">
        <v>820</v>
      </c>
      <c r="C56" s="1" t="s">
        <v>831</v>
      </c>
      <c r="D56" s="1" t="s">
        <v>778</v>
      </c>
      <c r="E56" s="1" t="s">
        <v>778</v>
      </c>
      <c r="F56" s="1" t="s">
        <v>778</v>
      </c>
      <c r="G56" s="1" t="s">
        <v>778</v>
      </c>
      <c r="H56" s="1" t="s">
        <v>778</v>
      </c>
      <c r="FI56" s="1" t="s">
        <v>778</v>
      </c>
      <c r="FJ56" s="1" t="s">
        <v>778</v>
      </c>
      <c r="FK56" s="1" t="s">
        <v>778</v>
      </c>
      <c r="FL56" s="1" t="s">
        <v>778</v>
      </c>
      <c r="FM56" s="1" t="s">
        <v>778</v>
      </c>
      <c r="FN56" s="1" t="s">
        <v>778</v>
      </c>
      <c r="FO56" s="1" t="s">
        <v>778</v>
      </c>
      <c r="FQ56" s="1" t="s">
        <v>778</v>
      </c>
    </row>
    <row r="57" spans="1:198" ht="101.5" x14ac:dyDescent="0.35">
      <c r="A57" s="1" t="s">
        <v>776</v>
      </c>
      <c r="B57" s="1" t="s">
        <v>820</v>
      </c>
      <c r="C57" s="1" t="s">
        <v>832</v>
      </c>
      <c r="D57" s="1" t="s">
        <v>778</v>
      </c>
      <c r="E57" s="1" t="s">
        <v>778</v>
      </c>
      <c r="F57" s="1" t="s">
        <v>778</v>
      </c>
      <c r="G57" s="1" t="s">
        <v>778</v>
      </c>
      <c r="H57" s="1" t="s">
        <v>778</v>
      </c>
      <c r="AB57" s="1" t="s">
        <v>778</v>
      </c>
      <c r="AH57" s="1" t="s">
        <v>778</v>
      </c>
      <c r="AU57" s="1" t="s">
        <v>778</v>
      </c>
      <c r="CR57" s="1" t="s">
        <v>778</v>
      </c>
      <c r="CS57" s="1" t="s">
        <v>778</v>
      </c>
      <c r="CT57" s="1" t="s">
        <v>778</v>
      </c>
      <c r="CW57" s="1" t="s">
        <v>778</v>
      </c>
      <c r="CX57" s="1" t="s">
        <v>778</v>
      </c>
      <c r="CY57" s="1" t="s">
        <v>778</v>
      </c>
      <c r="CZ57" s="1" t="s">
        <v>778</v>
      </c>
      <c r="GA57" s="1" t="s">
        <v>778</v>
      </c>
    </row>
    <row r="58" spans="1:198" ht="116" x14ac:dyDescent="0.35">
      <c r="A58" s="1" t="s">
        <v>776</v>
      </c>
      <c r="B58" s="1" t="s">
        <v>820</v>
      </c>
      <c r="C58" s="1" t="s">
        <v>833</v>
      </c>
      <c r="D58" s="1" t="s">
        <v>778</v>
      </c>
      <c r="E58" s="1" t="s">
        <v>778</v>
      </c>
      <c r="F58" s="1" t="s">
        <v>778</v>
      </c>
      <c r="G58" s="1" t="s">
        <v>778</v>
      </c>
      <c r="H58" s="1" t="s">
        <v>778</v>
      </c>
      <c r="I58" s="1" t="s">
        <v>778</v>
      </c>
      <c r="J58" s="1" t="s">
        <v>778</v>
      </c>
      <c r="M58" s="1" t="s">
        <v>778</v>
      </c>
      <c r="O58" s="1" t="s">
        <v>778</v>
      </c>
      <c r="P58" s="1" t="s">
        <v>778</v>
      </c>
      <c r="Q58" s="1" t="s">
        <v>778</v>
      </c>
      <c r="AH58" s="1" t="s">
        <v>778</v>
      </c>
      <c r="AV58" s="1" t="s">
        <v>778</v>
      </c>
      <c r="CJ58" s="1" t="s">
        <v>778</v>
      </c>
      <c r="CU58" s="1" t="s">
        <v>778</v>
      </c>
    </row>
    <row r="59" spans="1:198" ht="58" x14ac:dyDescent="0.35">
      <c r="A59" s="1" t="s">
        <v>776</v>
      </c>
      <c r="B59" s="1" t="s">
        <v>820</v>
      </c>
      <c r="C59" s="1" t="s">
        <v>834</v>
      </c>
      <c r="D59" s="1" t="s">
        <v>778</v>
      </c>
      <c r="E59" s="1" t="s">
        <v>778</v>
      </c>
      <c r="F59" s="1" t="s">
        <v>778</v>
      </c>
      <c r="G59" s="1" t="s">
        <v>778</v>
      </c>
      <c r="H59" s="1" t="s">
        <v>778</v>
      </c>
      <c r="I59" s="1" t="s">
        <v>778</v>
      </c>
      <c r="J59" s="1" t="s">
        <v>778</v>
      </c>
      <c r="M59" s="1" t="s">
        <v>778</v>
      </c>
      <c r="N59" s="1" t="s">
        <v>778</v>
      </c>
      <c r="AL59" s="1" t="s">
        <v>778</v>
      </c>
      <c r="AN59" s="1" t="s">
        <v>778</v>
      </c>
      <c r="BB59" s="1" t="s">
        <v>778</v>
      </c>
      <c r="FR59" s="1" t="s">
        <v>778</v>
      </c>
      <c r="GB59" s="1" t="s">
        <v>778</v>
      </c>
      <c r="GC59" s="1" t="s">
        <v>778</v>
      </c>
      <c r="GD59" s="1" t="s">
        <v>778</v>
      </c>
      <c r="GE59" s="1" t="s">
        <v>778</v>
      </c>
      <c r="GF59" s="1" t="s">
        <v>778</v>
      </c>
      <c r="GG59" s="1" t="s">
        <v>778</v>
      </c>
      <c r="GH59" s="1" t="s">
        <v>778</v>
      </c>
      <c r="GI59" s="1" t="s">
        <v>778</v>
      </c>
      <c r="GJ59" s="1" t="s">
        <v>778</v>
      </c>
    </row>
    <row r="60" spans="1:198" ht="58" x14ac:dyDescent="0.35">
      <c r="A60" s="1" t="s">
        <v>776</v>
      </c>
      <c r="B60" s="1" t="s">
        <v>820</v>
      </c>
      <c r="C60" s="1" t="s">
        <v>835</v>
      </c>
      <c r="D60" s="1" t="s">
        <v>778</v>
      </c>
      <c r="E60" s="1" t="s">
        <v>778</v>
      </c>
      <c r="F60" s="1" t="s">
        <v>778</v>
      </c>
      <c r="G60" s="1" t="s">
        <v>778</v>
      </c>
      <c r="H60" s="1" t="s">
        <v>778</v>
      </c>
      <c r="AL60" s="1" t="s">
        <v>778</v>
      </c>
      <c r="AN60" s="1" t="s">
        <v>778</v>
      </c>
      <c r="AW60" s="1" t="s">
        <v>778</v>
      </c>
      <c r="AX60" s="1" t="s">
        <v>778</v>
      </c>
      <c r="BA60" s="1" t="s">
        <v>778</v>
      </c>
      <c r="FR60" s="1" t="s">
        <v>778</v>
      </c>
      <c r="GB60" s="1" t="s">
        <v>778</v>
      </c>
      <c r="GC60" s="1" t="s">
        <v>778</v>
      </c>
      <c r="GD60" s="1" t="s">
        <v>778</v>
      </c>
      <c r="GE60" s="1" t="s">
        <v>778</v>
      </c>
      <c r="GF60" s="1" t="s">
        <v>778</v>
      </c>
      <c r="GG60" s="1" t="s">
        <v>778</v>
      </c>
      <c r="GH60" s="1" t="s">
        <v>778</v>
      </c>
      <c r="GI60" s="1" t="s">
        <v>778</v>
      </c>
      <c r="GJ60" s="1" t="s">
        <v>778</v>
      </c>
    </row>
    <row r="61" spans="1:198" ht="87" x14ac:dyDescent="0.35">
      <c r="A61" s="1" t="s">
        <v>776</v>
      </c>
      <c r="B61" s="1" t="s">
        <v>820</v>
      </c>
      <c r="C61" s="1" t="s">
        <v>836</v>
      </c>
      <c r="D61" s="1" t="s">
        <v>778</v>
      </c>
      <c r="E61" s="1" t="s">
        <v>778</v>
      </c>
      <c r="F61" s="1" t="s">
        <v>778</v>
      </c>
      <c r="G61" s="1" t="s">
        <v>778</v>
      </c>
      <c r="H61" s="1" t="s">
        <v>778</v>
      </c>
      <c r="AL61" s="1" t="s">
        <v>778</v>
      </c>
      <c r="BB61" s="1" t="s">
        <v>778</v>
      </c>
      <c r="BC61" s="1" t="s">
        <v>778</v>
      </c>
      <c r="FR61" s="1" t="s">
        <v>778</v>
      </c>
      <c r="GB61" s="1" t="s">
        <v>778</v>
      </c>
      <c r="GC61" s="1" t="s">
        <v>778</v>
      </c>
      <c r="GD61" s="1" t="s">
        <v>778</v>
      </c>
      <c r="GE61" s="1" t="s">
        <v>778</v>
      </c>
      <c r="GF61" s="1" t="s">
        <v>778</v>
      </c>
      <c r="GG61" s="1" t="s">
        <v>778</v>
      </c>
      <c r="GH61" s="1" t="s">
        <v>778</v>
      </c>
      <c r="GI61" s="1" t="s">
        <v>778</v>
      </c>
      <c r="GJ61" s="1" t="s">
        <v>778</v>
      </c>
    </row>
    <row r="62" spans="1:198" ht="72.5" x14ac:dyDescent="0.35">
      <c r="A62" s="1" t="s">
        <v>776</v>
      </c>
      <c r="B62" s="1" t="s">
        <v>820</v>
      </c>
      <c r="C62" s="1" t="s">
        <v>837</v>
      </c>
      <c r="D62" s="1" t="s">
        <v>778</v>
      </c>
      <c r="E62" s="1" t="s">
        <v>778</v>
      </c>
      <c r="F62" s="1" t="s">
        <v>778</v>
      </c>
      <c r="G62" s="1" t="s">
        <v>778</v>
      </c>
      <c r="H62" s="1" t="s">
        <v>778</v>
      </c>
      <c r="FI62" s="1" t="s">
        <v>778</v>
      </c>
      <c r="FR62" s="1" t="s">
        <v>778</v>
      </c>
      <c r="GB62" s="1" t="s">
        <v>778</v>
      </c>
      <c r="GC62" s="1" t="s">
        <v>778</v>
      </c>
      <c r="GD62" s="1" t="s">
        <v>778</v>
      </c>
      <c r="GE62" s="1" t="s">
        <v>778</v>
      </c>
      <c r="GG62" s="1" t="s">
        <v>778</v>
      </c>
      <c r="GH62" s="1" t="s">
        <v>778</v>
      </c>
      <c r="GI62" s="1" t="s">
        <v>778</v>
      </c>
      <c r="GJ62" s="1" t="s">
        <v>778</v>
      </c>
    </row>
    <row r="63" spans="1:198" ht="116" x14ac:dyDescent="0.35">
      <c r="A63" s="1" t="s">
        <v>776</v>
      </c>
      <c r="B63" s="1" t="s">
        <v>820</v>
      </c>
      <c r="C63" s="1" t="s">
        <v>838</v>
      </c>
      <c r="D63" s="1" t="s">
        <v>778</v>
      </c>
      <c r="E63" s="1" t="s">
        <v>778</v>
      </c>
      <c r="F63" s="1" t="s">
        <v>778</v>
      </c>
      <c r="G63" s="1" t="s">
        <v>778</v>
      </c>
      <c r="H63" s="1" t="s">
        <v>778</v>
      </c>
      <c r="AH63" s="1" t="s">
        <v>778</v>
      </c>
      <c r="AK63" s="1" t="s">
        <v>778</v>
      </c>
      <c r="AZ63" s="1" t="s">
        <v>778</v>
      </c>
      <c r="DZ63" s="1" t="s">
        <v>778</v>
      </c>
      <c r="EA63" s="1" t="s">
        <v>778</v>
      </c>
      <c r="EB63" s="1" t="s">
        <v>778</v>
      </c>
      <c r="FI63" s="1" t="s">
        <v>778</v>
      </c>
      <c r="FJ63" s="1" t="s">
        <v>778</v>
      </c>
      <c r="FK63" s="1" t="s">
        <v>778</v>
      </c>
      <c r="FL63" s="1" t="s">
        <v>778</v>
      </c>
      <c r="FM63" s="1" t="s">
        <v>778</v>
      </c>
      <c r="FN63" s="1" t="s">
        <v>778</v>
      </c>
      <c r="FO63" s="1" t="s">
        <v>778</v>
      </c>
      <c r="FP63" s="1" t="s">
        <v>778</v>
      </c>
      <c r="FQ63" s="1" t="s">
        <v>778</v>
      </c>
    </row>
    <row r="64" spans="1:198" ht="101.5" x14ac:dyDescent="0.35">
      <c r="A64" s="1" t="s">
        <v>776</v>
      </c>
      <c r="B64" s="1" t="s">
        <v>820</v>
      </c>
      <c r="C64" s="1" t="s">
        <v>839</v>
      </c>
      <c r="D64" s="1" t="s">
        <v>778</v>
      </c>
      <c r="E64" s="1" t="s">
        <v>778</v>
      </c>
      <c r="F64" s="1" t="s">
        <v>778</v>
      </c>
      <c r="G64" s="1" t="s">
        <v>778</v>
      </c>
      <c r="H64" s="1" t="s">
        <v>778</v>
      </c>
      <c r="BO64" s="1" t="s">
        <v>778</v>
      </c>
      <c r="BP64" s="1" t="s">
        <v>778</v>
      </c>
      <c r="GK64" s="1" t="s">
        <v>778</v>
      </c>
      <c r="GL64" s="1" t="s">
        <v>778</v>
      </c>
      <c r="GM64" s="1" t="s">
        <v>778</v>
      </c>
      <c r="GN64" s="1" t="s">
        <v>778</v>
      </c>
      <c r="GO64" s="1" t="s">
        <v>778</v>
      </c>
      <c r="GP64" s="1" t="s">
        <v>778</v>
      </c>
    </row>
    <row r="65" spans="1:210" ht="101.5" x14ac:dyDescent="0.35">
      <c r="A65" s="1" t="s">
        <v>776</v>
      </c>
      <c r="B65" s="1" t="s">
        <v>820</v>
      </c>
      <c r="C65" s="1" t="s">
        <v>840</v>
      </c>
      <c r="D65" s="1" t="s">
        <v>778</v>
      </c>
      <c r="E65" s="1" t="s">
        <v>778</v>
      </c>
      <c r="F65" s="1" t="s">
        <v>778</v>
      </c>
      <c r="G65" s="1" t="s">
        <v>778</v>
      </c>
      <c r="H65" s="1" t="s">
        <v>778</v>
      </c>
      <c r="I65" s="1" t="s">
        <v>778</v>
      </c>
      <c r="J65" s="1" t="s">
        <v>778</v>
      </c>
      <c r="N65" s="1" t="s">
        <v>778</v>
      </c>
      <c r="O65" s="1" t="s">
        <v>778</v>
      </c>
      <c r="P65" s="1" t="s">
        <v>778</v>
      </c>
      <c r="Q65" s="1" t="s">
        <v>778</v>
      </c>
      <c r="Z65" s="1" t="s">
        <v>778</v>
      </c>
      <c r="AA65" s="1" t="s">
        <v>778</v>
      </c>
      <c r="AQ65" s="1" t="s">
        <v>778</v>
      </c>
      <c r="AR65" s="1" t="s">
        <v>778</v>
      </c>
      <c r="GQ65" s="1" t="s">
        <v>778</v>
      </c>
      <c r="GR65" s="1" t="s">
        <v>778</v>
      </c>
      <c r="GS65" s="1" t="s">
        <v>778</v>
      </c>
      <c r="GT65" s="1" t="s">
        <v>778</v>
      </c>
      <c r="GU65" s="1" t="s">
        <v>778</v>
      </c>
      <c r="GV65" s="1" t="s">
        <v>778</v>
      </c>
    </row>
    <row r="66" spans="1:210" ht="130.5" x14ac:dyDescent="0.35">
      <c r="A66" s="1" t="s">
        <v>776</v>
      </c>
      <c r="B66" s="1" t="s">
        <v>820</v>
      </c>
      <c r="C66" s="1" t="s">
        <v>841</v>
      </c>
      <c r="D66" s="1" t="s">
        <v>778</v>
      </c>
      <c r="E66" s="1" t="s">
        <v>778</v>
      </c>
      <c r="F66" s="1" t="s">
        <v>778</v>
      </c>
      <c r="G66" s="1" t="s">
        <v>778</v>
      </c>
      <c r="H66" s="1" t="s">
        <v>778</v>
      </c>
      <c r="I66" s="1" t="s">
        <v>778</v>
      </c>
      <c r="J66" s="1" t="s">
        <v>778</v>
      </c>
      <c r="N66" s="1" t="s">
        <v>778</v>
      </c>
      <c r="O66" s="1" t="s">
        <v>778</v>
      </c>
      <c r="T66" s="1" t="s">
        <v>778</v>
      </c>
      <c r="U66" s="1" t="s">
        <v>778</v>
      </c>
      <c r="AN66" s="1" t="s">
        <v>778</v>
      </c>
      <c r="AS66" s="1" t="s">
        <v>778</v>
      </c>
      <c r="BB66" s="1" t="s">
        <v>778</v>
      </c>
      <c r="GW66" s="1" t="s">
        <v>778</v>
      </c>
      <c r="GX66" s="1" t="s">
        <v>778</v>
      </c>
      <c r="GY66" s="1" t="s">
        <v>778</v>
      </c>
    </row>
    <row r="67" spans="1:210" ht="130.5" x14ac:dyDescent="0.35">
      <c r="A67" s="1" t="s">
        <v>776</v>
      </c>
      <c r="B67" s="1" t="s">
        <v>820</v>
      </c>
      <c r="C67" s="1" t="s">
        <v>842</v>
      </c>
      <c r="D67" s="1" t="s">
        <v>778</v>
      </c>
      <c r="E67" s="1" t="s">
        <v>778</v>
      </c>
      <c r="F67" s="1" t="s">
        <v>778</v>
      </c>
      <c r="G67" s="1" t="s">
        <v>778</v>
      </c>
      <c r="H67" s="1" t="s">
        <v>778</v>
      </c>
      <c r="I67" s="1" t="s">
        <v>778</v>
      </c>
      <c r="J67" s="1" t="s">
        <v>778</v>
      </c>
      <c r="N67" s="1" t="s">
        <v>778</v>
      </c>
      <c r="O67" s="1" t="s">
        <v>778</v>
      </c>
      <c r="T67" s="1" t="s">
        <v>778</v>
      </c>
      <c r="U67" s="1" t="s">
        <v>778</v>
      </c>
      <c r="AK67" s="1" t="s">
        <v>778</v>
      </c>
      <c r="AN67" s="1" t="s">
        <v>778</v>
      </c>
      <c r="BB67" s="1" t="s">
        <v>778</v>
      </c>
      <c r="FI67" s="1" t="s">
        <v>778</v>
      </c>
      <c r="FJ67" s="1" t="s">
        <v>778</v>
      </c>
      <c r="FK67" s="1" t="s">
        <v>778</v>
      </c>
      <c r="FL67" s="1" t="s">
        <v>778</v>
      </c>
      <c r="FM67" s="1" t="s">
        <v>778</v>
      </c>
      <c r="FN67" s="1" t="s">
        <v>778</v>
      </c>
      <c r="FO67" s="1" t="s">
        <v>778</v>
      </c>
      <c r="FP67" s="1" t="s">
        <v>778</v>
      </c>
      <c r="FQ67" s="1" t="s">
        <v>778</v>
      </c>
      <c r="FR67" s="1" t="s">
        <v>778</v>
      </c>
      <c r="FS67" s="1" t="s">
        <v>778</v>
      </c>
      <c r="FT67" s="1" t="s">
        <v>778</v>
      </c>
      <c r="FU67" s="1" t="s">
        <v>778</v>
      </c>
      <c r="FV67" s="1" t="s">
        <v>778</v>
      </c>
      <c r="FW67" s="1" t="s">
        <v>778</v>
      </c>
      <c r="FX67" s="1" t="s">
        <v>778</v>
      </c>
      <c r="FY67" s="1" t="s">
        <v>778</v>
      </c>
      <c r="FZ67" s="1" t="s">
        <v>778</v>
      </c>
    </row>
    <row r="68" spans="1:210" ht="87" x14ac:dyDescent="0.35">
      <c r="A68" s="1" t="s">
        <v>776</v>
      </c>
      <c r="B68" s="1" t="s">
        <v>820</v>
      </c>
      <c r="C68" s="1" t="s">
        <v>843</v>
      </c>
      <c r="D68" s="1" t="s">
        <v>778</v>
      </c>
      <c r="E68" s="1" t="s">
        <v>778</v>
      </c>
      <c r="F68" s="1" t="s">
        <v>778</v>
      </c>
      <c r="G68" s="1" t="s">
        <v>778</v>
      </c>
      <c r="H68" s="1" t="s">
        <v>778</v>
      </c>
      <c r="I68" s="1" t="s">
        <v>778</v>
      </c>
      <c r="J68" s="1" t="s">
        <v>778</v>
      </c>
      <c r="K68" s="1" t="s">
        <v>778</v>
      </c>
      <c r="L68" s="1" t="s">
        <v>778</v>
      </c>
      <c r="M68" s="1" t="s">
        <v>778</v>
      </c>
      <c r="N68" s="1" t="s">
        <v>778</v>
      </c>
      <c r="O68" s="1" t="s">
        <v>778</v>
      </c>
      <c r="P68" s="1" t="s">
        <v>778</v>
      </c>
      <c r="Q68" s="1" t="s">
        <v>778</v>
      </c>
      <c r="AI68" s="1" t="s">
        <v>778</v>
      </c>
      <c r="CD68" s="1" t="s">
        <v>778</v>
      </c>
      <c r="CF68" s="1" t="s">
        <v>778</v>
      </c>
      <c r="CJ68" s="1" t="s">
        <v>778</v>
      </c>
      <c r="CL68" s="1" t="s">
        <v>778</v>
      </c>
      <c r="CU68" s="1" t="s">
        <v>778</v>
      </c>
      <c r="CV68" s="1" t="s">
        <v>778</v>
      </c>
      <c r="GZ68" s="1" t="s">
        <v>778</v>
      </c>
      <c r="HA68" s="1" t="s">
        <v>778</v>
      </c>
    </row>
    <row r="69" spans="1:210" ht="72.5" x14ac:dyDescent="0.35">
      <c r="A69" s="1" t="s">
        <v>776</v>
      </c>
      <c r="B69" s="1" t="s">
        <v>820</v>
      </c>
      <c r="C69" s="1" t="s">
        <v>844</v>
      </c>
      <c r="D69" s="1" t="s">
        <v>778</v>
      </c>
      <c r="E69" s="1" t="s">
        <v>778</v>
      </c>
      <c r="F69" s="1" t="s">
        <v>778</v>
      </c>
      <c r="G69" s="1" t="s">
        <v>778</v>
      </c>
      <c r="H69" s="1" t="s">
        <v>778</v>
      </c>
      <c r="FI69" s="1" t="s">
        <v>778</v>
      </c>
      <c r="FJ69" s="1" t="s">
        <v>778</v>
      </c>
      <c r="FK69" s="1" t="s">
        <v>778</v>
      </c>
      <c r="FL69" s="1" t="s">
        <v>778</v>
      </c>
      <c r="FM69" s="1" t="s">
        <v>778</v>
      </c>
      <c r="FN69" s="1" t="s">
        <v>778</v>
      </c>
      <c r="FO69" s="1" t="s">
        <v>778</v>
      </c>
      <c r="FP69" s="1" t="s">
        <v>778</v>
      </c>
      <c r="FQ69" s="1" t="s">
        <v>778</v>
      </c>
    </row>
    <row r="70" spans="1:210" ht="101.5" x14ac:dyDescent="0.35">
      <c r="A70" s="1" t="s">
        <v>776</v>
      </c>
      <c r="B70" s="1" t="s">
        <v>820</v>
      </c>
      <c r="C70" s="1" t="s">
        <v>845</v>
      </c>
      <c r="D70" s="1" t="s">
        <v>778</v>
      </c>
      <c r="E70" s="1" t="s">
        <v>778</v>
      </c>
      <c r="F70" s="1" t="s">
        <v>778</v>
      </c>
      <c r="G70" s="1" t="s">
        <v>778</v>
      </c>
      <c r="H70" s="1" t="s">
        <v>778</v>
      </c>
      <c r="AB70" s="1" t="s">
        <v>778</v>
      </c>
      <c r="CU70" s="1" t="s">
        <v>778</v>
      </c>
      <c r="DY70" s="1" t="s">
        <v>778</v>
      </c>
      <c r="HB70" s="1" t="s">
        <v>778</v>
      </c>
    </row>
    <row r="71" spans="1:210" ht="101.5" x14ac:dyDescent="0.35">
      <c r="A71" s="1" t="s">
        <v>776</v>
      </c>
      <c r="B71" s="1" t="s">
        <v>820</v>
      </c>
      <c r="C71" s="1" t="s">
        <v>846</v>
      </c>
      <c r="D71" s="1" t="s">
        <v>778</v>
      </c>
      <c r="E71" s="1" t="s">
        <v>778</v>
      </c>
      <c r="F71" s="1" t="s">
        <v>778</v>
      </c>
      <c r="G71" s="1" t="s">
        <v>778</v>
      </c>
      <c r="H71" s="1" t="s">
        <v>778</v>
      </c>
      <c r="I71" s="1" t="s">
        <v>778</v>
      </c>
      <c r="AB71" s="1" t="s">
        <v>778</v>
      </c>
      <c r="CJ71" s="1" t="s">
        <v>778</v>
      </c>
      <c r="CP71" s="1" t="s">
        <v>778</v>
      </c>
      <c r="CU71" s="1" t="s">
        <v>778</v>
      </c>
      <c r="DA71" s="1" t="s">
        <v>778</v>
      </c>
      <c r="DY71" s="1" t="s">
        <v>778</v>
      </c>
      <c r="EB71" s="1" t="s">
        <v>778</v>
      </c>
    </row>
    <row r="72" spans="1:210" ht="130.5" x14ac:dyDescent="0.35">
      <c r="A72" s="1" t="s">
        <v>776</v>
      </c>
      <c r="B72" s="1" t="s">
        <v>820</v>
      </c>
      <c r="C72" s="1" t="s">
        <v>847</v>
      </c>
      <c r="D72" s="1" t="s">
        <v>778</v>
      </c>
      <c r="E72" s="1" t="s">
        <v>778</v>
      </c>
      <c r="F72" s="1" t="s">
        <v>778</v>
      </c>
      <c r="G72" s="1" t="s">
        <v>778</v>
      </c>
      <c r="H72" s="1" t="s">
        <v>778</v>
      </c>
      <c r="X72" s="1" t="s">
        <v>778</v>
      </c>
      <c r="AF72" s="1" t="s">
        <v>778</v>
      </c>
      <c r="DQ72" s="1" t="s">
        <v>778</v>
      </c>
      <c r="DR72" s="1" t="s">
        <v>778</v>
      </c>
      <c r="DS72" s="1" t="s">
        <v>778</v>
      </c>
      <c r="DW72" s="1" t="s">
        <v>778</v>
      </c>
    </row>
    <row r="73" spans="1:210" ht="174" x14ac:dyDescent="0.35">
      <c r="A73" s="1" t="s">
        <v>776</v>
      </c>
      <c r="B73" s="1" t="s">
        <v>820</v>
      </c>
      <c r="C73" s="1" t="s">
        <v>848</v>
      </c>
      <c r="D73" s="1" t="s">
        <v>778</v>
      </c>
      <c r="E73" s="1" t="s">
        <v>778</v>
      </c>
      <c r="F73" s="1" t="s">
        <v>778</v>
      </c>
      <c r="G73" s="1" t="s">
        <v>778</v>
      </c>
      <c r="H73" s="1" t="s">
        <v>778</v>
      </c>
      <c r="AH73" s="1" t="s">
        <v>778</v>
      </c>
      <c r="AK73" s="1" t="s">
        <v>778</v>
      </c>
      <c r="AW73" s="1" t="s">
        <v>778</v>
      </c>
      <c r="AX73" s="1" t="s">
        <v>778</v>
      </c>
      <c r="BA73" s="1" t="s">
        <v>778</v>
      </c>
      <c r="EB73" s="1" t="s">
        <v>778</v>
      </c>
      <c r="FI73" s="1" t="s">
        <v>778</v>
      </c>
      <c r="FJ73" s="1" t="s">
        <v>778</v>
      </c>
      <c r="FK73" s="1" t="s">
        <v>778</v>
      </c>
      <c r="FL73" s="1" t="s">
        <v>778</v>
      </c>
      <c r="FM73" s="1" t="s">
        <v>778</v>
      </c>
      <c r="FN73" s="1" t="s">
        <v>778</v>
      </c>
      <c r="FO73" s="1" t="s">
        <v>778</v>
      </c>
      <c r="FP73" s="1" t="s">
        <v>778</v>
      </c>
      <c r="FQ73" s="1" t="s">
        <v>778</v>
      </c>
      <c r="FR73" s="1" t="s">
        <v>778</v>
      </c>
      <c r="FS73" s="1" t="s">
        <v>778</v>
      </c>
      <c r="FT73" s="1" t="s">
        <v>778</v>
      </c>
      <c r="FU73" s="1" t="s">
        <v>778</v>
      </c>
      <c r="FV73" s="1" t="s">
        <v>778</v>
      </c>
      <c r="FW73" s="1" t="s">
        <v>778</v>
      </c>
      <c r="FX73" s="1" t="s">
        <v>778</v>
      </c>
      <c r="FY73" s="1" t="s">
        <v>778</v>
      </c>
      <c r="FZ73" s="1" t="s">
        <v>778</v>
      </c>
    </row>
    <row r="74" spans="1:210" ht="130.5" x14ac:dyDescent="0.35">
      <c r="A74" s="1" t="s">
        <v>776</v>
      </c>
      <c r="B74" s="1" t="s">
        <v>820</v>
      </c>
      <c r="C74" s="1" t="s">
        <v>849</v>
      </c>
      <c r="D74" s="1" t="s">
        <v>778</v>
      </c>
      <c r="E74" s="1" t="s">
        <v>778</v>
      </c>
      <c r="F74" s="1" t="s">
        <v>778</v>
      </c>
      <c r="G74" s="1" t="s">
        <v>778</v>
      </c>
      <c r="H74" s="1" t="s">
        <v>778</v>
      </c>
      <c r="AK74" s="1" t="s">
        <v>778</v>
      </c>
      <c r="AN74" s="1" t="s">
        <v>778</v>
      </c>
      <c r="AW74" s="1" t="s">
        <v>778</v>
      </c>
      <c r="BA74" s="1" t="s">
        <v>778</v>
      </c>
      <c r="BB74" s="1" t="s">
        <v>778</v>
      </c>
      <c r="BC74" s="1" t="s">
        <v>778</v>
      </c>
      <c r="EB74" s="1" t="s">
        <v>778</v>
      </c>
      <c r="FI74" s="1" t="s">
        <v>778</v>
      </c>
      <c r="FJ74" s="1" t="s">
        <v>778</v>
      </c>
      <c r="FK74" s="1" t="s">
        <v>778</v>
      </c>
      <c r="FL74" s="1" t="s">
        <v>778</v>
      </c>
      <c r="FM74" s="1" t="s">
        <v>778</v>
      </c>
      <c r="FN74" s="1" t="s">
        <v>778</v>
      </c>
      <c r="FO74" s="1" t="s">
        <v>778</v>
      </c>
      <c r="FP74" s="1" t="s">
        <v>778</v>
      </c>
      <c r="FQ74" s="1" t="s">
        <v>778</v>
      </c>
      <c r="FR74" s="1" t="s">
        <v>778</v>
      </c>
      <c r="FS74" s="1" t="s">
        <v>778</v>
      </c>
      <c r="FT74" s="1" t="s">
        <v>778</v>
      </c>
      <c r="FU74" s="1" t="s">
        <v>778</v>
      </c>
      <c r="FV74" s="1" t="s">
        <v>778</v>
      </c>
      <c r="FW74" s="1" t="s">
        <v>778</v>
      </c>
      <c r="FX74" s="1" t="s">
        <v>778</v>
      </c>
      <c r="FY74" s="1" t="s">
        <v>778</v>
      </c>
      <c r="FZ74" s="1" t="s">
        <v>778</v>
      </c>
    </row>
    <row r="75" spans="1:210" ht="130.5" x14ac:dyDescent="0.35">
      <c r="A75" s="1" t="s">
        <v>776</v>
      </c>
      <c r="B75" s="1" t="s">
        <v>820</v>
      </c>
      <c r="C75" s="1" t="s">
        <v>850</v>
      </c>
      <c r="D75" s="1" t="s">
        <v>778</v>
      </c>
      <c r="E75" s="1" t="s">
        <v>778</v>
      </c>
      <c r="F75" s="1" t="s">
        <v>778</v>
      </c>
      <c r="G75" s="1" t="s">
        <v>778</v>
      </c>
      <c r="H75" s="1" t="s">
        <v>778</v>
      </c>
      <c r="X75" s="1" t="s">
        <v>778</v>
      </c>
      <c r="AF75" s="1" t="s">
        <v>778</v>
      </c>
      <c r="DQ75" s="1" t="s">
        <v>778</v>
      </c>
      <c r="DR75" s="1" t="s">
        <v>778</v>
      </c>
      <c r="DS75" s="1" t="s">
        <v>778</v>
      </c>
      <c r="DW75" s="1" t="s">
        <v>778</v>
      </c>
    </row>
    <row r="76" spans="1:210" ht="101.5" x14ac:dyDescent="0.35">
      <c r="A76" s="1" t="s">
        <v>776</v>
      </c>
      <c r="B76" s="1" t="s">
        <v>820</v>
      </c>
      <c r="C76" s="1" t="s">
        <v>851</v>
      </c>
      <c r="D76" s="1" t="s">
        <v>778</v>
      </c>
      <c r="E76" s="1" t="s">
        <v>778</v>
      </c>
      <c r="F76" s="1" t="s">
        <v>778</v>
      </c>
      <c r="G76" s="1" t="s">
        <v>778</v>
      </c>
      <c r="H76" s="1" t="s">
        <v>778</v>
      </c>
      <c r="AB76" s="1" t="s">
        <v>778</v>
      </c>
      <c r="AS76" s="1" t="s">
        <v>778</v>
      </c>
      <c r="DB76" s="1" t="s">
        <v>778</v>
      </c>
      <c r="DZ76" s="1" t="s">
        <v>778</v>
      </c>
      <c r="EA76" s="1" t="s">
        <v>778</v>
      </c>
    </row>
    <row r="77" spans="1:210" ht="145" x14ac:dyDescent="0.35">
      <c r="A77" s="1" t="s">
        <v>776</v>
      </c>
      <c r="B77" s="1" t="s">
        <v>820</v>
      </c>
      <c r="C77" s="1" t="s">
        <v>852</v>
      </c>
      <c r="D77" s="1" t="s">
        <v>778</v>
      </c>
      <c r="E77" s="1" t="s">
        <v>778</v>
      </c>
      <c r="F77" s="1" t="s">
        <v>778</v>
      </c>
      <c r="G77" s="1" t="s">
        <v>778</v>
      </c>
      <c r="H77" s="1" t="s">
        <v>778</v>
      </c>
      <c r="DZ77" s="1" t="s">
        <v>778</v>
      </c>
      <c r="EA77" s="1" t="s">
        <v>778</v>
      </c>
      <c r="FI77" s="1" t="s">
        <v>778</v>
      </c>
      <c r="FJ77" s="1" t="s">
        <v>778</v>
      </c>
      <c r="FK77" s="1" t="s">
        <v>778</v>
      </c>
      <c r="FL77" s="1" t="s">
        <v>778</v>
      </c>
      <c r="FM77" s="1" t="s">
        <v>778</v>
      </c>
      <c r="FN77" s="1" t="s">
        <v>778</v>
      </c>
      <c r="FO77" s="1" t="s">
        <v>778</v>
      </c>
      <c r="FP77" s="1" t="s">
        <v>778</v>
      </c>
      <c r="FQ77" s="1" t="s">
        <v>778</v>
      </c>
      <c r="FR77" s="1" t="s">
        <v>778</v>
      </c>
      <c r="FS77" s="1" t="s">
        <v>778</v>
      </c>
      <c r="FT77" s="1" t="s">
        <v>778</v>
      </c>
      <c r="FU77" s="1" t="s">
        <v>778</v>
      </c>
      <c r="FV77" s="1" t="s">
        <v>778</v>
      </c>
      <c r="FW77" s="1" t="s">
        <v>778</v>
      </c>
      <c r="FX77" s="1" t="s">
        <v>778</v>
      </c>
      <c r="FY77" s="1" t="s">
        <v>778</v>
      </c>
      <c r="FZ77" s="1" t="s">
        <v>778</v>
      </c>
    </row>
    <row r="78" spans="1:210" ht="116" x14ac:dyDescent="0.35">
      <c r="A78" s="1" t="s">
        <v>776</v>
      </c>
      <c r="B78" s="1" t="s">
        <v>820</v>
      </c>
      <c r="C78" s="1" t="s">
        <v>853</v>
      </c>
      <c r="D78" s="1" t="s">
        <v>778</v>
      </c>
      <c r="E78" s="1" t="s">
        <v>778</v>
      </c>
      <c r="F78" s="1" t="s">
        <v>778</v>
      </c>
      <c r="G78" s="1" t="s">
        <v>778</v>
      </c>
      <c r="H78" s="1" t="s">
        <v>778</v>
      </c>
      <c r="AK78" s="1" t="s">
        <v>778</v>
      </c>
      <c r="AO78" s="1" t="s">
        <v>778</v>
      </c>
      <c r="AS78" s="1" t="s">
        <v>778</v>
      </c>
      <c r="AT78" s="1" t="s">
        <v>778</v>
      </c>
      <c r="DB78" s="1" t="s">
        <v>778</v>
      </c>
      <c r="GW78" s="1" t="s">
        <v>778</v>
      </c>
    </row>
    <row r="79" spans="1:210" ht="159.5" x14ac:dyDescent="0.35">
      <c r="A79" s="1" t="s">
        <v>776</v>
      </c>
      <c r="B79" s="1" t="s">
        <v>820</v>
      </c>
      <c r="C79" s="1" t="s">
        <v>854</v>
      </c>
      <c r="D79" s="1" t="s">
        <v>778</v>
      </c>
      <c r="E79" s="1" t="s">
        <v>778</v>
      </c>
      <c r="F79" s="1" t="s">
        <v>778</v>
      </c>
      <c r="G79" s="1" t="s">
        <v>778</v>
      </c>
      <c r="H79" s="1" t="s">
        <v>778</v>
      </c>
      <c r="AS79" s="1" t="s">
        <v>778</v>
      </c>
      <c r="CK79" s="1" t="s">
        <v>778</v>
      </c>
      <c r="CQ79" s="1" t="s">
        <v>778</v>
      </c>
      <c r="DC79" s="1" t="s">
        <v>778</v>
      </c>
      <c r="DD79" s="1" t="s">
        <v>778</v>
      </c>
    </row>
    <row r="80" spans="1:210" ht="188.5" x14ac:dyDescent="0.35">
      <c r="A80" s="1" t="s">
        <v>776</v>
      </c>
      <c r="B80" s="1" t="s">
        <v>820</v>
      </c>
      <c r="C80" s="1" t="s">
        <v>855</v>
      </c>
      <c r="D80" s="1" t="s">
        <v>778</v>
      </c>
      <c r="E80" s="1" t="s">
        <v>778</v>
      </c>
      <c r="F80" s="1" t="s">
        <v>778</v>
      </c>
      <c r="G80" s="1" t="s">
        <v>778</v>
      </c>
      <c r="H80" s="1" t="s">
        <v>778</v>
      </c>
      <c r="DH80" s="1" t="s">
        <v>778</v>
      </c>
      <c r="DI80" s="1" t="s">
        <v>778</v>
      </c>
      <c r="DJ80" s="1" t="s">
        <v>778</v>
      </c>
      <c r="DK80" s="1" t="s">
        <v>778</v>
      </c>
      <c r="EV80" s="1" t="s">
        <v>778</v>
      </c>
      <c r="EW80" s="1" t="s">
        <v>778</v>
      </c>
      <c r="EX80" s="1" t="s">
        <v>778</v>
      </c>
      <c r="EY80" s="1" t="s">
        <v>778</v>
      </c>
      <c r="EZ80" s="1" t="s">
        <v>778</v>
      </c>
      <c r="FA80" s="1" t="s">
        <v>778</v>
      </c>
      <c r="FB80" s="1" t="s">
        <v>778</v>
      </c>
    </row>
    <row r="81" spans="1:218" ht="43.5" x14ac:dyDescent="0.35">
      <c r="A81" s="1" t="s">
        <v>776</v>
      </c>
      <c r="B81" s="1" t="s">
        <v>820</v>
      </c>
      <c r="C81" s="1" t="s">
        <v>856</v>
      </c>
      <c r="D81" s="1" t="s">
        <v>778</v>
      </c>
      <c r="E81" s="1" t="s">
        <v>778</v>
      </c>
      <c r="F81" s="1" t="s">
        <v>778</v>
      </c>
      <c r="G81" s="1" t="s">
        <v>778</v>
      </c>
      <c r="H81" s="1" t="s">
        <v>778</v>
      </c>
      <c r="DT81" s="1" t="s">
        <v>778</v>
      </c>
      <c r="DU81" s="1" t="s">
        <v>778</v>
      </c>
      <c r="DV81" s="1" t="s">
        <v>778</v>
      </c>
    </row>
    <row r="82" spans="1:218" s="5" customFormat="1" ht="116" x14ac:dyDescent="0.35">
      <c r="A82" s="5" t="s">
        <v>776</v>
      </c>
      <c r="B82" s="5" t="s">
        <v>48</v>
      </c>
      <c r="C82" s="5" t="s">
        <v>857</v>
      </c>
      <c r="D82" s="5" t="s">
        <v>786</v>
      </c>
      <c r="E82" s="5" t="s">
        <v>786</v>
      </c>
      <c r="F82" s="5" t="s">
        <v>786</v>
      </c>
      <c r="G82" s="5" t="s">
        <v>786</v>
      </c>
      <c r="H82" s="5" t="s">
        <v>786</v>
      </c>
      <c r="EB82" s="5" t="s">
        <v>786</v>
      </c>
      <c r="HC82" s="5" t="s">
        <v>786</v>
      </c>
      <c r="HF82" s="5" t="s">
        <v>786</v>
      </c>
      <c r="HG82" s="5" t="s">
        <v>786</v>
      </c>
      <c r="HH82" s="5" t="s">
        <v>786</v>
      </c>
      <c r="HI82" s="5" t="s">
        <v>786</v>
      </c>
      <c r="HJ82" s="5">
        <f>SUM(D82:HI82)</f>
        <v>0</v>
      </c>
    </row>
    <row r="83" spans="1:218" ht="87" x14ac:dyDescent="0.35">
      <c r="A83" s="1" t="s">
        <v>776</v>
      </c>
      <c r="B83" s="5" t="s">
        <v>48</v>
      </c>
      <c r="C83" s="1" t="s">
        <v>858</v>
      </c>
      <c r="D83" s="1" t="s">
        <v>778</v>
      </c>
      <c r="E83" s="1" t="s">
        <v>778</v>
      </c>
      <c r="F83" s="1" t="s">
        <v>778</v>
      </c>
      <c r="G83" s="1" t="s">
        <v>778</v>
      </c>
      <c r="H83" s="1" t="s">
        <v>778</v>
      </c>
      <c r="AB83" s="1" t="s">
        <v>778</v>
      </c>
      <c r="AP83" s="1" t="s">
        <v>778</v>
      </c>
      <c r="BF83" s="1" t="s">
        <v>778</v>
      </c>
      <c r="EB83" s="1" t="s">
        <v>778</v>
      </c>
      <c r="HD83" s="1" t="s">
        <v>778</v>
      </c>
      <c r="HE83" s="1" t="s">
        <v>778</v>
      </c>
      <c r="HJ83" s="5">
        <f>SUM(D83:HI83)</f>
        <v>0</v>
      </c>
    </row>
  </sheetData>
  <autoFilter ref="A2:HJ2" xr:uid="{E9DFC744-80BE-4CEF-831E-184E59B672DF}"/>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F84CB-A00A-4996-B236-69E02A6DF7E1}">
  <sheetPr codeName="Sheet6"/>
  <dimension ref="A1:B258"/>
  <sheetViews>
    <sheetView zoomScale="102" zoomScaleNormal="70" workbookViewId="0">
      <selection activeCell="A37" sqref="A37:XFD37"/>
    </sheetView>
  </sheetViews>
  <sheetFormatPr defaultRowHeight="14.5" x14ac:dyDescent="0.35"/>
  <cols>
    <col min="1" max="1" width="34.7265625" customWidth="1"/>
  </cols>
  <sheetData>
    <row r="1" spans="1:2" x14ac:dyDescent="0.35">
      <c r="A1" t="s">
        <v>1209</v>
      </c>
    </row>
    <row r="4" spans="1:2" x14ac:dyDescent="0.35">
      <c r="A4" t="s">
        <v>328</v>
      </c>
      <c r="B4" t="s">
        <v>1210</v>
      </c>
    </row>
    <row r="5" spans="1:2" x14ac:dyDescent="0.35">
      <c r="A5" t="s">
        <v>327</v>
      </c>
      <c r="B5" t="s">
        <v>1211</v>
      </c>
    </row>
    <row r="6" spans="1:2" x14ac:dyDescent="0.35">
      <c r="A6" t="s">
        <v>326</v>
      </c>
      <c r="B6" t="s">
        <v>1212</v>
      </c>
    </row>
    <row r="7" spans="1:2" x14ac:dyDescent="0.35">
      <c r="A7" t="s">
        <v>331</v>
      </c>
      <c r="B7" t="s">
        <v>1213</v>
      </c>
    </row>
    <row r="8" spans="1:2" x14ac:dyDescent="0.35">
      <c r="A8" t="s">
        <v>329</v>
      </c>
      <c r="B8" t="s">
        <v>1214</v>
      </c>
    </row>
    <row r="9" spans="1:2" x14ac:dyDescent="0.35">
      <c r="A9" t="s">
        <v>330</v>
      </c>
      <c r="B9" t="s">
        <v>1215</v>
      </c>
    </row>
    <row r="10" spans="1:2" x14ac:dyDescent="0.35">
      <c r="A10" t="s">
        <v>1216</v>
      </c>
      <c r="B10" t="s">
        <v>1217</v>
      </c>
    </row>
    <row r="11" spans="1:2" x14ac:dyDescent="0.35">
      <c r="A11" t="s">
        <v>1218</v>
      </c>
      <c r="B11" t="s">
        <v>1219</v>
      </c>
    </row>
    <row r="12" spans="1:2" x14ac:dyDescent="0.35">
      <c r="A12" t="s">
        <v>1220</v>
      </c>
      <c r="B12" t="s">
        <v>1221</v>
      </c>
    </row>
    <row r="13" spans="1:2" x14ac:dyDescent="0.35">
      <c r="A13" t="s">
        <v>1222</v>
      </c>
      <c r="B13" t="s">
        <v>1223</v>
      </c>
    </row>
    <row r="14" spans="1:2" x14ac:dyDescent="0.35">
      <c r="A14" t="s">
        <v>1224</v>
      </c>
      <c r="B14" t="s">
        <v>1225</v>
      </c>
    </row>
    <row r="15" spans="1:2" x14ac:dyDescent="0.35">
      <c r="A15" t="s">
        <v>1226</v>
      </c>
      <c r="B15" t="s">
        <v>1227</v>
      </c>
    </row>
    <row r="16" spans="1:2" x14ac:dyDescent="0.35">
      <c r="A16" t="s">
        <v>1228</v>
      </c>
      <c r="B16" t="s">
        <v>1229</v>
      </c>
    </row>
    <row r="17" spans="1:2" x14ac:dyDescent="0.35">
      <c r="A17" t="s">
        <v>1230</v>
      </c>
      <c r="B17" t="s">
        <v>1231</v>
      </c>
    </row>
    <row r="18" spans="1:2" x14ac:dyDescent="0.35">
      <c r="A18" t="s">
        <v>1232</v>
      </c>
      <c r="B18" t="s">
        <v>1233</v>
      </c>
    </row>
    <row r="19" spans="1:2" x14ac:dyDescent="0.35">
      <c r="A19" t="s">
        <v>169</v>
      </c>
      <c r="B19" t="s">
        <v>1234</v>
      </c>
    </row>
    <row r="20" spans="1:2" x14ac:dyDescent="0.35">
      <c r="A20" t="s">
        <v>357</v>
      </c>
      <c r="B20" t="s">
        <v>1235</v>
      </c>
    </row>
    <row r="21" spans="1:2" x14ac:dyDescent="0.35">
      <c r="A21" t="s">
        <v>357</v>
      </c>
      <c r="B21" t="s">
        <v>1236</v>
      </c>
    </row>
    <row r="22" spans="1:2" x14ac:dyDescent="0.35">
      <c r="A22" t="s">
        <v>356</v>
      </c>
      <c r="B22" t="s">
        <v>1237</v>
      </c>
    </row>
    <row r="23" spans="1:2" x14ac:dyDescent="0.35">
      <c r="A23" t="s">
        <v>356</v>
      </c>
      <c r="B23" t="s">
        <v>1238</v>
      </c>
    </row>
    <row r="24" spans="1:2" x14ac:dyDescent="0.35">
      <c r="A24" t="s">
        <v>372</v>
      </c>
      <c r="B24" t="s">
        <v>1239</v>
      </c>
    </row>
    <row r="25" spans="1:2" x14ac:dyDescent="0.35">
      <c r="A25" t="s">
        <v>1240</v>
      </c>
      <c r="B25" t="s">
        <v>1241</v>
      </c>
    </row>
    <row r="26" spans="1:2" x14ac:dyDescent="0.35">
      <c r="A26" t="s">
        <v>358</v>
      </c>
      <c r="B26" t="s">
        <v>1242</v>
      </c>
    </row>
    <row r="27" spans="1:2" x14ac:dyDescent="0.35">
      <c r="A27" t="s">
        <v>1243</v>
      </c>
      <c r="B27" t="s">
        <v>1244</v>
      </c>
    </row>
    <row r="28" spans="1:2" x14ac:dyDescent="0.35">
      <c r="A28" t="s">
        <v>1243</v>
      </c>
      <c r="B28" t="s">
        <v>1242</v>
      </c>
    </row>
    <row r="29" spans="1:2" x14ac:dyDescent="0.35">
      <c r="A29" t="s">
        <v>359</v>
      </c>
      <c r="B29" t="s">
        <v>1245</v>
      </c>
    </row>
    <row r="30" spans="1:2" x14ac:dyDescent="0.35">
      <c r="A30" t="s">
        <v>1246</v>
      </c>
      <c r="B30" t="s">
        <v>1247</v>
      </c>
    </row>
    <row r="31" spans="1:2" x14ac:dyDescent="0.35">
      <c r="A31" t="s">
        <v>360</v>
      </c>
      <c r="B31" t="s">
        <v>1248</v>
      </c>
    </row>
    <row r="32" spans="1:2" x14ac:dyDescent="0.35">
      <c r="A32" t="s">
        <v>360</v>
      </c>
      <c r="B32" t="s">
        <v>1249</v>
      </c>
    </row>
    <row r="33" spans="1:2" x14ac:dyDescent="0.35">
      <c r="A33" t="s">
        <v>361</v>
      </c>
      <c r="B33" t="s">
        <v>1250</v>
      </c>
    </row>
    <row r="34" spans="1:2" x14ac:dyDescent="0.35">
      <c r="A34" t="s">
        <v>361</v>
      </c>
      <c r="B34" t="s">
        <v>1251</v>
      </c>
    </row>
    <row r="35" spans="1:2" x14ac:dyDescent="0.35">
      <c r="A35" t="s">
        <v>362</v>
      </c>
      <c r="B35" t="s">
        <v>1252</v>
      </c>
    </row>
    <row r="36" spans="1:2" x14ac:dyDescent="0.35">
      <c r="A36" t="s">
        <v>371</v>
      </c>
      <c r="B36" t="s">
        <v>1253</v>
      </c>
    </row>
    <row r="37" spans="1:2" x14ac:dyDescent="0.35">
      <c r="A37" t="s">
        <v>1254</v>
      </c>
      <c r="B37" t="s">
        <v>1255</v>
      </c>
    </row>
    <row r="38" spans="1:2" x14ac:dyDescent="0.35">
      <c r="A38" t="s">
        <v>363</v>
      </c>
      <c r="B38" t="s">
        <v>1256</v>
      </c>
    </row>
    <row r="39" spans="1:2" x14ac:dyDescent="0.35">
      <c r="A39" t="s">
        <v>363</v>
      </c>
      <c r="B39" t="s">
        <v>1257</v>
      </c>
    </row>
    <row r="40" spans="1:2" x14ac:dyDescent="0.35">
      <c r="A40" t="s">
        <v>1258</v>
      </c>
      <c r="B40" t="s">
        <v>1259</v>
      </c>
    </row>
    <row r="41" spans="1:2" x14ac:dyDescent="0.35">
      <c r="A41" t="s">
        <v>370</v>
      </c>
      <c r="B41" t="s">
        <v>1260</v>
      </c>
    </row>
    <row r="42" spans="1:2" x14ac:dyDescent="0.35">
      <c r="A42" t="s">
        <v>355</v>
      </c>
      <c r="B42" t="s">
        <v>1261</v>
      </c>
    </row>
    <row r="43" spans="1:2" x14ac:dyDescent="0.35">
      <c r="A43" t="s">
        <v>1262</v>
      </c>
      <c r="B43" t="s">
        <v>1261</v>
      </c>
    </row>
    <row r="44" spans="1:2" x14ac:dyDescent="0.35">
      <c r="A44" t="s">
        <v>1263</v>
      </c>
      <c r="B44" t="s">
        <v>1264</v>
      </c>
    </row>
    <row r="45" spans="1:2" x14ac:dyDescent="0.35">
      <c r="A45" t="s">
        <v>1265</v>
      </c>
      <c r="B45" t="s">
        <v>1266</v>
      </c>
    </row>
    <row r="46" spans="1:2" x14ac:dyDescent="0.35">
      <c r="A46" t="s">
        <v>1267</v>
      </c>
      <c r="B46" t="s">
        <v>1268</v>
      </c>
    </row>
    <row r="47" spans="1:2" x14ac:dyDescent="0.35">
      <c r="A47" t="s">
        <v>1269</v>
      </c>
      <c r="B47" t="s">
        <v>1270</v>
      </c>
    </row>
    <row r="48" spans="1:2" x14ac:dyDescent="0.35">
      <c r="A48" t="s">
        <v>1271</v>
      </c>
      <c r="B48" t="s">
        <v>1272</v>
      </c>
    </row>
    <row r="49" spans="1:2" x14ac:dyDescent="0.35">
      <c r="A49" t="s">
        <v>1271</v>
      </c>
      <c r="B49" t="s">
        <v>1272</v>
      </c>
    </row>
    <row r="50" spans="1:2" x14ac:dyDescent="0.35">
      <c r="A50" t="s">
        <v>1273</v>
      </c>
      <c r="B50" t="s">
        <v>1274</v>
      </c>
    </row>
    <row r="51" spans="1:2" x14ac:dyDescent="0.35">
      <c r="A51" t="s">
        <v>252</v>
      </c>
      <c r="B51" t="s">
        <v>1274</v>
      </c>
    </row>
    <row r="52" spans="1:2" x14ac:dyDescent="0.35">
      <c r="A52" t="s">
        <v>253</v>
      </c>
      <c r="B52" t="s">
        <v>1275</v>
      </c>
    </row>
    <row r="53" spans="1:2" x14ac:dyDescent="0.35">
      <c r="A53" t="s">
        <v>1276</v>
      </c>
      <c r="B53" t="s">
        <v>1277</v>
      </c>
    </row>
    <row r="54" spans="1:2" x14ac:dyDescent="0.35">
      <c r="A54" t="s">
        <v>1278</v>
      </c>
      <c r="B54" t="s">
        <v>1279</v>
      </c>
    </row>
    <row r="55" spans="1:2" x14ac:dyDescent="0.35">
      <c r="A55" t="s">
        <v>250</v>
      </c>
      <c r="B55" t="s">
        <v>1280</v>
      </c>
    </row>
    <row r="56" spans="1:2" x14ac:dyDescent="0.35">
      <c r="A56" t="s">
        <v>249</v>
      </c>
      <c r="B56" t="s">
        <v>1281</v>
      </c>
    </row>
    <row r="57" spans="1:2" x14ac:dyDescent="0.35">
      <c r="A57" t="s">
        <v>1282</v>
      </c>
      <c r="B57" t="s">
        <v>1283</v>
      </c>
    </row>
    <row r="58" spans="1:2" x14ac:dyDescent="0.35">
      <c r="A58" t="s">
        <v>246</v>
      </c>
      <c r="B58" t="s">
        <v>1284</v>
      </c>
    </row>
    <row r="59" spans="1:2" x14ac:dyDescent="0.35">
      <c r="A59" t="s">
        <v>1285</v>
      </c>
      <c r="B59" t="s">
        <v>1286</v>
      </c>
    </row>
    <row r="60" spans="1:2" x14ac:dyDescent="0.35">
      <c r="A60" t="s">
        <v>1506</v>
      </c>
      <c r="B60" t="s">
        <v>1507</v>
      </c>
    </row>
    <row r="61" spans="1:2" x14ac:dyDescent="0.35">
      <c r="A61" t="s">
        <v>281</v>
      </c>
      <c r="B61" t="s">
        <v>1287</v>
      </c>
    </row>
    <row r="62" spans="1:2" x14ac:dyDescent="0.35">
      <c r="A62" t="s">
        <v>219</v>
      </c>
      <c r="B62" t="s">
        <v>1288</v>
      </c>
    </row>
    <row r="63" spans="1:2" x14ac:dyDescent="0.35">
      <c r="A63" t="s">
        <v>1289</v>
      </c>
      <c r="B63" t="s">
        <v>1290</v>
      </c>
    </row>
    <row r="64" spans="1:2" x14ac:dyDescent="0.35">
      <c r="A64" t="s">
        <v>178</v>
      </c>
      <c r="B64" t="s">
        <v>1291</v>
      </c>
    </row>
    <row r="65" spans="1:2" x14ac:dyDescent="0.35">
      <c r="A65" t="s">
        <v>183</v>
      </c>
      <c r="B65" t="s">
        <v>1291</v>
      </c>
    </row>
    <row r="66" spans="1:2" x14ac:dyDescent="0.35">
      <c r="A66" t="s">
        <v>182</v>
      </c>
      <c r="B66" t="s">
        <v>1292</v>
      </c>
    </row>
    <row r="67" spans="1:2" x14ac:dyDescent="0.35">
      <c r="A67" t="s">
        <v>180</v>
      </c>
      <c r="B67" t="s">
        <v>1291</v>
      </c>
    </row>
    <row r="68" spans="1:2" x14ac:dyDescent="0.35">
      <c r="A68" t="s">
        <v>1293</v>
      </c>
      <c r="B68" t="s">
        <v>1292</v>
      </c>
    </row>
    <row r="69" spans="1:2" x14ac:dyDescent="0.35">
      <c r="A69" t="s">
        <v>177</v>
      </c>
      <c r="B69" t="s">
        <v>1294</v>
      </c>
    </row>
    <row r="70" spans="1:2" x14ac:dyDescent="0.35">
      <c r="A70" t="s">
        <v>1295</v>
      </c>
      <c r="B70" t="s">
        <v>1296</v>
      </c>
    </row>
    <row r="71" spans="1:2" x14ac:dyDescent="0.35">
      <c r="A71" t="s">
        <v>265</v>
      </c>
      <c r="B71" t="s">
        <v>1297</v>
      </c>
    </row>
    <row r="72" spans="1:2" x14ac:dyDescent="0.35">
      <c r="A72" t="s">
        <v>1508</v>
      </c>
      <c r="B72" t="s">
        <v>1509</v>
      </c>
    </row>
    <row r="73" spans="1:2" x14ac:dyDescent="0.35">
      <c r="A73" t="s">
        <v>1510</v>
      </c>
      <c r="B73" t="s">
        <v>1511</v>
      </c>
    </row>
    <row r="74" spans="1:2" x14ac:dyDescent="0.35">
      <c r="A74" t="s">
        <v>276</v>
      </c>
      <c r="B74" t="s">
        <v>1298</v>
      </c>
    </row>
    <row r="75" spans="1:2" x14ac:dyDescent="0.35">
      <c r="A75" t="s">
        <v>316</v>
      </c>
      <c r="B75" t="s">
        <v>1299</v>
      </c>
    </row>
    <row r="76" spans="1:2" x14ac:dyDescent="0.35">
      <c r="A76" t="s">
        <v>277</v>
      </c>
      <c r="B76" t="s">
        <v>1300</v>
      </c>
    </row>
    <row r="77" spans="1:2" x14ac:dyDescent="0.35">
      <c r="A77" t="s">
        <v>275</v>
      </c>
      <c r="B77" t="s">
        <v>1301</v>
      </c>
    </row>
    <row r="78" spans="1:2" x14ac:dyDescent="0.35">
      <c r="A78" t="s">
        <v>313</v>
      </c>
      <c r="B78" t="s">
        <v>1302</v>
      </c>
    </row>
    <row r="79" spans="1:2" x14ac:dyDescent="0.35">
      <c r="A79" t="s">
        <v>319</v>
      </c>
      <c r="B79" t="s">
        <v>1303</v>
      </c>
    </row>
    <row r="80" spans="1:2" x14ac:dyDescent="0.35">
      <c r="A80" t="s">
        <v>310</v>
      </c>
      <c r="B80" t="s">
        <v>1304</v>
      </c>
    </row>
    <row r="81" spans="1:2" x14ac:dyDescent="0.35">
      <c r="A81" t="s">
        <v>228</v>
      </c>
      <c r="B81" t="s">
        <v>1305</v>
      </c>
    </row>
    <row r="82" spans="1:2" x14ac:dyDescent="0.35">
      <c r="A82" t="s">
        <v>390</v>
      </c>
      <c r="B82" t="s">
        <v>1306</v>
      </c>
    </row>
    <row r="83" spans="1:2" x14ac:dyDescent="0.35">
      <c r="A83" t="s">
        <v>274</v>
      </c>
      <c r="B83" t="s">
        <v>1307</v>
      </c>
    </row>
    <row r="84" spans="1:2" x14ac:dyDescent="0.35">
      <c r="A84" t="s">
        <v>344</v>
      </c>
      <c r="B84" t="s">
        <v>1308</v>
      </c>
    </row>
    <row r="85" spans="1:2" x14ac:dyDescent="0.35">
      <c r="A85" t="s">
        <v>279</v>
      </c>
      <c r="B85" t="s">
        <v>1309</v>
      </c>
    </row>
    <row r="86" spans="1:2" x14ac:dyDescent="0.35">
      <c r="A86" t="s">
        <v>272</v>
      </c>
      <c r="B86" t="s">
        <v>1310</v>
      </c>
    </row>
    <row r="87" spans="1:2" x14ac:dyDescent="0.35">
      <c r="A87" t="s">
        <v>272</v>
      </c>
      <c r="B87" t="s">
        <v>1311</v>
      </c>
    </row>
    <row r="88" spans="1:2" x14ac:dyDescent="0.35">
      <c r="A88" t="s">
        <v>273</v>
      </c>
      <c r="B88" t="s">
        <v>1312</v>
      </c>
    </row>
    <row r="89" spans="1:2" x14ac:dyDescent="0.35">
      <c r="A89" t="s">
        <v>343</v>
      </c>
      <c r="B89" t="s">
        <v>1313</v>
      </c>
    </row>
    <row r="90" spans="1:2" x14ac:dyDescent="0.35">
      <c r="A90" t="s">
        <v>235</v>
      </c>
      <c r="B90" t="s">
        <v>1314</v>
      </c>
    </row>
    <row r="91" spans="1:2" x14ac:dyDescent="0.35">
      <c r="A91" t="s">
        <v>303</v>
      </c>
      <c r="B91" t="s">
        <v>1315</v>
      </c>
    </row>
    <row r="92" spans="1:2" x14ac:dyDescent="0.35">
      <c r="A92" t="s">
        <v>164</v>
      </c>
      <c r="B92" t="s">
        <v>1316</v>
      </c>
    </row>
    <row r="93" spans="1:2" x14ac:dyDescent="0.35">
      <c r="A93" t="s">
        <v>166</v>
      </c>
      <c r="B93" t="s">
        <v>173</v>
      </c>
    </row>
    <row r="94" spans="1:2" x14ac:dyDescent="0.35">
      <c r="A94" t="s">
        <v>1317</v>
      </c>
      <c r="B94" t="s">
        <v>1318</v>
      </c>
    </row>
    <row r="95" spans="1:2" x14ac:dyDescent="0.35">
      <c r="A95" t="s">
        <v>294</v>
      </c>
      <c r="B95" t="s">
        <v>1319</v>
      </c>
    </row>
    <row r="96" spans="1:2" x14ac:dyDescent="0.35">
      <c r="A96" t="s">
        <v>233</v>
      </c>
      <c r="B96" t="s">
        <v>789</v>
      </c>
    </row>
    <row r="97" spans="1:2" x14ac:dyDescent="0.35">
      <c r="A97" t="s">
        <v>1320</v>
      </c>
      <c r="B97" t="s">
        <v>1321</v>
      </c>
    </row>
    <row r="98" spans="1:2" x14ac:dyDescent="0.35">
      <c r="A98" t="s">
        <v>213</v>
      </c>
      <c r="B98" t="s">
        <v>1322</v>
      </c>
    </row>
    <row r="99" spans="1:2" x14ac:dyDescent="0.35">
      <c r="A99" t="s">
        <v>227</v>
      </c>
      <c r="B99" t="s">
        <v>1323</v>
      </c>
    </row>
    <row r="100" spans="1:2" x14ac:dyDescent="0.35">
      <c r="A100" t="s">
        <v>229</v>
      </c>
      <c r="B100" t="s">
        <v>1324</v>
      </c>
    </row>
    <row r="101" spans="1:2" x14ac:dyDescent="0.35">
      <c r="A101" t="s">
        <v>1325</v>
      </c>
      <c r="B101" t="s">
        <v>174</v>
      </c>
    </row>
    <row r="102" spans="1:2" x14ac:dyDescent="0.35">
      <c r="A102" t="s">
        <v>1326</v>
      </c>
      <c r="B102" t="s">
        <v>173</v>
      </c>
    </row>
    <row r="103" spans="1:2" x14ac:dyDescent="0.35">
      <c r="A103" t="s">
        <v>1327</v>
      </c>
      <c r="B103" t="s">
        <v>174</v>
      </c>
    </row>
    <row r="104" spans="1:2" x14ac:dyDescent="0.35">
      <c r="A104" t="s">
        <v>1328</v>
      </c>
      <c r="B104" t="s">
        <v>1312</v>
      </c>
    </row>
    <row r="105" spans="1:2" x14ac:dyDescent="0.35">
      <c r="A105" t="s">
        <v>389</v>
      </c>
      <c r="B105" t="s">
        <v>1329</v>
      </c>
    </row>
    <row r="106" spans="1:2" x14ac:dyDescent="0.35">
      <c r="A106" t="s">
        <v>388</v>
      </c>
      <c r="B106" t="s">
        <v>1330</v>
      </c>
    </row>
    <row r="107" spans="1:2" x14ac:dyDescent="0.35">
      <c r="A107" t="s">
        <v>315</v>
      </c>
      <c r="B107" t="s">
        <v>1331</v>
      </c>
    </row>
    <row r="108" spans="1:2" x14ac:dyDescent="0.35">
      <c r="A108" t="s">
        <v>312</v>
      </c>
      <c r="B108" t="s">
        <v>1332</v>
      </c>
    </row>
    <row r="109" spans="1:2" x14ac:dyDescent="0.35">
      <c r="A109" t="s">
        <v>309</v>
      </c>
      <c r="B109" t="s">
        <v>1333</v>
      </c>
    </row>
    <row r="110" spans="1:2" x14ac:dyDescent="0.35">
      <c r="A110" t="s">
        <v>318</v>
      </c>
      <c r="B110" t="s">
        <v>1334</v>
      </c>
    </row>
    <row r="111" spans="1:2" x14ac:dyDescent="0.35">
      <c r="A111" t="s">
        <v>382</v>
      </c>
      <c r="B111" t="s">
        <v>1335</v>
      </c>
    </row>
    <row r="112" spans="1:2" x14ac:dyDescent="0.35">
      <c r="A112" t="s">
        <v>1336</v>
      </c>
      <c r="B112" t="s">
        <v>1337</v>
      </c>
    </row>
    <row r="113" spans="1:2" x14ac:dyDescent="0.35">
      <c r="A113" t="s">
        <v>1336</v>
      </c>
      <c r="B113" t="s">
        <v>1296</v>
      </c>
    </row>
    <row r="114" spans="1:2" x14ac:dyDescent="0.35">
      <c r="A114" t="s">
        <v>376</v>
      </c>
      <c r="B114" t="s">
        <v>1338</v>
      </c>
    </row>
    <row r="115" spans="1:2" x14ac:dyDescent="0.35">
      <c r="A115" t="s">
        <v>378</v>
      </c>
      <c r="B115" t="s">
        <v>1339</v>
      </c>
    </row>
    <row r="116" spans="1:2" x14ac:dyDescent="0.35">
      <c r="A116" t="s">
        <v>377</v>
      </c>
      <c r="B116" t="s">
        <v>1340</v>
      </c>
    </row>
    <row r="117" spans="1:2" x14ac:dyDescent="0.35">
      <c r="A117" t="s">
        <v>1341</v>
      </c>
      <c r="B117" t="s">
        <v>1296</v>
      </c>
    </row>
    <row r="118" spans="1:2" x14ac:dyDescent="0.35">
      <c r="A118" t="s">
        <v>1515</v>
      </c>
      <c r="B118" t="s">
        <v>1516</v>
      </c>
    </row>
    <row r="119" spans="1:2" x14ac:dyDescent="0.35">
      <c r="A119" t="s">
        <v>293</v>
      </c>
      <c r="B119" t="s">
        <v>1342</v>
      </c>
    </row>
    <row r="120" spans="1:2" x14ac:dyDescent="0.35">
      <c r="A120" t="s">
        <v>205</v>
      </c>
      <c r="B120" t="s">
        <v>1343</v>
      </c>
    </row>
    <row r="121" spans="1:2" x14ac:dyDescent="0.35">
      <c r="A121" t="s">
        <v>206</v>
      </c>
      <c r="B121" t="s">
        <v>1344</v>
      </c>
    </row>
    <row r="122" spans="1:2" x14ac:dyDescent="0.35">
      <c r="A122" t="s">
        <v>1345</v>
      </c>
      <c r="B122" t="s">
        <v>1344</v>
      </c>
    </row>
    <row r="123" spans="1:2" x14ac:dyDescent="0.35">
      <c r="A123" t="s">
        <v>367</v>
      </c>
      <c r="B123" t="s">
        <v>1346</v>
      </c>
    </row>
    <row r="124" spans="1:2" x14ac:dyDescent="0.35">
      <c r="A124" t="s">
        <v>292</v>
      </c>
      <c r="B124" t="s">
        <v>1347</v>
      </c>
    </row>
    <row r="125" spans="1:2" x14ac:dyDescent="0.35">
      <c r="A125" t="s">
        <v>1348</v>
      </c>
      <c r="B125" t="s">
        <v>1349</v>
      </c>
    </row>
    <row r="126" spans="1:2" x14ac:dyDescent="0.35">
      <c r="A126" t="s">
        <v>1350</v>
      </c>
      <c r="B126" t="s">
        <v>162</v>
      </c>
    </row>
    <row r="127" spans="1:2" x14ac:dyDescent="0.35">
      <c r="A127" t="s">
        <v>1351</v>
      </c>
      <c r="B127" t="s">
        <v>173</v>
      </c>
    </row>
    <row r="128" spans="1:2" x14ac:dyDescent="0.35">
      <c r="A128" t="s">
        <v>1352</v>
      </c>
      <c r="B128" t="s">
        <v>1353</v>
      </c>
    </row>
    <row r="129" spans="1:2" x14ac:dyDescent="0.35">
      <c r="A129" t="s">
        <v>374</v>
      </c>
      <c r="B129" t="s">
        <v>1354</v>
      </c>
    </row>
    <row r="130" spans="1:2" x14ac:dyDescent="0.35">
      <c r="A130" t="s">
        <v>280</v>
      </c>
      <c r="B130" t="s">
        <v>1355</v>
      </c>
    </row>
    <row r="131" spans="1:2" x14ac:dyDescent="0.35">
      <c r="A131" t="s">
        <v>231</v>
      </c>
      <c r="B131" t="s">
        <v>1356</v>
      </c>
    </row>
    <row r="132" spans="1:2" x14ac:dyDescent="0.35">
      <c r="A132" t="s">
        <v>168</v>
      </c>
      <c r="B132" t="s">
        <v>1357</v>
      </c>
    </row>
    <row r="133" spans="1:2" x14ac:dyDescent="0.35">
      <c r="A133" t="s">
        <v>168</v>
      </c>
      <c r="B133" t="s">
        <v>174</v>
      </c>
    </row>
    <row r="134" spans="1:2" x14ac:dyDescent="0.35">
      <c r="A134" t="s">
        <v>1358</v>
      </c>
      <c r="B134" t="s">
        <v>1359</v>
      </c>
    </row>
    <row r="135" spans="1:2" x14ac:dyDescent="0.35">
      <c r="A135" t="s">
        <v>1360</v>
      </c>
      <c r="B135" t="s">
        <v>1359</v>
      </c>
    </row>
    <row r="136" spans="1:2" x14ac:dyDescent="0.35">
      <c r="A136" t="s">
        <v>339</v>
      </c>
      <c r="B136" t="s">
        <v>1361</v>
      </c>
    </row>
    <row r="137" spans="1:2" x14ac:dyDescent="0.35">
      <c r="A137" t="s">
        <v>198</v>
      </c>
      <c r="B137" t="s">
        <v>1362</v>
      </c>
    </row>
    <row r="138" spans="1:2" x14ac:dyDescent="0.35">
      <c r="A138" t="s">
        <v>212</v>
      </c>
      <c r="B138" t="s">
        <v>1363</v>
      </c>
    </row>
    <row r="139" spans="1:2" x14ac:dyDescent="0.35">
      <c r="A139" t="s">
        <v>1364</v>
      </c>
      <c r="B139" t="s">
        <v>1365</v>
      </c>
    </row>
    <row r="140" spans="1:2" x14ac:dyDescent="0.35">
      <c r="A140" t="s">
        <v>170</v>
      </c>
      <c r="B140" t="s">
        <v>1310</v>
      </c>
    </row>
    <row r="141" spans="1:2" x14ac:dyDescent="0.35">
      <c r="A141" t="s">
        <v>170</v>
      </c>
      <c r="B141" t="s">
        <v>1517</v>
      </c>
    </row>
    <row r="142" spans="1:2" x14ac:dyDescent="0.35">
      <c r="A142" t="s">
        <v>1366</v>
      </c>
      <c r="B142" t="s">
        <v>1311</v>
      </c>
    </row>
    <row r="143" spans="1:2" x14ac:dyDescent="0.35">
      <c r="A143" t="s">
        <v>171</v>
      </c>
      <c r="B143" t="s">
        <v>1367</v>
      </c>
    </row>
    <row r="144" spans="1:2" x14ac:dyDescent="0.35">
      <c r="A144" t="s">
        <v>172</v>
      </c>
      <c r="B144" t="s">
        <v>1368</v>
      </c>
    </row>
    <row r="145" spans="1:2" x14ac:dyDescent="0.35">
      <c r="A145" t="s">
        <v>278</v>
      </c>
      <c r="B145" t="s">
        <v>1369</v>
      </c>
    </row>
    <row r="146" spans="1:2" x14ac:dyDescent="0.35">
      <c r="A146" t="s">
        <v>1370</v>
      </c>
      <c r="B146" t="s">
        <v>1371</v>
      </c>
    </row>
    <row r="147" spans="1:2" x14ac:dyDescent="0.35">
      <c r="A147" t="s">
        <v>196</v>
      </c>
      <c r="B147" t="s">
        <v>1372</v>
      </c>
    </row>
    <row r="148" spans="1:2" x14ac:dyDescent="0.35">
      <c r="A148" t="s">
        <v>1373</v>
      </c>
      <c r="B148" t="s">
        <v>1374</v>
      </c>
    </row>
    <row r="149" spans="1:2" x14ac:dyDescent="0.35">
      <c r="A149" t="s">
        <v>345</v>
      </c>
      <c r="B149" t="s">
        <v>1375</v>
      </c>
    </row>
    <row r="150" spans="1:2" x14ac:dyDescent="0.35">
      <c r="A150" t="s">
        <v>1376</v>
      </c>
      <c r="B150" t="s">
        <v>1377</v>
      </c>
    </row>
    <row r="151" spans="1:2" x14ac:dyDescent="0.35">
      <c r="A151" t="s">
        <v>218</v>
      </c>
      <c r="B151" t="s">
        <v>1378</v>
      </c>
    </row>
    <row r="152" spans="1:2" x14ac:dyDescent="0.35">
      <c r="A152" t="s">
        <v>366</v>
      </c>
      <c r="B152" t="s">
        <v>1379</v>
      </c>
    </row>
    <row r="153" spans="1:2" x14ac:dyDescent="0.35">
      <c r="A153" t="s">
        <v>387</v>
      </c>
      <c r="B153" t="s">
        <v>1380</v>
      </c>
    </row>
    <row r="154" spans="1:2" x14ac:dyDescent="0.35">
      <c r="A154" t="s">
        <v>1518</v>
      </c>
      <c r="B154" t="s">
        <v>1519</v>
      </c>
    </row>
    <row r="155" spans="1:2" x14ac:dyDescent="0.35">
      <c r="A155" t="s">
        <v>379</v>
      </c>
      <c r="B155" t="s">
        <v>1381</v>
      </c>
    </row>
    <row r="156" spans="1:2" x14ac:dyDescent="0.35">
      <c r="A156" t="s">
        <v>348</v>
      </c>
      <c r="B156" t="s">
        <v>1382</v>
      </c>
    </row>
    <row r="157" spans="1:2" x14ac:dyDescent="0.35">
      <c r="A157" t="s">
        <v>1383</v>
      </c>
      <c r="B157" t="s">
        <v>1384</v>
      </c>
    </row>
    <row r="158" spans="1:2" x14ac:dyDescent="0.35">
      <c r="A158" t="s">
        <v>347</v>
      </c>
      <c r="B158" t="s">
        <v>1385</v>
      </c>
    </row>
    <row r="159" spans="1:2" x14ac:dyDescent="0.35">
      <c r="A159" t="s">
        <v>347</v>
      </c>
      <c r="B159" t="s">
        <v>1386</v>
      </c>
    </row>
    <row r="160" spans="1:2" x14ac:dyDescent="0.35">
      <c r="A160" t="s">
        <v>1387</v>
      </c>
      <c r="B160" t="s">
        <v>1388</v>
      </c>
    </row>
    <row r="161" spans="1:2" x14ac:dyDescent="0.35">
      <c r="A161" t="s">
        <v>349</v>
      </c>
      <c r="B161" t="s">
        <v>1389</v>
      </c>
    </row>
    <row r="162" spans="1:2" x14ac:dyDescent="0.35">
      <c r="A162" t="s">
        <v>350</v>
      </c>
      <c r="B162" t="s">
        <v>1390</v>
      </c>
    </row>
    <row r="163" spans="1:2" x14ac:dyDescent="0.35">
      <c r="A163" t="s">
        <v>1391</v>
      </c>
      <c r="B163" t="s">
        <v>1392</v>
      </c>
    </row>
    <row r="164" spans="1:2" x14ac:dyDescent="0.35">
      <c r="A164" t="s">
        <v>351</v>
      </c>
      <c r="B164" t="s">
        <v>1393</v>
      </c>
    </row>
    <row r="165" spans="1:2" x14ac:dyDescent="0.35">
      <c r="A165" t="s">
        <v>1394</v>
      </c>
      <c r="B165" t="s">
        <v>1395</v>
      </c>
    </row>
    <row r="166" spans="1:2" x14ac:dyDescent="0.35">
      <c r="A166" t="s">
        <v>353</v>
      </c>
      <c r="B166" t="s">
        <v>1396</v>
      </c>
    </row>
    <row r="167" spans="1:2" x14ac:dyDescent="0.35">
      <c r="A167" t="s">
        <v>1397</v>
      </c>
      <c r="B167" t="s">
        <v>1398</v>
      </c>
    </row>
    <row r="168" spans="1:2" x14ac:dyDescent="0.35">
      <c r="A168" t="s">
        <v>1399</v>
      </c>
      <c r="B168" t="s">
        <v>1400</v>
      </c>
    </row>
    <row r="169" spans="1:2" x14ac:dyDescent="0.35">
      <c r="A169" t="s">
        <v>1401</v>
      </c>
      <c r="B169" t="s">
        <v>1402</v>
      </c>
    </row>
    <row r="170" spans="1:2" x14ac:dyDescent="0.35">
      <c r="A170" t="s">
        <v>1403</v>
      </c>
      <c r="B170" t="s">
        <v>1404</v>
      </c>
    </row>
    <row r="171" spans="1:2" x14ac:dyDescent="0.35">
      <c r="A171" t="s">
        <v>1405</v>
      </c>
      <c r="B171" t="s">
        <v>1406</v>
      </c>
    </row>
    <row r="172" spans="1:2" x14ac:dyDescent="0.35">
      <c r="A172" t="s">
        <v>1407</v>
      </c>
      <c r="B172" t="s">
        <v>1408</v>
      </c>
    </row>
    <row r="173" spans="1:2" x14ac:dyDescent="0.35">
      <c r="A173" t="s">
        <v>1409</v>
      </c>
      <c r="B173" t="s">
        <v>1410</v>
      </c>
    </row>
    <row r="174" spans="1:2" x14ac:dyDescent="0.35">
      <c r="A174" t="s">
        <v>346</v>
      </c>
      <c r="B174" t="s">
        <v>1411</v>
      </c>
    </row>
    <row r="175" spans="1:2" x14ac:dyDescent="0.35">
      <c r="A175" t="s">
        <v>346</v>
      </c>
      <c r="B175" t="s">
        <v>1412</v>
      </c>
    </row>
    <row r="176" spans="1:2" x14ac:dyDescent="0.35">
      <c r="A176" t="s">
        <v>1413</v>
      </c>
      <c r="B176" t="s">
        <v>1414</v>
      </c>
    </row>
    <row r="177" spans="1:2" x14ac:dyDescent="0.35">
      <c r="A177" t="s">
        <v>255</v>
      </c>
      <c r="B177" t="s">
        <v>1415</v>
      </c>
    </row>
    <row r="178" spans="1:2" x14ac:dyDescent="0.35">
      <c r="A178" t="s">
        <v>262</v>
      </c>
      <c r="B178" t="s">
        <v>1416</v>
      </c>
    </row>
    <row r="179" spans="1:2" x14ac:dyDescent="0.35">
      <c r="A179" t="s">
        <v>263</v>
      </c>
      <c r="B179" t="s">
        <v>1417</v>
      </c>
    </row>
    <row r="180" spans="1:2" x14ac:dyDescent="0.35">
      <c r="A180" t="s">
        <v>1418</v>
      </c>
      <c r="B180" t="s">
        <v>1419</v>
      </c>
    </row>
    <row r="181" spans="1:2" x14ac:dyDescent="0.35">
      <c r="A181" t="s">
        <v>264</v>
      </c>
      <c r="B181" t="s">
        <v>1420</v>
      </c>
    </row>
    <row r="182" spans="1:2" x14ac:dyDescent="0.35">
      <c r="A182" t="s">
        <v>1421</v>
      </c>
      <c r="B182" t="s">
        <v>1422</v>
      </c>
    </row>
    <row r="183" spans="1:2" x14ac:dyDescent="0.35">
      <c r="A183" t="s">
        <v>1423</v>
      </c>
      <c r="B183" t="s">
        <v>1419</v>
      </c>
    </row>
    <row r="184" spans="1:2" x14ac:dyDescent="0.35">
      <c r="A184" t="s">
        <v>1424</v>
      </c>
      <c r="B184" t="s">
        <v>1425</v>
      </c>
    </row>
    <row r="185" spans="1:2" x14ac:dyDescent="0.35">
      <c r="A185" t="s">
        <v>1426</v>
      </c>
      <c r="B185" t="s">
        <v>1427</v>
      </c>
    </row>
    <row r="186" spans="1:2" x14ac:dyDescent="0.35">
      <c r="A186" t="s">
        <v>1428</v>
      </c>
      <c r="B186" t="s">
        <v>1429</v>
      </c>
    </row>
    <row r="187" spans="1:2" x14ac:dyDescent="0.35">
      <c r="A187" t="s">
        <v>317</v>
      </c>
      <c r="B187" t="s">
        <v>1430</v>
      </c>
    </row>
    <row r="188" spans="1:2" x14ac:dyDescent="0.35">
      <c r="A188" t="s">
        <v>314</v>
      </c>
      <c r="B188" t="s">
        <v>1431</v>
      </c>
    </row>
    <row r="189" spans="1:2" x14ac:dyDescent="0.35">
      <c r="A189" t="s">
        <v>311</v>
      </c>
      <c r="B189" t="s">
        <v>1432</v>
      </c>
    </row>
    <row r="190" spans="1:2" x14ac:dyDescent="0.35">
      <c r="A190" t="s">
        <v>320</v>
      </c>
      <c r="B190" t="s">
        <v>1433</v>
      </c>
    </row>
    <row r="191" spans="1:2" x14ac:dyDescent="0.35">
      <c r="A191" t="s">
        <v>304</v>
      </c>
      <c r="B191" t="s">
        <v>1434</v>
      </c>
    </row>
    <row r="192" spans="1:2" x14ac:dyDescent="0.35">
      <c r="A192" t="s">
        <v>611</v>
      </c>
      <c r="B192" t="s">
        <v>1520</v>
      </c>
    </row>
    <row r="193" spans="1:2" x14ac:dyDescent="0.35">
      <c r="A193" t="s">
        <v>392</v>
      </c>
      <c r="B193" t="s">
        <v>1435</v>
      </c>
    </row>
    <row r="194" spans="1:2" x14ac:dyDescent="0.35">
      <c r="A194" t="s">
        <v>247</v>
      </c>
      <c r="B194" t="s">
        <v>1279</v>
      </c>
    </row>
    <row r="195" spans="1:2" x14ac:dyDescent="0.35">
      <c r="A195" t="s">
        <v>1436</v>
      </c>
      <c r="B195" t="s">
        <v>1437</v>
      </c>
    </row>
    <row r="196" spans="1:2" x14ac:dyDescent="0.35">
      <c r="A196" t="s">
        <v>291</v>
      </c>
      <c r="B196" t="s">
        <v>1438</v>
      </c>
    </row>
    <row r="197" spans="1:2" x14ac:dyDescent="0.35">
      <c r="A197" t="s">
        <v>239</v>
      </c>
      <c r="B197" t="s">
        <v>1439</v>
      </c>
    </row>
    <row r="198" spans="1:2" x14ac:dyDescent="0.35">
      <c r="A198" t="s">
        <v>1440</v>
      </c>
      <c r="B198" t="s">
        <v>1441</v>
      </c>
    </row>
    <row r="199" spans="1:2" x14ac:dyDescent="0.35">
      <c r="A199" t="s">
        <v>1442</v>
      </c>
      <c r="B199" t="s">
        <v>1443</v>
      </c>
    </row>
    <row r="200" spans="1:2" x14ac:dyDescent="0.35">
      <c r="A200" t="s">
        <v>322</v>
      </c>
      <c r="B200" t="s">
        <v>1444</v>
      </c>
    </row>
    <row r="201" spans="1:2" x14ac:dyDescent="0.35">
      <c r="A201" t="s">
        <v>380</v>
      </c>
      <c r="B201" t="s">
        <v>1445</v>
      </c>
    </row>
    <row r="202" spans="1:2" x14ac:dyDescent="0.35">
      <c r="A202" t="s">
        <v>297</v>
      </c>
      <c r="B202" t="s">
        <v>1446</v>
      </c>
    </row>
    <row r="203" spans="1:2" x14ac:dyDescent="0.35">
      <c r="A203" t="s">
        <v>300</v>
      </c>
      <c r="B203" t="s">
        <v>1447</v>
      </c>
    </row>
    <row r="204" spans="1:2" x14ac:dyDescent="0.35">
      <c r="A204" t="s">
        <v>300</v>
      </c>
      <c r="B204" t="s">
        <v>1512</v>
      </c>
    </row>
    <row r="205" spans="1:2" x14ac:dyDescent="0.35">
      <c r="A205" t="s">
        <v>335</v>
      </c>
      <c r="B205" t="s">
        <v>1311</v>
      </c>
    </row>
    <row r="206" spans="1:2" x14ac:dyDescent="0.35">
      <c r="A206" t="s">
        <v>336</v>
      </c>
      <c r="B206" t="s">
        <v>1448</v>
      </c>
    </row>
    <row r="207" spans="1:2" x14ac:dyDescent="0.35">
      <c r="A207" t="s">
        <v>321</v>
      </c>
      <c r="B207" t="s">
        <v>1449</v>
      </c>
    </row>
    <row r="208" spans="1:2" x14ac:dyDescent="0.35">
      <c r="A208" t="s">
        <v>364</v>
      </c>
      <c r="B208" t="s">
        <v>1450</v>
      </c>
    </row>
    <row r="209" spans="1:2" x14ac:dyDescent="0.35">
      <c r="A209" t="s">
        <v>1451</v>
      </c>
      <c r="B209" t="s">
        <v>1452</v>
      </c>
    </row>
    <row r="210" spans="1:2" x14ac:dyDescent="0.35">
      <c r="A210" t="s">
        <v>1453</v>
      </c>
      <c r="B210" t="s">
        <v>1454</v>
      </c>
    </row>
    <row r="211" spans="1:2" x14ac:dyDescent="0.35">
      <c r="A211" t="s">
        <v>184</v>
      </c>
      <c r="B211" t="s">
        <v>1455</v>
      </c>
    </row>
    <row r="212" spans="1:2" x14ac:dyDescent="0.35">
      <c r="A212" t="s">
        <v>608</v>
      </c>
      <c r="B212" t="s">
        <v>1513</v>
      </c>
    </row>
    <row r="213" spans="1:2" x14ac:dyDescent="0.35">
      <c r="A213" t="s">
        <v>1521</v>
      </c>
      <c r="B213" t="s">
        <v>1522</v>
      </c>
    </row>
    <row r="214" spans="1:2" x14ac:dyDescent="0.35">
      <c r="A214" t="s">
        <v>1456</v>
      </c>
      <c r="B214" t="s">
        <v>1454</v>
      </c>
    </row>
    <row r="215" spans="1:2" x14ac:dyDescent="0.35">
      <c r="A215" t="s">
        <v>191</v>
      </c>
      <c r="B215" t="s">
        <v>1454</v>
      </c>
    </row>
    <row r="216" spans="1:2" x14ac:dyDescent="0.35">
      <c r="A216" t="s">
        <v>1457</v>
      </c>
      <c r="B216" t="s">
        <v>1458</v>
      </c>
    </row>
    <row r="217" spans="1:2" x14ac:dyDescent="0.35">
      <c r="A217" t="s">
        <v>192</v>
      </c>
      <c r="B217" t="s">
        <v>1458</v>
      </c>
    </row>
    <row r="218" spans="1:2" x14ac:dyDescent="0.35">
      <c r="A218" t="s">
        <v>189</v>
      </c>
      <c r="B218" t="s">
        <v>1454</v>
      </c>
    </row>
    <row r="219" spans="1:2" x14ac:dyDescent="0.35">
      <c r="A219" t="s">
        <v>190</v>
      </c>
      <c r="B219" t="s">
        <v>1458</v>
      </c>
    </row>
    <row r="220" spans="1:2" x14ac:dyDescent="0.35">
      <c r="A220" t="s">
        <v>1459</v>
      </c>
      <c r="B220" t="s">
        <v>222</v>
      </c>
    </row>
    <row r="221" spans="1:2" x14ac:dyDescent="0.35">
      <c r="A221" t="s">
        <v>1460</v>
      </c>
      <c r="B221" t="s">
        <v>1461</v>
      </c>
    </row>
    <row r="222" spans="1:2" x14ac:dyDescent="0.35">
      <c r="A222" t="s">
        <v>223</v>
      </c>
      <c r="B222" t="s">
        <v>1462</v>
      </c>
    </row>
    <row r="223" spans="1:2" x14ac:dyDescent="0.35">
      <c r="A223" t="s">
        <v>238</v>
      </c>
      <c r="B223" t="s">
        <v>1463</v>
      </c>
    </row>
    <row r="224" spans="1:2" x14ac:dyDescent="0.35">
      <c r="A224" t="s">
        <v>238</v>
      </c>
      <c r="B224" t="s">
        <v>1466</v>
      </c>
    </row>
    <row r="225" spans="1:2" x14ac:dyDescent="0.35">
      <c r="A225" t="s">
        <v>1464</v>
      </c>
      <c r="B225" t="s">
        <v>1465</v>
      </c>
    </row>
    <row r="226" spans="1:2" x14ac:dyDescent="0.35">
      <c r="A226" t="s">
        <v>234</v>
      </c>
      <c r="B226" t="s">
        <v>1467</v>
      </c>
    </row>
    <row r="227" spans="1:2" x14ac:dyDescent="0.35">
      <c r="A227" t="s">
        <v>1468</v>
      </c>
      <c r="B227" t="s">
        <v>1439</v>
      </c>
    </row>
    <row r="228" spans="1:2" x14ac:dyDescent="0.35">
      <c r="A228" t="s">
        <v>1469</v>
      </c>
      <c r="B228" t="s">
        <v>1470</v>
      </c>
    </row>
    <row r="229" spans="1:2" x14ac:dyDescent="0.35">
      <c r="A229" t="s">
        <v>1471</v>
      </c>
      <c r="B229" t="s">
        <v>1472</v>
      </c>
    </row>
    <row r="230" spans="1:2" x14ac:dyDescent="0.35">
      <c r="A230" t="s">
        <v>1473</v>
      </c>
      <c r="B230" t="s">
        <v>1474</v>
      </c>
    </row>
    <row r="231" spans="1:2" x14ac:dyDescent="0.35">
      <c r="A231" t="s">
        <v>1475</v>
      </c>
      <c r="B231" t="s">
        <v>162</v>
      </c>
    </row>
    <row r="232" spans="1:2" x14ac:dyDescent="0.35">
      <c r="A232" t="s">
        <v>1476</v>
      </c>
      <c r="B232" t="s">
        <v>1477</v>
      </c>
    </row>
    <row r="233" spans="1:2" x14ac:dyDescent="0.35">
      <c r="A233" t="s">
        <v>185</v>
      </c>
      <c r="B233" t="s">
        <v>1478</v>
      </c>
    </row>
    <row r="234" spans="1:2" x14ac:dyDescent="0.35">
      <c r="A234" t="s">
        <v>302</v>
      </c>
      <c r="B234" t="s">
        <v>1479</v>
      </c>
    </row>
    <row r="235" spans="1:2" x14ac:dyDescent="0.35">
      <c r="A235" t="s">
        <v>1480</v>
      </c>
      <c r="B235" t="s">
        <v>1481</v>
      </c>
    </row>
    <row r="236" spans="1:2" x14ac:dyDescent="0.35">
      <c r="A236" t="s">
        <v>194</v>
      </c>
      <c r="B236" t="s">
        <v>1482</v>
      </c>
    </row>
    <row r="237" spans="1:2" x14ac:dyDescent="0.35">
      <c r="A237" t="s">
        <v>369</v>
      </c>
      <c r="B237" t="s">
        <v>1411</v>
      </c>
    </row>
    <row r="238" spans="1:2" x14ac:dyDescent="0.35">
      <c r="A238" t="s">
        <v>251</v>
      </c>
      <c r="B238" t="s">
        <v>1329</v>
      </c>
    </row>
    <row r="239" spans="1:2" x14ac:dyDescent="0.35">
      <c r="A239" t="s">
        <v>386</v>
      </c>
      <c r="B239" t="s">
        <v>1483</v>
      </c>
    </row>
    <row r="240" spans="1:2" x14ac:dyDescent="0.35">
      <c r="A240" t="s">
        <v>385</v>
      </c>
      <c r="B240" t="s">
        <v>1484</v>
      </c>
    </row>
    <row r="241" spans="1:2" x14ac:dyDescent="0.35">
      <c r="A241" t="s">
        <v>245</v>
      </c>
      <c r="B241" t="s">
        <v>1485</v>
      </c>
    </row>
    <row r="242" spans="1:2" x14ac:dyDescent="0.35">
      <c r="A242" t="s">
        <v>269</v>
      </c>
      <c r="B242" t="s">
        <v>1330</v>
      </c>
    </row>
    <row r="243" spans="1:2" x14ac:dyDescent="0.35">
      <c r="A243" t="s">
        <v>270</v>
      </c>
      <c r="B243" t="s">
        <v>1486</v>
      </c>
    </row>
    <row r="244" spans="1:2" x14ac:dyDescent="0.35">
      <c r="A244" t="s">
        <v>375</v>
      </c>
      <c r="B244" t="s">
        <v>1487</v>
      </c>
    </row>
    <row r="245" spans="1:2" x14ac:dyDescent="0.35">
      <c r="A245" t="s">
        <v>282</v>
      </c>
      <c r="B245" t="s">
        <v>1488</v>
      </c>
    </row>
    <row r="246" spans="1:2" x14ac:dyDescent="0.35">
      <c r="A246" t="s">
        <v>1489</v>
      </c>
      <c r="B246" t="s">
        <v>1490</v>
      </c>
    </row>
    <row r="247" spans="1:2" x14ac:dyDescent="0.35">
      <c r="A247" t="s">
        <v>283</v>
      </c>
      <c r="B247" t="s">
        <v>1491</v>
      </c>
    </row>
    <row r="248" spans="1:2" x14ac:dyDescent="0.35">
      <c r="A248" t="s">
        <v>1492</v>
      </c>
      <c r="B248" t="s">
        <v>1493</v>
      </c>
    </row>
    <row r="249" spans="1:2" x14ac:dyDescent="0.35">
      <c r="A249" t="s">
        <v>383</v>
      </c>
      <c r="B249" t="s">
        <v>1494</v>
      </c>
    </row>
    <row r="250" spans="1:2" x14ac:dyDescent="0.35">
      <c r="A250" t="s">
        <v>1495</v>
      </c>
      <c r="B250" t="s">
        <v>1463</v>
      </c>
    </row>
    <row r="251" spans="1:2" x14ac:dyDescent="0.35">
      <c r="A251" t="s">
        <v>1496</v>
      </c>
      <c r="B251" t="s">
        <v>1497</v>
      </c>
    </row>
    <row r="252" spans="1:2" x14ac:dyDescent="0.35">
      <c r="A252" t="s">
        <v>226</v>
      </c>
      <c r="B252" t="s">
        <v>1498</v>
      </c>
    </row>
    <row r="253" spans="1:2" x14ac:dyDescent="0.35">
      <c r="A253" t="s">
        <v>1499</v>
      </c>
      <c r="B253" t="s">
        <v>1500</v>
      </c>
    </row>
    <row r="254" spans="1:2" x14ac:dyDescent="0.35">
      <c r="A254" t="s">
        <v>225</v>
      </c>
      <c r="B254" t="s">
        <v>1463</v>
      </c>
    </row>
    <row r="255" spans="1:2" x14ac:dyDescent="0.35">
      <c r="A255" t="s">
        <v>220</v>
      </c>
      <c r="B255" t="s">
        <v>1501</v>
      </c>
    </row>
    <row r="256" spans="1:2" x14ac:dyDescent="0.35">
      <c r="A256" t="s">
        <v>612</v>
      </c>
      <c r="B256" t="s">
        <v>1514</v>
      </c>
    </row>
    <row r="257" spans="1:2" x14ac:dyDescent="0.35">
      <c r="A257" t="s">
        <v>1502</v>
      </c>
      <c r="B257" t="s">
        <v>1503</v>
      </c>
    </row>
    <row r="258" spans="1:2" x14ac:dyDescent="0.35">
      <c r="A258" t="s">
        <v>1504</v>
      </c>
      <c r="B258" t="s">
        <v>1505</v>
      </c>
    </row>
  </sheetData>
  <sortState xmlns:xlrd2="http://schemas.microsoft.com/office/spreadsheetml/2017/richdata2" ref="A4:B258">
    <sortCondition ref="A4:A25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8A0A7-3FB6-453A-AC5F-C6671B244230}">
  <sheetPr codeName="Sheet7" filterMode="1"/>
  <dimension ref="A1:JW47"/>
  <sheetViews>
    <sheetView zoomScale="67" zoomScaleNormal="67" workbookViewId="0">
      <pane xSplit="4" ySplit="1" topLeftCell="AR3" activePane="bottomRight" state="frozen"/>
      <selection pane="topRight" activeCell="E1" sqref="E1"/>
      <selection pane="bottomLeft" activeCell="A2" sqref="A2"/>
      <selection pane="bottomRight" activeCell="AT4" sqref="AT4"/>
    </sheetView>
  </sheetViews>
  <sheetFormatPr defaultRowHeight="14.5" x14ac:dyDescent="0.35"/>
  <cols>
    <col min="1" max="2" width="8.7265625" style="1"/>
    <col min="3" max="3" width="15.453125" style="1" customWidth="1"/>
    <col min="4" max="4" width="21.1796875" style="1" customWidth="1"/>
    <col min="28" max="28" width="6.54296875" customWidth="1"/>
    <col min="29" max="29" width="4.26953125" customWidth="1"/>
    <col min="30" max="30" width="9.1796875" customWidth="1"/>
    <col min="31" max="31" width="8.81640625" customWidth="1"/>
    <col min="32" max="32" width="6.54296875" customWidth="1"/>
    <col min="39" max="43" width="6.54296875" customWidth="1"/>
    <col min="50" max="50" width="6.54296875" customWidth="1"/>
    <col min="70" max="154" width="8.7265625" customWidth="1"/>
    <col min="183" max="186" width="15.7265625" customWidth="1"/>
    <col min="187" max="187" width="11.453125" customWidth="1"/>
    <col min="188" max="188" width="14.7265625" customWidth="1"/>
    <col min="189" max="192" width="15.7265625" customWidth="1"/>
    <col min="202" max="202" width="5.1796875" customWidth="1"/>
    <col min="203" max="203" width="5" customWidth="1"/>
    <col min="204" max="204" width="5.1796875" customWidth="1"/>
    <col min="205" max="206" width="4.54296875" customWidth="1"/>
  </cols>
  <sheetData>
    <row r="1" spans="2:282" ht="86.5" customHeight="1" x14ac:dyDescent="0.35">
      <c r="E1" s="1" t="s">
        <v>138</v>
      </c>
      <c r="F1" s="1" t="s">
        <v>139</v>
      </c>
      <c r="G1" s="1" t="s">
        <v>140</v>
      </c>
      <c r="H1" s="1" t="s">
        <v>141</v>
      </c>
      <c r="I1" s="1" t="s">
        <v>142</v>
      </c>
      <c r="J1" s="1" t="s">
        <v>143</v>
      </c>
      <c r="K1" s="1" t="s">
        <v>144</v>
      </c>
      <c r="L1" s="1" t="s">
        <v>146</v>
      </c>
      <c r="M1" s="1" t="s">
        <v>145</v>
      </c>
      <c r="N1" s="1" t="s">
        <v>147</v>
      </c>
      <c r="O1" s="1" t="s">
        <v>150</v>
      </c>
      <c r="P1" s="1" t="s">
        <v>151</v>
      </c>
      <c r="Q1" s="1" t="s">
        <v>148</v>
      </c>
      <c r="R1" s="1" t="s">
        <v>149</v>
      </c>
      <c r="S1" s="1" t="s">
        <v>158</v>
      </c>
      <c r="T1" s="1" t="s">
        <v>159</v>
      </c>
      <c r="U1" s="1" t="s">
        <v>156</v>
      </c>
      <c r="V1" s="1" t="s">
        <v>157</v>
      </c>
      <c r="W1" s="1" t="s">
        <v>160</v>
      </c>
      <c r="X1" s="1" t="s">
        <v>161</v>
      </c>
      <c r="Y1" s="1" t="s">
        <v>299</v>
      </c>
      <c r="Z1" s="1" t="s">
        <v>298</v>
      </c>
      <c r="AA1" s="1" t="s">
        <v>1523</v>
      </c>
      <c r="AB1" s="1" t="s">
        <v>176</v>
      </c>
      <c r="AC1" s="1" t="s">
        <v>1524</v>
      </c>
      <c r="AD1" s="1" t="s">
        <v>1525</v>
      </c>
      <c r="AE1" s="1" t="s">
        <v>1526</v>
      </c>
      <c r="AF1" s="1" t="s">
        <v>1527</v>
      </c>
      <c r="AG1" s="1" t="s">
        <v>1528</v>
      </c>
      <c r="AH1" s="1" t="s">
        <v>1316</v>
      </c>
      <c r="AI1" s="1" t="s">
        <v>208</v>
      </c>
      <c r="AJ1" s="1" t="s">
        <v>1529</v>
      </c>
      <c r="AK1" s="1" t="s">
        <v>1530</v>
      </c>
      <c r="AL1" s="1" t="s">
        <v>209</v>
      </c>
      <c r="AM1" s="1" t="s">
        <v>393</v>
      </c>
      <c r="AN1" s="1" t="s">
        <v>394</v>
      </c>
      <c r="AO1" s="1" t="s">
        <v>395</v>
      </c>
      <c r="AP1" s="1" t="s">
        <v>405</v>
      </c>
      <c r="AQ1" s="1" t="s">
        <v>406</v>
      </c>
      <c r="AR1" s="1" t="s">
        <v>396</v>
      </c>
      <c r="AS1" s="1" t="s">
        <v>1531</v>
      </c>
      <c r="AT1" s="1" t="s">
        <v>1532</v>
      </c>
      <c r="AU1" s="1" t="s">
        <v>1533</v>
      </c>
      <c r="AV1" s="1" t="s">
        <v>397</v>
      </c>
      <c r="AW1" s="1" t="s">
        <v>398</v>
      </c>
      <c r="AX1" s="1" t="s">
        <v>399</v>
      </c>
      <c r="AY1" s="1" t="s">
        <v>400</v>
      </c>
      <c r="AZ1" s="1" t="s">
        <v>401</v>
      </c>
      <c r="BA1" s="1" t="s">
        <v>402</v>
      </c>
      <c r="BB1" s="1" t="s">
        <v>404</v>
      </c>
      <c r="BC1" s="1" t="s">
        <v>1534</v>
      </c>
      <c r="BD1" s="1" t="s">
        <v>1535</v>
      </c>
      <c r="BE1" s="1" t="s">
        <v>1536</v>
      </c>
      <c r="BF1" s="1" t="s">
        <v>1537</v>
      </c>
      <c r="BG1" s="1" t="s">
        <v>403</v>
      </c>
      <c r="BH1" s="1" t="s">
        <v>409</v>
      </c>
      <c r="BI1" s="1" t="s">
        <v>410</v>
      </c>
      <c r="BJ1" s="1" t="s">
        <v>411</v>
      </c>
      <c r="BK1" s="1" t="s">
        <v>407</v>
      </c>
      <c r="BL1" s="1" t="s">
        <v>408</v>
      </c>
      <c r="BM1" s="1" t="s">
        <v>412</v>
      </c>
      <c r="BN1" s="1" t="s">
        <v>333</v>
      </c>
      <c r="BO1" s="1" t="s">
        <v>337</v>
      </c>
      <c r="BP1" s="1" t="s">
        <v>334</v>
      </c>
      <c r="BQ1" s="1" t="s">
        <v>413</v>
      </c>
      <c r="BR1" s="1" t="s">
        <v>414</v>
      </c>
      <c r="BS1" s="1" t="s">
        <v>415</v>
      </c>
      <c r="BT1" s="1" t="s">
        <v>416</v>
      </c>
      <c r="BU1" s="1" t="s">
        <v>417</v>
      </c>
      <c r="BV1" s="1" t="s">
        <v>418</v>
      </c>
      <c r="BW1" s="1" t="s">
        <v>419</v>
      </c>
      <c r="BX1" s="1" t="s">
        <v>420</v>
      </c>
      <c r="BY1" s="1" t="s">
        <v>421</v>
      </c>
      <c r="BZ1" s="1" t="s">
        <v>422</v>
      </c>
      <c r="CA1" s="1" t="s">
        <v>423</v>
      </c>
      <c r="CB1" s="1" t="s">
        <v>424</v>
      </c>
      <c r="CC1" s="1" t="s">
        <v>425</v>
      </c>
      <c r="CD1" s="1" t="s">
        <v>426</v>
      </c>
      <c r="CE1" s="1" t="s">
        <v>427</v>
      </c>
      <c r="CF1" s="1" t="s">
        <v>428</v>
      </c>
      <c r="CG1" s="1" t="s">
        <v>429</v>
      </c>
      <c r="CH1" s="1" t="s">
        <v>430</v>
      </c>
      <c r="CI1" s="1" t="s">
        <v>431</v>
      </c>
      <c r="CJ1" s="1" t="s">
        <v>432</v>
      </c>
      <c r="CK1" s="1" t="s">
        <v>433</v>
      </c>
      <c r="CL1" s="1" t="s">
        <v>434</v>
      </c>
      <c r="CM1" s="1" t="s">
        <v>435</v>
      </c>
      <c r="CN1" s="1" t="s">
        <v>436</v>
      </c>
      <c r="CO1" s="1" t="s">
        <v>437</v>
      </c>
      <c r="CP1" s="1" t="s">
        <v>438</v>
      </c>
      <c r="CQ1" s="1" t="s">
        <v>439</v>
      </c>
      <c r="CR1" s="1" t="s">
        <v>440</v>
      </c>
      <c r="CS1" s="1" t="s">
        <v>441</v>
      </c>
      <c r="CT1" s="1" t="s">
        <v>442</v>
      </c>
      <c r="CU1" s="1" t="s">
        <v>443</v>
      </c>
      <c r="CV1" s="1" t="s">
        <v>444</v>
      </c>
      <c r="CW1" s="1" t="s">
        <v>445</v>
      </c>
      <c r="CX1" s="1" t="s">
        <v>446</v>
      </c>
      <c r="CY1" s="1" t="s">
        <v>447</v>
      </c>
      <c r="CZ1" s="1" t="s">
        <v>448</v>
      </c>
      <c r="DA1" s="1" t="s">
        <v>449</v>
      </c>
      <c r="DB1" s="1" t="s">
        <v>450</v>
      </c>
      <c r="DC1" s="1" t="s">
        <v>451</v>
      </c>
      <c r="DD1" s="1" t="s">
        <v>452</v>
      </c>
      <c r="DE1" s="1" t="s">
        <v>453</v>
      </c>
      <c r="DF1" s="1" t="s">
        <v>454</v>
      </c>
      <c r="DG1" s="1" t="s">
        <v>455</v>
      </c>
      <c r="DH1" s="1" t="s">
        <v>456</v>
      </c>
      <c r="DI1" s="1" t="s">
        <v>457</v>
      </c>
      <c r="DJ1" s="1" t="s">
        <v>458</v>
      </c>
      <c r="DK1" s="1" t="s">
        <v>459</v>
      </c>
      <c r="DL1" s="1" t="s">
        <v>460</v>
      </c>
      <c r="DM1" s="1" t="s">
        <v>461</v>
      </c>
      <c r="DN1" s="1" t="s">
        <v>462</v>
      </c>
      <c r="DO1" s="1" t="s">
        <v>463</v>
      </c>
      <c r="DP1" s="1" t="s">
        <v>464</v>
      </c>
      <c r="DQ1" s="1" t="s">
        <v>465</v>
      </c>
      <c r="DR1" s="1" t="s">
        <v>466</v>
      </c>
      <c r="DS1" s="1" t="s">
        <v>467</v>
      </c>
      <c r="DT1" s="1" t="s">
        <v>468</v>
      </c>
      <c r="DU1" s="1" t="s">
        <v>469</v>
      </c>
      <c r="DV1" s="1" t="s">
        <v>470</v>
      </c>
      <c r="DW1" s="1" t="s">
        <v>471</v>
      </c>
      <c r="DX1" s="1" t="s">
        <v>472</v>
      </c>
      <c r="DY1" s="1" t="s">
        <v>473</v>
      </c>
      <c r="DZ1" s="1" t="s">
        <v>474</v>
      </c>
      <c r="EA1" s="1" t="s">
        <v>475</v>
      </c>
      <c r="EB1" s="1" t="s">
        <v>476</v>
      </c>
      <c r="EC1" s="1" t="s">
        <v>477</v>
      </c>
      <c r="ED1" s="1" t="s">
        <v>478</v>
      </c>
      <c r="EE1" s="1" t="s">
        <v>479</v>
      </c>
      <c r="EF1" s="1" t="s">
        <v>480</v>
      </c>
      <c r="EG1" s="1" t="s">
        <v>481</v>
      </c>
      <c r="EH1" s="1" t="s">
        <v>482</v>
      </c>
      <c r="EI1" s="1" t="s">
        <v>483</v>
      </c>
      <c r="EJ1" s="1" t="s">
        <v>484</v>
      </c>
      <c r="EK1" s="1" t="s">
        <v>485</v>
      </c>
      <c r="EL1" s="1" t="s">
        <v>486</v>
      </c>
      <c r="EM1" s="1" t="s">
        <v>487</v>
      </c>
      <c r="EN1" s="1" t="s">
        <v>488</v>
      </c>
      <c r="EO1" s="1" t="s">
        <v>489</v>
      </c>
      <c r="EP1" s="1" t="s">
        <v>490</v>
      </c>
      <c r="EQ1" s="1" t="s">
        <v>491</v>
      </c>
      <c r="ER1" s="1" t="s">
        <v>492</v>
      </c>
      <c r="ES1" s="1" t="s">
        <v>493</v>
      </c>
      <c r="ET1" s="1" t="s">
        <v>494</v>
      </c>
      <c r="EU1" s="1" t="s">
        <v>495</v>
      </c>
      <c r="EV1" s="1" t="s">
        <v>496</v>
      </c>
      <c r="EW1" s="1" t="s">
        <v>497</v>
      </c>
      <c r="EX1" s="1" t="s">
        <v>498</v>
      </c>
      <c r="EY1" s="1" t="s">
        <v>499</v>
      </c>
      <c r="EZ1" s="1" t="s">
        <v>500</v>
      </c>
      <c r="FA1" s="1" t="s">
        <v>501</v>
      </c>
      <c r="FB1" s="1" t="s">
        <v>502</v>
      </c>
      <c r="FC1" s="1" t="s">
        <v>503</v>
      </c>
      <c r="FD1" s="1" t="s">
        <v>504</v>
      </c>
      <c r="FE1" s="1" t="s">
        <v>505</v>
      </c>
      <c r="FF1" s="1" t="s">
        <v>506</v>
      </c>
      <c r="FG1" s="1" t="s">
        <v>507</v>
      </c>
      <c r="FH1" s="1" t="s">
        <v>508</v>
      </c>
      <c r="FI1" s="1" t="s">
        <v>509</v>
      </c>
      <c r="FJ1" s="1" t="s">
        <v>1538</v>
      </c>
      <c r="FK1" s="1" t="s">
        <v>1539</v>
      </c>
      <c r="FL1" s="1" t="s">
        <v>289</v>
      </c>
      <c r="FM1" s="1" t="s">
        <v>290</v>
      </c>
      <c r="FN1" s="1" t="s">
        <v>288</v>
      </c>
      <c r="FO1" s="1" t="s">
        <v>341</v>
      </c>
      <c r="FP1" s="1" t="s">
        <v>325</v>
      </c>
      <c r="FQ1" s="1" t="s">
        <v>342</v>
      </c>
      <c r="FR1" s="1" t="s">
        <v>287</v>
      </c>
      <c r="FS1" s="1" t="s">
        <v>1540</v>
      </c>
      <c r="FT1" s="1" t="s">
        <v>201</v>
      </c>
      <c r="FU1" s="1" t="s">
        <v>1541</v>
      </c>
      <c r="FV1" s="1" t="s">
        <v>1542</v>
      </c>
      <c r="FW1" s="1" t="s">
        <v>1543</v>
      </c>
      <c r="FX1" s="1" t="s">
        <v>511</v>
      </c>
      <c r="FY1" s="1" t="s">
        <v>512</v>
      </c>
      <c r="FZ1" s="1" t="s">
        <v>510</v>
      </c>
      <c r="GA1" s="1" t="s">
        <v>514</v>
      </c>
      <c r="GB1" s="1" t="s">
        <v>515</v>
      </c>
      <c r="GC1" s="1" t="s">
        <v>516</v>
      </c>
      <c r="GD1" s="1" t="s">
        <v>517</v>
      </c>
      <c r="GE1" s="1" t="s">
        <v>305</v>
      </c>
      <c r="GF1" s="1" t="s">
        <v>307</v>
      </c>
      <c r="GG1" s="1" t="s">
        <v>306</v>
      </c>
      <c r="GH1" s="1" t="s">
        <v>308</v>
      </c>
      <c r="GI1" s="1" t="s">
        <v>285</v>
      </c>
      <c r="GJ1" s="1" t="s">
        <v>286</v>
      </c>
      <c r="GK1" s="1" t="s">
        <v>513</v>
      </c>
      <c r="GL1" s="1" t="s">
        <v>518</v>
      </c>
      <c r="GM1" s="1" t="s">
        <v>526</v>
      </c>
      <c r="GN1" s="1" t="s">
        <v>527</v>
      </c>
      <c r="GO1" s="1" t="s">
        <v>528</v>
      </c>
      <c r="GP1" s="1" t="s">
        <v>529</v>
      </c>
      <c r="GQ1" s="1" t="s">
        <v>530</v>
      </c>
      <c r="GR1" s="1" t="s">
        <v>531</v>
      </c>
      <c r="GS1" s="1" t="s">
        <v>532</v>
      </c>
      <c r="GT1" s="1" t="s">
        <v>519</v>
      </c>
      <c r="GU1" s="1" t="s">
        <v>520</v>
      </c>
      <c r="GV1" s="1" t="s">
        <v>521</v>
      </c>
      <c r="GW1" s="1" t="s">
        <v>522</v>
      </c>
      <c r="GX1" s="1" t="s">
        <v>523</v>
      </c>
      <c r="GY1" s="1" t="s">
        <v>524</v>
      </c>
      <c r="GZ1" s="1" t="s">
        <v>1544</v>
      </c>
      <c r="HA1" s="1" t="s">
        <v>525</v>
      </c>
      <c r="HB1" s="1" t="s">
        <v>533</v>
      </c>
      <c r="HC1" s="1" t="s">
        <v>534</v>
      </c>
      <c r="HD1" s="1" t="s">
        <v>535</v>
      </c>
      <c r="HE1" s="1" t="s">
        <v>536</v>
      </c>
      <c r="HF1" s="1" t="s">
        <v>537</v>
      </c>
      <c r="HG1" s="1" t="s">
        <v>538</v>
      </c>
      <c r="HH1" s="1" t="s">
        <v>539</v>
      </c>
      <c r="HI1" s="1" t="s">
        <v>540</v>
      </c>
      <c r="HJ1" s="1" t="s">
        <v>541</v>
      </c>
      <c r="HK1" s="1" t="s">
        <v>542</v>
      </c>
      <c r="HL1" s="1" t="s">
        <v>543</v>
      </c>
      <c r="HM1" s="1" t="s">
        <v>545</v>
      </c>
      <c r="HN1" s="1" t="s">
        <v>546</v>
      </c>
      <c r="HO1" s="1" t="s">
        <v>547</v>
      </c>
      <c r="HP1" s="1" t="s">
        <v>548</v>
      </c>
      <c r="HQ1" s="1" t="s">
        <v>549</v>
      </c>
      <c r="HR1" s="1" t="s">
        <v>552</v>
      </c>
      <c r="HS1" s="1" t="s">
        <v>550</v>
      </c>
      <c r="HT1" s="1" t="s">
        <v>553</v>
      </c>
      <c r="HU1" s="1" t="s">
        <v>554</v>
      </c>
      <c r="HV1" s="1" t="s">
        <v>555</v>
      </c>
      <c r="HW1" s="1" t="s">
        <v>551</v>
      </c>
      <c r="HX1" s="1" t="s">
        <v>556</v>
      </c>
      <c r="HY1" s="1" t="s">
        <v>559</v>
      </c>
      <c r="HZ1" s="1" t="s">
        <v>557</v>
      </c>
      <c r="IA1" s="1" t="s">
        <v>558</v>
      </c>
      <c r="IB1" s="1" t="s">
        <v>560</v>
      </c>
      <c r="IC1" s="1" t="s">
        <v>561</v>
      </c>
      <c r="ID1" s="1" t="s">
        <v>562</v>
      </c>
      <c r="IE1" s="1" t="s">
        <v>563</v>
      </c>
      <c r="IF1" s="1" t="s">
        <v>564</v>
      </c>
      <c r="IG1" s="1" t="s">
        <v>565</v>
      </c>
      <c r="IH1" s="1" t="s">
        <v>566</v>
      </c>
      <c r="II1" s="1" t="s">
        <v>567</v>
      </c>
      <c r="IJ1" s="1" t="s">
        <v>568</v>
      </c>
      <c r="IK1" s="1" t="s">
        <v>569</v>
      </c>
      <c r="IL1" s="1" t="s">
        <v>570</v>
      </c>
      <c r="IM1" s="1" t="s">
        <v>571</v>
      </c>
      <c r="IN1" s="1" t="s">
        <v>572</v>
      </c>
      <c r="IO1" s="1" t="s">
        <v>573</v>
      </c>
      <c r="IP1" s="1" t="s">
        <v>574</v>
      </c>
      <c r="IQ1" s="1" t="s">
        <v>575</v>
      </c>
      <c r="IR1" s="1" t="s">
        <v>576</v>
      </c>
      <c r="IS1" s="1" t="s">
        <v>577</v>
      </c>
      <c r="IT1" s="1" t="s">
        <v>578</v>
      </c>
      <c r="IU1" s="1" t="s">
        <v>579</v>
      </c>
      <c r="IV1" s="1" t="s">
        <v>580</v>
      </c>
      <c r="IW1" s="1" t="s">
        <v>581</v>
      </c>
      <c r="IX1" s="1" t="s">
        <v>582</v>
      </c>
      <c r="IY1" s="1" t="s">
        <v>583</v>
      </c>
      <c r="IZ1" s="1" t="s">
        <v>584</v>
      </c>
      <c r="JA1" s="1" t="s">
        <v>585</v>
      </c>
      <c r="JB1" s="1" t="s">
        <v>587</v>
      </c>
      <c r="JC1" s="1" t="s">
        <v>588</v>
      </c>
      <c r="JD1" s="1" t="s">
        <v>589</v>
      </c>
      <c r="JE1" s="1" t="s">
        <v>590</v>
      </c>
      <c r="JF1" s="1" t="s">
        <v>591</v>
      </c>
      <c r="JG1" s="1" t="s">
        <v>592</v>
      </c>
      <c r="JH1" s="1" t="s">
        <v>593</v>
      </c>
      <c r="JI1" s="1" t="s">
        <v>594</v>
      </c>
      <c r="JJ1" s="1" t="s">
        <v>595</v>
      </c>
      <c r="JK1" s="1" t="s">
        <v>596</v>
      </c>
      <c r="JL1" s="1" t="s">
        <v>597</v>
      </c>
      <c r="JM1" s="1" t="s">
        <v>598</v>
      </c>
      <c r="JN1" s="1" t="s">
        <v>599</v>
      </c>
      <c r="JO1" s="1" t="s">
        <v>600</v>
      </c>
      <c r="JP1" s="1" t="s">
        <v>601</v>
      </c>
      <c r="JQ1" s="1" t="s">
        <v>602</v>
      </c>
      <c r="JR1" s="1" t="s">
        <v>603</v>
      </c>
      <c r="JS1" s="1" t="s">
        <v>324</v>
      </c>
      <c r="JT1" s="1" t="s">
        <v>604</v>
      </c>
      <c r="JU1" s="1" t="s">
        <v>605</v>
      </c>
      <c r="JV1" s="1" t="s">
        <v>606</v>
      </c>
    </row>
    <row r="2" spans="2:282" s="1" customFormat="1" ht="101.5" hidden="1" x14ac:dyDescent="0.35">
      <c r="B2" s="1" t="s">
        <v>859</v>
      </c>
      <c r="C2" s="1" t="s">
        <v>860</v>
      </c>
      <c r="D2" s="1" t="s">
        <v>861</v>
      </c>
      <c r="E2" s="1" t="s">
        <v>778</v>
      </c>
      <c r="F2" s="1" t="s">
        <v>778</v>
      </c>
      <c r="G2" s="1" t="s">
        <v>778</v>
      </c>
      <c r="H2" s="1" t="s">
        <v>778</v>
      </c>
      <c r="I2" s="1" t="s">
        <v>778</v>
      </c>
      <c r="J2" s="1" t="s">
        <v>778</v>
      </c>
      <c r="K2" s="1" t="s">
        <v>778</v>
      </c>
      <c r="L2" s="1" t="s">
        <v>778</v>
      </c>
      <c r="M2" s="1" t="s">
        <v>778</v>
      </c>
      <c r="N2" s="1" t="s">
        <v>778</v>
      </c>
      <c r="AC2" s="1" t="s">
        <v>778</v>
      </c>
      <c r="AG2" s="1" t="s">
        <v>778</v>
      </c>
      <c r="AH2" s="1" t="s">
        <v>778</v>
      </c>
      <c r="AR2" s="1" t="s">
        <v>778</v>
      </c>
      <c r="AV2" s="1" t="s">
        <v>778</v>
      </c>
      <c r="AW2" s="1" t="s">
        <v>778</v>
      </c>
      <c r="AX2" s="1" t="s">
        <v>778</v>
      </c>
      <c r="AY2" s="1" t="s">
        <v>778</v>
      </c>
      <c r="AZ2" s="1" t="s">
        <v>778</v>
      </c>
      <c r="BA2" s="1" t="s">
        <v>778</v>
      </c>
      <c r="BB2" s="1" t="s">
        <v>778</v>
      </c>
    </row>
    <row r="3" spans="2:282" ht="130.5" x14ac:dyDescent="0.35">
      <c r="B3" s="1" t="s">
        <v>859</v>
      </c>
      <c r="C3" s="1" t="s">
        <v>860</v>
      </c>
      <c r="D3" s="1" t="s">
        <v>862</v>
      </c>
      <c r="E3" t="s">
        <v>778</v>
      </c>
      <c r="F3" s="1" t="s">
        <v>778</v>
      </c>
      <c r="G3" s="1" t="s">
        <v>778</v>
      </c>
      <c r="H3" s="1" t="s">
        <v>778</v>
      </c>
      <c r="I3" s="1" t="s">
        <v>778</v>
      </c>
      <c r="J3" s="1" t="s">
        <v>778</v>
      </c>
      <c r="K3" s="1" t="s">
        <v>778</v>
      </c>
      <c r="L3" s="1" t="s">
        <v>778</v>
      </c>
      <c r="M3" s="1" t="s">
        <v>778</v>
      </c>
      <c r="N3" s="1" t="s">
        <v>778</v>
      </c>
      <c r="O3" s="1"/>
      <c r="P3" s="1"/>
      <c r="Q3" s="1"/>
      <c r="R3" s="1"/>
      <c r="S3" s="1"/>
      <c r="T3" s="1"/>
      <c r="U3" s="1"/>
      <c r="V3" s="1"/>
      <c r="W3" s="1"/>
      <c r="X3" s="1"/>
      <c r="Y3" s="1"/>
      <c r="Z3" s="1"/>
      <c r="AA3" s="1"/>
      <c r="AB3" s="1"/>
      <c r="AC3" s="1" t="s">
        <v>778</v>
      </c>
      <c r="AD3" s="1"/>
      <c r="AE3" s="1"/>
      <c r="AF3" s="1"/>
      <c r="AG3" s="1" t="s">
        <v>778</v>
      </c>
      <c r="AH3" s="1" t="s">
        <v>778</v>
      </c>
      <c r="AI3" s="1"/>
      <c r="AJ3" s="1"/>
      <c r="AK3" s="1"/>
      <c r="AL3" s="1"/>
      <c r="AM3" s="1" t="s">
        <v>778</v>
      </c>
      <c r="AN3" s="1"/>
      <c r="AO3" s="1"/>
      <c r="AP3" s="1"/>
      <c r="AQ3" s="1"/>
      <c r="AS3" s="1" t="s">
        <v>778</v>
      </c>
      <c r="AT3" s="1" t="s">
        <v>778</v>
      </c>
      <c r="AU3" s="1" t="s">
        <v>778</v>
      </c>
    </row>
    <row r="4" spans="2:282" ht="116" x14ac:dyDescent="0.35">
      <c r="B4" s="1" t="s">
        <v>859</v>
      </c>
      <c r="C4" s="1" t="s">
        <v>860</v>
      </c>
      <c r="D4" s="1" t="s">
        <v>863</v>
      </c>
      <c r="E4" t="s">
        <v>778</v>
      </c>
      <c r="F4" s="1" t="s">
        <v>778</v>
      </c>
      <c r="G4" s="1" t="s">
        <v>778</v>
      </c>
      <c r="H4" s="1" t="s">
        <v>778</v>
      </c>
      <c r="I4" s="1" t="s">
        <v>778</v>
      </c>
      <c r="J4" s="1" t="s">
        <v>778</v>
      </c>
      <c r="K4" s="1" t="s">
        <v>778</v>
      </c>
      <c r="L4" s="1" t="s">
        <v>778</v>
      </c>
      <c r="M4" s="1" t="s">
        <v>778</v>
      </c>
      <c r="N4" s="1" t="s">
        <v>778</v>
      </c>
      <c r="O4" s="1"/>
      <c r="P4" s="1"/>
      <c r="Q4" s="1"/>
      <c r="R4" s="1"/>
      <c r="S4" s="1"/>
      <c r="T4" s="1"/>
      <c r="U4" s="1"/>
      <c r="V4" s="1"/>
      <c r="W4" s="1"/>
      <c r="X4" s="1"/>
      <c r="Y4" s="1"/>
      <c r="Z4" s="1"/>
      <c r="AA4" s="1"/>
      <c r="AB4" s="1"/>
      <c r="AU4" t="s">
        <v>778</v>
      </c>
      <c r="BC4" t="s">
        <v>778</v>
      </c>
      <c r="BD4" t="s">
        <v>778</v>
      </c>
      <c r="BE4" t="s">
        <v>778</v>
      </c>
      <c r="BF4" t="s">
        <v>778</v>
      </c>
    </row>
    <row r="5" spans="2:282" ht="87" hidden="1" x14ac:dyDescent="0.35">
      <c r="B5" s="1" t="s">
        <v>859</v>
      </c>
      <c r="C5" s="1" t="s">
        <v>860</v>
      </c>
      <c r="D5" s="1" t="s">
        <v>864</v>
      </c>
      <c r="E5" t="s">
        <v>778</v>
      </c>
      <c r="F5" s="1" t="s">
        <v>778</v>
      </c>
      <c r="G5" s="1" t="s">
        <v>778</v>
      </c>
      <c r="H5" s="1" t="s">
        <v>778</v>
      </c>
      <c r="I5" s="1" t="s">
        <v>778</v>
      </c>
      <c r="J5" s="1" t="s">
        <v>778</v>
      </c>
      <c r="K5" s="1" t="s">
        <v>778</v>
      </c>
      <c r="L5" s="1" t="s">
        <v>778</v>
      </c>
      <c r="M5" s="1" t="s">
        <v>778</v>
      </c>
      <c r="N5" s="1" t="s">
        <v>778</v>
      </c>
      <c r="O5" s="1"/>
      <c r="P5" s="1"/>
      <c r="Q5" s="1"/>
      <c r="R5" s="1"/>
      <c r="S5" s="1"/>
      <c r="T5" s="1"/>
      <c r="U5" s="1"/>
      <c r="V5" s="1"/>
      <c r="W5" s="1"/>
      <c r="X5" s="1"/>
      <c r="Y5" s="1"/>
      <c r="Z5" s="1"/>
      <c r="AA5" s="1"/>
      <c r="AB5" s="1"/>
      <c r="AC5" s="1" t="s">
        <v>778</v>
      </c>
      <c r="AD5" s="1"/>
      <c r="AE5" s="1"/>
      <c r="AF5" s="1"/>
    </row>
    <row r="6" spans="2:282" ht="116" hidden="1" x14ac:dyDescent="0.35">
      <c r="B6" s="1" t="s">
        <v>859</v>
      </c>
      <c r="C6" s="1" t="s">
        <v>865</v>
      </c>
      <c r="D6" s="1" t="s">
        <v>866</v>
      </c>
      <c r="E6" t="s">
        <v>778</v>
      </c>
      <c r="F6" s="1" t="s">
        <v>778</v>
      </c>
      <c r="G6" s="1" t="s">
        <v>778</v>
      </c>
      <c r="H6" s="1" t="s">
        <v>778</v>
      </c>
      <c r="I6" s="1" t="s">
        <v>778</v>
      </c>
      <c r="AC6" s="1" t="s">
        <v>778</v>
      </c>
      <c r="AD6" s="1"/>
      <c r="AE6" s="1"/>
      <c r="AF6" s="1" t="s">
        <v>778</v>
      </c>
      <c r="BE6" t="s">
        <v>778</v>
      </c>
      <c r="BF6" t="s">
        <v>778</v>
      </c>
      <c r="BG6" t="s">
        <v>778</v>
      </c>
      <c r="BH6" t="s">
        <v>778</v>
      </c>
      <c r="BI6" t="s">
        <v>778</v>
      </c>
      <c r="BJ6" t="s">
        <v>778</v>
      </c>
    </row>
    <row r="7" spans="2:282" ht="116" hidden="1" x14ac:dyDescent="0.35">
      <c r="B7" s="1" t="s">
        <v>859</v>
      </c>
      <c r="C7" s="1" t="s">
        <v>865</v>
      </c>
      <c r="D7" s="1" t="s">
        <v>867</v>
      </c>
      <c r="E7" t="s">
        <v>778</v>
      </c>
      <c r="F7" s="1" t="s">
        <v>778</v>
      </c>
      <c r="G7" s="1" t="s">
        <v>778</v>
      </c>
      <c r="H7" s="1" t="s">
        <v>778</v>
      </c>
      <c r="I7" s="1" t="s">
        <v>778</v>
      </c>
      <c r="AC7" s="1" t="s">
        <v>778</v>
      </c>
      <c r="AD7" s="1"/>
      <c r="AE7" s="1"/>
      <c r="AF7" t="s">
        <v>778</v>
      </c>
      <c r="BE7" t="s">
        <v>778</v>
      </c>
      <c r="BF7" t="s">
        <v>778</v>
      </c>
      <c r="BK7" t="s">
        <v>778</v>
      </c>
      <c r="BL7" t="s">
        <v>778</v>
      </c>
      <c r="BM7" t="s">
        <v>778</v>
      </c>
      <c r="BN7" t="s">
        <v>778</v>
      </c>
      <c r="BP7" t="s">
        <v>778</v>
      </c>
    </row>
    <row r="8" spans="2:282" ht="116" hidden="1" x14ac:dyDescent="0.35">
      <c r="B8" s="1" t="s">
        <v>859</v>
      </c>
      <c r="C8" s="1" t="s">
        <v>76</v>
      </c>
      <c r="D8" s="1" t="s">
        <v>868</v>
      </c>
      <c r="E8" t="s">
        <v>778</v>
      </c>
      <c r="F8" s="1" t="s">
        <v>778</v>
      </c>
      <c r="G8" s="1" t="s">
        <v>778</v>
      </c>
      <c r="H8" s="1" t="s">
        <v>778</v>
      </c>
      <c r="I8" s="1" t="s">
        <v>778</v>
      </c>
      <c r="J8" s="1" t="s">
        <v>778</v>
      </c>
      <c r="K8" s="1" t="s">
        <v>778</v>
      </c>
      <c r="AB8" t="s">
        <v>778</v>
      </c>
      <c r="AC8" s="1" t="s">
        <v>778</v>
      </c>
      <c r="AD8" s="1"/>
      <c r="AE8" s="1"/>
      <c r="AF8" t="s">
        <v>778</v>
      </c>
      <c r="AZ8" t="s">
        <v>778</v>
      </c>
      <c r="BQ8" t="s">
        <v>778</v>
      </c>
      <c r="BR8" t="s">
        <v>778</v>
      </c>
      <c r="BS8" t="s">
        <v>778</v>
      </c>
      <c r="BT8" t="s">
        <v>778</v>
      </c>
      <c r="BU8" t="s">
        <v>778</v>
      </c>
      <c r="BV8" t="s">
        <v>778</v>
      </c>
      <c r="BW8" t="s">
        <v>778</v>
      </c>
      <c r="BX8" t="s">
        <v>778</v>
      </c>
      <c r="BY8" t="s">
        <v>778</v>
      </c>
      <c r="BZ8" t="s">
        <v>778</v>
      </c>
      <c r="CA8" t="s">
        <v>778</v>
      </c>
      <c r="CB8" t="s">
        <v>778</v>
      </c>
      <c r="CC8" t="s">
        <v>778</v>
      </c>
      <c r="CD8" t="s">
        <v>778</v>
      </c>
      <c r="CE8" t="s">
        <v>778</v>
      </c>
      <c r="CF8" t="s">
        <v>778</v>
      </c>
      <c r="CG8" t="s">
        <v>778</v>
      </c>
      <c r="CH8" t="s">
        <v>778</v>
      </c>
      <c r="CI8" t="s">
        <v>778</v>
      </c>
      <c r="CJ8" t="s">
        <v>778</v>
      </c>
      <c r="CK8" t="s">
        <v>778</v>
      </c>
      <c r="CL8" t="s">
        <v>778</v>
      </c>
      <c r="CM8" t="s">
        <v>778</v>
      </c>
      <c r="CN8" t="s">
        <v>778</v>
      </c>
      <c r="CO8" t="s">
        <v>778</v>
      </c>
      <c r="CP8" t="s">
        <v>778</v>
      </c>
      <c r="CQ8" t="s">
        <v>778</v>
      </c>
      <c r="CR8" t="s">
        <v>778</v>
      </c>
      <c r="CS8" t="s">
        <v>778</v>
      </c>
      <c r="CT8" t="s">
        <v>778</v>
      </c>
      <c r="CU8" t="s">
        <v>778</v>
      </c>
      <c r="CV8" t="s">
        <v>778</v>
      </c>
      <c r="CW8" t="s">
        <v>778</v>
      </c>
      <c r="CX8" t="s">
        <v>778</v>
      </c>
      <c r="CY8" t="s">
        <v>778</v>
      </c>
      <c r="CZ8" t="s">
        <v>778</v>
      </c>
      <c r="DA8" t="s">
        <v>778</v>
      </c>
      <c r="DB8" t="s">
        <v>778</v>
      </c>
      <c r="DC8" t="s">
        <v>778</v>
      </c>
      <c r="DD8" t="s">
        <v>778</v>
      </c>
      <c r="DE8" t="s">
        <v>778</v>
      </c>
      <c r="DF8" t="s">
        <v>778</v>
      </c>
      <c r="DG8" t="s">
        <v>778</v>
      </c>
      <c r="DH8" t="s">
        <v>778</v>
      </c>
      <c r="DI8" t="s">
        <v>778</v>
      </c>
      <c r="DJ8" t="s">
        <v>778</v>
      </c>
      <c r="DK8" t="s">
        <v>778</v>
      </c>
      <c r="DL8" t="s">
        <v>778</v>
      </c>
      <c r="DM8" t="s">
        <v>778</v>
      </c>
      <c r="DN8" t="s">
        <v>778</v>
      </c>
      <c r="DO8" t="s">
        <v>778</v>
      </c>
      <c r="DP8" t="s">
        <v>778</v>
      </c>
      <c r="DQ8" t="s">
        <v>778</v>
      </c>
      <c r="DR8" t="s">
        <v>778</v>
      </c>
      <c r="DS8" t="s">
        <v>778</v>
      </c>
      <c r="DT8" t="s">
        <v>778</v>
      </c>
      <c r="DU8" t="s">
        <v>778</v>
      </c>
      <c r="DV8" t="s">
        <v>778</v>
      </c>
      <c r="DW8" t="s">
        <v>778</v>
      </c>
      <c r="DX8" t="s">
        <v>778</v>
      </c>
      <c r="DY8" t="s">
        <v>778</v>
      </c>
      <c r="DZ8" t="s">
        <v>778</v>
      </c>
      <c r="EA8" t="s">
        <v>778</v>
      </c>
      <c r="EB8" t="s">
        <v>778</v>
      </c>
      <c r="EC8" t="s">
        <v>778</v>
      </c>
      <c r="ED8" t="s">
        <v>778</v>
      </c>
      <c r="EE8" t="s">
        <v>778</v>
      </c>
      <c r="EF8" t="s">
        <v>778</v>
      </c>
      <c r="EG8" t="s">
        <v>778</v>
      </c>
      <c r="EH8" t="s">
        <v>778</v>
      </c>
      <c r="EI8" t="s">
        <v>778</v>
      </c>
      <c r="EJ8" t="s">
        <v>778</v>
      </c>
      <c r="EK8" t="s">
        <v>778</v>
      </c>
      <c r="EL8" t="s">
        <v>778</v>
      </c>
      <c r="EM8" t="s">
        <v>778</v>
      </c>
      <c r="EN8" t="s">
        <v>778</v>
      </c>
      <c r="EO8" t="s">
        <v>778</v>
      </c>
      <c r="EP8" t="s">
        <v>778</v>
      </c>
      <c r="EQ8" t="s">
        <v>778</v>
      </c>
      <c r="ER8" t="s">
        <v>778</v>
      </c>
      <c r="ES8" t="s">
        <v>778</v>
      </c>
    </row>
    <row r="9" spans="2:282" ht="29" hidden="1" x14ac:dyDescent="0.35">
      <c r="B9" s="1" t="s">
        <v>859</v>
      </c>
      <c r="C9" s="1" t="s">
        <v>76</v>
      </c>
      <c r="D9" s="1" t="s">
        <v>869</v>
      </c>
      <c r="E9" t="s">
        <v>778</v>
      </c>
      <c r="F9" s="1" t="s">
        <v>778</v>
      </c>
      <c r="G9" s="1" t="s">
        <v>778</v>
      </c>
      <c r="H9" s="1" t="s">
        <v>778</v>
      </c>
      <c r="I9" s="1" t="s">
        <v>778</v>
      </c>
      <c r="AB9" t="s">
        <v>778</v>
      </c>
      <c r="AC9" s="1" t="s">
        <v>778</v>
      </c>
      <c r="AD9" s="1"/>
      <c r="AE9" s="1"/>
      <c r="BR9" t="s">
        <v>778</v>
      </c>
      <c r="CC9" t="s">
        <v>778</v>
      </c>
      <c r="CE9" t="s">
        <v>778</v>
      </c>
      <c r="CF9" t="s">
        <v>778</v>
      </c>
      <c r="ET9" t="s">
        <v>778</v>
      </c>
      <c r="EU9" t="s">
        <v>778</v>
      </c>
    </row>
    <row r="10" spans="2:282" ht="87" hidden="1" x14ac:dyDescent="0.35">
      <c r="B10" s="1" t="s">
        <v>859</v>
      </c>
      <c r="C10" s="1" t="s">
        <v>76</v>
      </c>
      <c r="D10" s="1" t="s">
        <v>870</v>
      </c>
      <c r="E10" t="s">
        <v>778</v>
      </c>
      <c r="F10" s="1" t="s">
        <v>778</v>
      </c>
      <c r="G10" s="1" t="s">
        <v>778</v>
      </c>
      <c r="H10" s="1" t="s">
        <v>778</v>
      </c>
      <c r="I10" s="1" t="s">
        <v>778</v>
      </c>
      <c r="BQ10" t="s">
        <v>778</v>
      </c>
      <c r="EV10" t="s">
        <v>778</v>
      </c>
      <c r="EW10" t="s">
        <v>778</v>
      </c>
      <c r="EX10" t="s">
        <v>778</v>
      </c>
      <c r="EY10" t="s">
        <v>778</v>
      </c>
      <c r="EZ10" t="s">
        <v>778</v>
      </c>
      <c r="FA10" t="s">
        <v>778</v>
      </c>
      <c r="FB10" t="s">
        <v>778</v>
      </c>
      <c r="FC10" t="s">
        <v>778</v>
      </c>
      <c r="FD10" t="s">
        <v>778</v>
      </c>
      <c r="FE10" t="s">
        <v>778</v>
      </c>
      <c r="FF10" t="s">
        <v>778</v>
      </c>
      <c r="FG10" t="s">
        <v>778</v>
      </c>
    </row>
    <row r="11" spans="2:282" ht="101.5" hidden="1" x14ac:dyDescent="0.35">
      <c r="B11" s="1" t="s">
        <v>859</v>
      </c>
      <c r="C11" s="1" t="s">
        <v>63</v>
      </c>
      <c r="D11" s="1" t="s">
        <v>871</v>
      </c>
      <c r="E11" t="s">
        <v>778</v>
      </c>
      <c r="F11" s="1" t="s">
        <v>778</v>
      </c>
      <c r="G11" s="1" t="s">
        <v>778</v>
      </c>
      <c r="H11" s="1" t="s">
        <v>778</v>
      </c>
      <c r="I11" s="1" t="s">
        <v>778</v>
      </c>
      <c r="AG11" t="s">
        <v>778</v>
      </c>
      <c r="AH11" t="s">
        <v>778</v>
      </c>
      <c r="AM11" t="s">
        <v>778</v>
      </c>
      <c r="AP11" t="s">
        <v>778</v>
      </c>
      <c r="AQ11" t="s">
        <v>778</v>
      </c>
      <c r="FH11" t="s">
        <v>778</v>
      </c>
      <c r="FI11" t="s">
        <v>778</v>
      </c>
      <c r="FZ11" t="s">
        <v>778</v>
      </c>
      <c r="GA11" t="s">
        <v>778</v>
      </c>
      <c r="GL11" t="s">
        <v>778</v>
      </c>
      <c r="GT11" t="s">
        <v>778</v>
      </c>
      <c r="HB11" t="s">
        <v>778</v>
      </c>
      <c r="HC11" t="s">
        <v>778</v>
      </c>
      <c r="HE11" t="s">
        <v>778</v>
      </c>
      <c r="HF11" t="s">
        <v>778</v>
      </c>
      <c r="HG11" t="s">
        <v>778</v>
      </c>
      <c r="HH11" t="s">
        <v>778</v>
      </c>
      <c r="HJ11" t="s">
        <v>778</v>
      </c>
      <c r="HK11" t="s">
        <v>778</v>
      </c>
      <c r="HL11" t="s">
        <v>778</v>
      </c>
      <c r="HR11" t="s">
        <v>778</v>
      </c>
      <c r="HU11" t="s">
        <v>778</v>
      </c>
      <c r="HV11" t="s">
        <v>778</v>
      </c>
      <c r="IN11" t="s">
        <v>778</v>
      </c>
      <c r="IO11" t="s">
        <v>778</v>
      </c>
      <c r="IP11" t="s">
        <v>778</v>
      </c>
      <c r="IQ11" t="s">
        <v>778</v>
      </c>
      <c r="IR11" t="s">
        <v>778</v>
      </c>
      <c r="IS11" t="s">
        <v>778</v>
      </c>
      <c r="IT11" t="s">
        <v>778</v>
      </c>
      <c r="IU11" t="s">
        <v>778</v>
      </c>
    </row>
    <row r="12" spans="2:282" ht="72.5" hidden="1" x14ac:dyDescent="0.35">
      <c r="B12" s="1" t="s">
        <v>859</v>
      </c>
      <c r="C12" s="1" t="s">
        <v>63</v>
      </c>
      <c r="D12" s="1" t="s">
        <v>872</v>
      </c>
      <c r="E12" t="s">
        <v>778</v>
      </c>
      <c r="F12" s="1" t="s">
        <v>778</v>
      </c>
      <c r="G12" s="1" t="s">
        <v>778</v>
      </c>
      <c r="H12" s="1" t="s">
        <v>778</v>
      </c>
      <c r="I12" s="1" t="s">
        <v>778</v>
      </c>
      <c r="J12" s="1" t="s">
        <v>778</v>
      </c>
      <c r="K12" s="1" t="s">
        <v>778</v>
      </c>
      <c r="L12" s="1" t="s">
        <v>778</v>
      </c>
      <c r="M12" s="1" t="s">
        <v>778</v>
      </c>
      <c r="N12" s="1" t="s">
        <v>778</v>
      </c>
      <c r="O12" s="1" t="s">
        <v>778</v>
      </c>
      <c r="P12" s="1" t="s">
        <v>778</v>
      </c>
      <c r="Q12" s="1" t="s">
        <v>778</v>
      </c>
      <c r="R12" s="1" t="s">
        <v>778</v>
      </c>
      <c r="S12" s="1"/>
      <c r="T12" s="1"/>
      <c r="U12" s="1" t="s">
        <v>778</v>
      </c>
      <c r="V12" s="1" t="s">
        <v>778</v>
      </c>
      <c r="W12" s="1"/>
      <c r="X12" s="1"/>
      <c r="Y12" s="1"/>
      <c r="Z12" s="1"/>
      <c r="AA12" s="1"/>
      <c r="AG12" t="s">
        <v>778</v>
      </c>
      <c r="AH12" t="s">
        <v>778</v>
      </c>
      <c r="AM12" t="s">
        <v>778</v>
      </c>
      <c r="AP12" t="s">
        <v>778</v>
      </c>
      <c r="AQ12" t="s">
        <v>778</v>
      </c>
      <c r="FH12" t="s">
        <v>778</v>
      </c>
      <c r="FI12" t="s">
        <v>778</v>
      </c>
      <c r="GL12" t="s">
        <v>778</v>
      </c>
      <c r="GT12" t="s">
        <v>778</v>
      </c>
      <c r="HB12" t="s">
        <v>778</v>
      </c>
      <c r="HC12" t="s">
        <v>778</v>
      </c>
      <c r="HE12" t="s">
        <v>778</v>
      </c>
      <c r="HR12" t="s">
        <v>778</v>
      </c>
      <c r="HU12" t="s">
        <v>778</v>
      </c>
      <c r="HV12" t="s">
        <v>778</v>
      </c>
      <c r="IN12" t="s">
        <v>778</v>
      </c>
      <c r="IO12" t="s">
        <v>778</v>
      </c>
      <c r="IS12" t="s">
        <v>778</v>
      </c>
      <c r="IV12" t="s">
        <v>778</v>
      </c>
    </row>
    <row r="13" spans="2:282" ht="130.5" hidden="1" x14ac:dyDescent="0.35">
      <c r="B13" s="1" t="s">
        <v>859</v>
      </c>
      <c r="C13" s="1" t="s">
        <v>63</v>
      </c>
      <c r="D13" s="1" t="s">
        <v>873</v>
      </c>
      <c r="E13" t="s">
        <v>778</v>
      </c>
      <c r="F13" s="1" t="s">
        <v>778</v>
      </c>
      <c r="G13" s="1" t="s">
        <v>778</v>
      </c>
      <c r="H13" s="1" t="s">
        <v>778</v>
      </c>
      <c r="I13" s="1" t="s">
        <v>778</v>
      </c>
      <c r="AM13" t="s">
        <v>778</v>
      </c>
      <c r="FI13" t="s">
        <v>778</v>
      </c>
      <c r="FZ13" t="s">
        <v>778</v>
      </c>
      <c r="GA13" t="s">
        <v>778</v>
      </c>
      <c r="GL13" t="s">
        <v>778</v>
      </c>
      <c r="GT13" t="s">
        <v>778</v>
      </c>
      <c r="HB13" t="s">
        <v>778</v>
      </c>
      <c r="HC13" t="s">
        <v>778</v>
      </c>
      <c r="HE13" t="s">
        <v>778</v>
      </c>
      <c r="HF13" t="s">
        <v>778</v>
      </c>
      <c r="HG13" t="s">
        <v>778</v>
      </c>
      <c r="HH13" t="s">
        <v>778</v>
      </c>
      <c r="HJ13" t="s">
        <v>778</v>
      </c>
      <c r="HK13" t="s">
        <v>778</v>
      </c>
      <c r="HL13" t="s">
        <v>778</v>
      </c>
      <c r="HR13" t="s">
        <v>778</v>
      </c>
      <c r="HU13" t="s">
        <v>778</v>
      </c>
      <c r="HV13" t="s">
        <v>778</v>
      </c>
      <c r="IN13" t="s">
        <v>778</v>
      </c>
      <c r="IO13" t="s">
        <v>778</v>
      </c>
      <c r="IP13" t="s">
        <v>778</v>
      </c>
      <c r="IQ13" t="s">
        <v>778</v>
      </c>
      <c r="IR13" t="s">
        <v>778</v>
      </c>
      <c r="IS13" t="s">
        <v>778</v>
      </c>
      <c r="IT13" t="s">
        <v>778</v>
      </c>
      <c r="IU13" t="s">
        <v>778</v>
      </c>
    </row>
    <row r="14" spans="2:282" ht="101.5" hidden="1" x14ac:dyDescent="0.35">
      <c r="B14" s="1" t="s">
        <v>859</v>
      </c>
      <c r="C14" s="1" t="s">
        <v>21</v>
      </c>
      <c r="D14" s="1" t="s">
        <v>874</v>
      </c>
      <c r="E14" s="1" t="s">
        <v>778</v>
      </c>
      <c r="F14" s="1" t="s">
        <v>778</v>
      </c>
      <c r="G14" s="1" t="s">
        <v>778</v>
      </c>
      <c r="H14" s="1" t="s">
        <v>778</v>
      </c>
      <c r="I14" s="1" t="s">
        <v>778</v>
      </c>
      <c r="AG14" t="s">
        <v>778</v>
      </c>
      <c r="AH14" t="s">
        <v>778</v>
      </c>
      <c r="AM14" t="s">
        <v>778</v>
      </c>
      <c r="AN14" t="s">
        <v>778</v>
      </c>
      <c r="AO14" t="s">
        <v>778</v>
      </c>
      <c r="AP14" t="s">
        <v>778</v>
      </c>
      <c r="AQ14" t="s">
        <v>778</v>
      </c>
      <c r="FH14" t="s">
        <v>778</v>
      </c>
      <c r="FI14" t="s">
        <v>778</v>
      </c>
      <c r="FZ14" t="s">
        <v>778</v>
      </c>
      <c r="GA14" t="s">
        <v>778</v>
      </c>
      <c r="GL14" t="s">
        <v>778</v>
      </c>
      <c r="GT14" t="s">
        <v>778</v>
      </c>
      <c r="GU14" t="s">
        <v>778</v>
      </c>
      <c r="GV14" t="s">
        <v>778</v>
      </c>
      <c r="GW14" t="s">
        <v>778</v>
      </c>
      <c r="HB14" t="s">
        <v>778</v>
      </c>
      <c r="HC14" t="s">
        <v>778</v>
      </c>
      <c r="HE14" t="s">
        <v>778</v>
      </c>
      <c r="HF14" t="s">
        <v>778</v>
      </c>
      <c r="HI14" t="s">
        <v>778</v>
      </c>
      <c r="HK14" t="s">
        <v>778</v>
      </c>
      <c r="HL14" t="s">
        <v>778</v>
      </c>
      <c r="HR14" t="s">
        <v>778</v>
      </c>
      <c r="HT14" t="s">
        <v>778</v>
      </c>
      <c r="HU14" t="s">
        <v>778</v>
      </c>
      <c r="HV14" t="s">
        <v>778</v>
      </c>
      <c r="IN14" t="s">
        <v>778</v>
      </c>
      <c r="IO14" t="s">
        <v>778</v>
      </c>
      <c r="IP14" t="s">
        <v>778</v>
      </c>
      <c r="IQ14" t="s">
        <v>778</v>
      </c>
      <c r="IR14" t="s">
        <v>778</v>
      </c>
      <c r="IS14" t="s">
        <v>778</v>
      </c>
      <c r="IT14" t="s">
        <v>778</v>
      </c>
      <c r="IU14" t="s">
        <v>778</v>
      </c>
      <c r="IW14" t="s">
        <v>778</v>
      </c>
    </row>
    <row r="15" spans="2:282" ht="101.5" hidden="1" x14ac:dyDescent="0.35">
      <c r="B15" s="1" t="s">
        <v>859</v>
      </c>
      <c r="C15" s="1" t="s">
        <v>21</v>
      </c>
      <c r="D15" s="1" t="s">
        <v>875</v>
      </c>
      <c r="E15" t="s">
        <v>778</v>
      </c>
      <c r="F15" t="s">
        <v>778</v>
      </c>
      <c r="G15" t="s">
        <v>778</v>
      </c>
      <c r="H15" t="s">
        <v>778</v>
      </c>
      <c r="I15" t="s">
        <v>778</v>
      </c>
      <c r="J15" t="s">
        <v>778</v>
      </c>
      <c r="K15" t="s">
        <v>778</v>
      </c>
      <c r="L15" t="s">
        <v>778</v>
      </c>
      <c r="M15" t="s">
        <v>778</v>
      </c>
      <c r="N15" t="s">
        <v>778</v>
      </c>
      <c r="O15" t="s">
        <v>778</v>
      </c>
      <c r="P15" t="s">
        <v>778</v>
      </c>
      <c r="Q15" t="s">
        <v>778</v>
      </c>
      <c r="R15" t="s">
        <v>778</v>
      </c>
      <c r="U15" t="s">
        <v>778</v>
      </c>
      <c r="V15" t="s">
        <v>778</v>
      </c>
      <c r="AG15" t="s">
        <v>778</v>
      </c>
      <c r="AH15" t="s">
        <v>778</v>
      </c>
      <c r="AM15" t="s">
        <v>778</v>
      </c>
      <c r="AN15" t="s">
        <v>778</v>
      </c>
      <c r="AP15" t="s">
        <v>778</v>
      </c>
      <c r="AQ15" t="s">
        <v>778</v>
      </c>
      <c r="FH15" t="s">
        <v>778</v>
      </c>
      <c r="FI15" t="s">
        <v>778</v>
      </c>
      <c r="GA15" t="s">
        <v>778</v>
      </c>
      <c r="GL15" t="s">
        <v>778</v>
      </c>
      <c r="GT15" t="s">
        <v>778</v>
      </c>
      <c r="GU15" t="s">
        <v>778</v>
      </c>
      <c r="GV15" t="s">
        <v>778</v>
      </c>
      <c r="GW15" t="s">
        <v>778</v>
      </c>
      <c r="HE15" t="s">
        <v>778</v>
      </c>
      <c r="HL15" t="s">
        <v>778</v>
      </c>
      <c r="HR15" t="s">
        <v>778</v>
      </c>
      <c r="HT15" t="s">
        <v>778</v>
      </c>
      <c r="HU15" t="s">
        <v>778</v>
      </c>
      <c r="HV15" t="s">
        <v>778</v>
      </c>
      <c r="IN15" t="s">
        <v>778</v>
      </c>
      <c r="IO15" t="s">
        <v>778</v>
      </c>
      <c r="IS15" t="s">
        <v>778</v>
      </c>
      <c r="IV15" t="s">
        <v>778</v>
      </c>
    </row>
    <row r="16" spans="2:282" ht="116" hidden="1" x14ac:dyDescent="0.35">
      <c r="B16" s="1" t="s">
        <v>859</v>
      </c>
      <c r="C16" s="1" t="s">
        <v>21</v>
      </c>
      <c r="D16" s="1" t="s">
        <v>876</v>
      </c>
      <c r="E16" t="s">
        <v>778</v>
      </c>
      <c r="F16" t="s">
        <v>778</v>
      </c>
      <c r="G16" t="s">
        <v>778</v>
      </c>
      <c r="H16" t="s">
        <v>778</v>
      </c>
      <c r="I16" t="s">
        <v>778</v>
      </c>
      <c r="AM16" t="s">
        <v>778</v>
      </c>
      <c r="AQ16" t="s">
        <v>778</v>
      </c>
      <c r="FZ16" t="s">
        <v>778</v>
      </c>
      <c r="GA16" t="s">
        <v>778</v>
      </c>
      <c r="GL16" t="s">
        <v>778</v>
      </c>
      <c r="GT16" t="s">
        <v>778</v>
      </c>
      <c r="GU16" t="s">
        <v>778</v>
      </c>
      <c r="GV16" t="s">
        <v>778</v>
      </c>
      <c r="GW16" t="s">
        <v>778</v>
      </c>
      <c r="HB16" t="s">
        <v>778</v>
      </c>
      <c r="HC16" t="s">
        <v>778</v>
      </c>
      <c r="HE16" t="s">
        <v>778</v>
      </c>
      <c r="HF16" t="s">
        <v>778</v>
      </c>
      <c r="HI16" t="s">
        <v>778</v>
      </c>
      <c r="HK16" t="s">
        <v>778</v>
      </c>
      <c r="HL16" t="s">
        <v>778</v>
      </c>
      <c r="HR16" t="s">
        <v>778</v>
      </c>
      <c r="HT16" t="s">
        <v>778</v>
      </c>
      <c r="HU16" t="s">
        <v>778</v>
      </c>
      <c r="HV16" t="s">
        <v>778</v>
      </c>
      <c r="IN16" t="s">
        <v>778</v>
      </c>
      <c r="IO16" t="s">
        <v>778</v>
      </c>
      <c r="IP16" t="s">
        <v>778</v>
      </c>
      <c r="IQ16" t="s">
        <v>778</v>
      </c>
      <c r="IR16" t="s">
        <v>778</v>
      </c>
      <c r="IS16" t="s">
        <v>778</v>
      </c>
      <c r="IT16" t="s">
        <v>778</v>
      </c>
      <c r="IU16" t="s">
        <v>778</v>
      </c>
      <c r="IW16" t="s">
        <v>778</v>
      </c>
    </row>
    <row r="17" spans="2:258" ht="130.5" hidden="1" x14ac:dyDescent="0.35">
      <c r="B17" s="1" t="s">
        <v>859</v>
      </c>
      <c r="C17" s="1" t="s">
        <v>52</v>
      </c>
      <c r="D17" s="1" t="s">
        <v>877</v>
      </c>
      <c r="E17" s="1" t="s">
        <v>778</v>
      </c>
      <c r="F17" t="s">
        <v>778</v>
      </c>
      <c r="G17" t="s">
        <v>778</v>
      </c>
      <c r="H17" t="s">
        <v>778</v>
      </c>
      <c r="I17" t="s">
        <v>778</v>
      </c>
      <c r="AD17" t="s">
        <v>778</v>
      </c>
      <c r="AE17" t="s">
        <v>778</v>
      </c>
      <c r="AF17" t="s">
        <v>778</v>
      </c>
      <c r="AI17" t="s">
        <v>778</v>
      </c>
      <c r="AJ17" t="s">
        <v>778</v>
      </c>
      <c r="AK17" t="s">
        <v>778</v>
      </c>
      <c r="FJ17" t="s">
        <v>778</v>
      </c>
      <c r="FK17" t="s">
        <v>778</v>
      </c>
      <c r="FN17" t="s">
        <v>778</v>
      </c>
      <c r="FO17" t="s">
        <v>778</v>
      </c>
      <c r="FQ17" t="s">
        <v>778</v>
      </c>
      <c r="FS17" t="s">
        <v>778</v>
      </c>
      <c r="FT17" t="s">
        <v>778</v>
      </c>
      <c r="GE17" t="s">
        <v>778</v>
      </c>
      <c r="GF17" t="s">
        <v>778</v>
      </c>
      <c r="GG17" t="s">
        <v>778</v>
      </c>
      <c r="GH17" t="s">
        <v>778</v>
      </c>
      <c r="GI17" t="s">
        <v>778</v>
      </c>
      <c r="GJ17" t="s">
        <v>778</v>
      </c>
      <c r="GK17" t="s">
        <v>778</v>
      </c>
      <c r="GM17" t="s">
        <v>778</v>
      </c>
      <c r="GN17" t="s">
        <v>778</v>
      </c>
      <c r="GO17" t="s">
        <v>778</v>
      </c>
      <c r="GP17" t="s">
        <v>778</v>
      </c>
      <c r="GQ17" t="s">
        <v>778</v>
      </c>
      <c r="GR17" t="s">
        <v>778</v>
      </c>
      <c r="GS17" t="s">
        <v>778</v>
      </c>
      <c r="GY17" t="s">
        <v>778</v>
      </c>
      <c r="HA17" t="s">
        <v>778</v>
      </c>
      <c r="HP17" t="s">
        <v>778</v>
      </c>
      <c r="HS17" t="s">
        <v>778</v>
      </c>
      <c r="HW17" t="s">
        <v>778</v>
      </c>
      <c r="HX17" t="s">
        <v>778</v>
      </c>
      <c r="HY17" t="s">
        <v>778</v>
      </c>
      <c r="IB17" t="s">
        <v>778</v>
      </c>
      <c r="IC17" t="s">
        <v>778</v>
      </c>
      <c r="IE17" t="s">
        <v>778</v>
      </c>
      <c r="IF17" t="s">
        <v>778</v>
      </c>
      <c r="IG17" t="s">
        <v>778</v>
      </c>
      <c r="IH17" t="s">
        <v>778</v>
      </c>
      <c r="II17" t="s">
        <v>778</v>
      </c>
      <c r="IJ17" t="s">
        <v>778</v>
      </c>
      <c r="IK17" t="s">
        <v>778</v>
      </c>
      <c r="IL17" t="s">
        <v>778</v>
      </c>
      <c r="IM17" t="s">
        <v>778</v>
      </c>
    </row>
    <row r="18" spans="2:258" ht="72.5" hidden="1" x14ac:dyDescent="0.35">
      <c r="B18" s="1" t="s">
        <v>859</v>
      </c>
      <c r="C18" s="1" t="s">
        <v>52</v>
      </c>
      <c r="D18" s="1" t="s">
        <v>878</v>
      </c>
      <c r="E18" t="s">
        <v>778</v>
      </c>
      <c r="F18" t="s">
        <v>778</v>
      </c>
      <c r="G18" t="s">
        <v>778</v>
      </c>
      <c r="H18" t="s">
        <v>778</v>
      </c>
      <c r="I18" t="s">
        <v>778</v>
      </c>
      <c r="AE18" t="s">
        <v>778</v>
      </c>
      <c r="AF18" t="s">
        <v>778</v>
      </c>
      <c r="AI18" t="s">
        <v>778</v>
      </c>
      <c r="AJ18" t="s">
        <v>778</v>
      </c>
      <c r="AK18" t="s">
        <v>778</v>
      </c>
      <c r="FJ18" t="s">
        <v>778</v>
      </c>
      <c r="FK18" t="s">
        <v>778</v>
      </c>
      <c r="FN18" t="s">
        <v>778</v>
      </c>
      <c r="FS18" t="s">
        <v>778</v>
      </c>
      <c r="FT18" t="s">
        <v>778</v>
      </c>
      <c r="GE18" t="s">
        <v>778</v>
      </c>
      <c r="GF18" t="s">
        <v>778</v>
      </c>
      <c r="GG18" t="s">
        <v>778</v>
      </c>
      <c r="GH18" t="s">
        <v>778</v>
      </c>
      <c r="GI18" t="s">
        <v>778</v>
      </c>
      <c r="GJ18" t="s">
        <v>778</v>
      </c>
      <c r="GK18" t="s">
        <v>778</v>
      </c>
      <c r="GM18" t="s">
        <v>778</v>
      </c>
      <c r="GN18" t="s">
        <v>778</v>
      </c>
      <c r="GO18" t="s">
        <v>778</v>
      </c>
      <c r="GP18" t="s">
        <v>883</v>
      </c>
      <c r="GR18" t="s">
        <v>778</v>
      </c>
      <c r="GS18" t="s">
        <v>778</v>
      </c>
      <c r="GY18" t="s">
        <v>778</v>
      </c>
      <c r="HA18" t="s">
        <v>778</v>
      </c>
      <c r="HP18" t="s">
        <v>778</v>
      </c>
      <c r="HS18" t="s">
        <v>778</v>
      </c>
      <c r="HX18" t="s">
        <v>778</v>
      </c>
      <c r="HY18" t="s">
        <v>778</v>
      </c>
      <c r="IB18" t="s">
        <v>778</v>
      </c>
      <c r="IE18" t="s">
        <v>778</v>
      </c>
      <c r="IF18" t="s">
        <v>778</v>
      </c>
      <c r="IG18" t="s">
        <v>778</v>
      </c>
      <c r="IH18" t="s">
        <v>778</v>
      </c>
      <c r="II18" t="s">
        <v>778</v>
      </c>
    </row>
    <row r="19" spans="2:258" ht="130.5" hidden="1" x14ac:dyDescent="0.35">
      <c r="B19" s="1" t="s">
        <v>859</v>
      </c>
      <c r="C19" s="1" t="s">
        <v>52</v>
      </c>
      <c r="D19" s="1" t="s">
        <v>879</v>
      </c>
      <c r="E19" t="s">
        <v>778</v>
      </c>
      <c r="F19" t="s">
        <v>778</v>
      </c>
      <c r="G19" t="s">
        <v>778</v>
      </c>
      <c r="H19" t="s">
        <v>778</v>
      </c>
      <c r="I19" t="s">
        <v>778</v>
      </c>
      <c r="AE19" t="s">
        <v>778</v>
      </c>
      <c r="AF19" t="s">
        <v>778</v>
      </c>
      <c r="AI19" t="s">
        <v>778</v>
      </c>
      <c r="AJ19" t="s">
        <v>778</v>
      </c>
      <c r="AK19" t="s">
        <v>778</v>
      </c>
      <c r="AL19" t="s">
        <v>778</v>
      </c>
      <c r="FJ19" t="s">
        <v>778</v>
      </c>
      <c r="FK19" t="s">
        <v>778</v>
      </c>
      <c r="FM19" t="s">
        <v>778</v>
      </c>
      <c r="FO19" t="s">
        <v>778</v>
      </c>
      <c r="FP19" t="s">
        <v>778</v>
      </c>
      <c r="FQ19" t="s">
        <v>778</v>
      </c>
      <c r="FS19" t="s">
        <v>778</v>
      </c>
      <c r="FT19" t="s">
        <v>778</v>
      </c>
      <c r="GI19" t="s">
        <v>778</v>
      </c>
      <c r="GM19" t="s">
        <v>778</v>
      </c>
      <c r="GN19" t="s">
        <v>778</v>
      </c>
      <c r="GO19" t="s">
        <v>778</v>
      </c>
      <c r="GP19" t="s">
        <v>778</v>
      </c>
      <c r="GQ19" t="s">
        <v>778</v>
      </c>
      <c r="GR19" t="s">
        <v>778</v>
      </c>
      <c r="GS19" t="s">
        <v>778</v>
      </c>
      <c r="GY19" t="s">
        <v>778</v>
      </c>
      <c r="HA19" t="s">
        <v>778</v>
      </c>
      <c r="HP19" t="s">
        <v>778</v>
      </c>
      <c r="HX19" t="s">
        <v>778</v>
      </c>
      <c r="HZ19" t="s">
        <v>778</v>
      </c>
      <c r="IA19" t="s">
        <v>778</v>
      </c>
      <c r="IC19" t="s">
        <v>778</v>
      </c>
      <c r="ID19" t="s">
        <v>778</v>
      </c>
    </row>
    <row r="20" spans="2:258" ht="174" hidden="1" x14ac:dyDescent="0.35">
      <c r="B20" s="1" t="s">
        <v>859</v>
      </c>
      <c r="C20" s="1" t="s">
        <v>52</v>
      </c>
      <c r="D20" s="1" t="s">
        <v>1545</v>
      </c>
      <c r="E20" t="s">
        <v>778</v>
      </c>
      <c r="F20" t="s">
        <v>778</v>
      </c>
      <c r="G20" t="s">
        <v>778</v>
      </c>
      <c r="H20" t="s">
        <v>778</v>
      </c>
      <c r="I20" t="s">
        <v>778</v>
      </c>
      <c r="J20" t="s">
        <v>778</v>
      </c>
      <c r="K20" t="s">
        <v>778</v>
      </c>
      <c r="Y20" t="s">
        <v>778</v>
      </c>
      <c r="Z20" t="s">
        <v>778</v>
      </c>
      <c r="AA20" t="s">
        <v>778</v>
      </c>
      <c r="FJ20" t="s">
        <v>778</v>
      </c>
      <c r="FK20" t="s">
        <v>778</v>
      </c>
      <c r="FN20" t="s">
        <v>778</v>
      </c>
      <c r="FT20" t="s">
        <v>778</v>
      </c>
      <c r="GE20" t="s">
        <v>778</v>
      </c>
      <c r="GF20" t="s">
        <v>778</v>
      </c>
      <c r="GG20" t="s">
        <v>778</v>
      </c>
      <c r="GH20" t="s">
        <v>778</v>
      </c>
      <c r="GI20" t="s">
        <v>778</v>
      </c>
      <c r="GJ20" t="s">
        <v>778</v>
      </c>
      <c r="GK20" t="s">
        <v>778</v>
      </c>
      <c r="GM20" t="s">
        <v>778</v>
      </c>
      <c r="GN20" t="s">
        <v>778</v>
      </c>
      <c r="GO20" t="s">
        <v>778</v>
      </c>
      <c r="GP20" t="s">
        <v>778</v>
      </c>
      <c r="GQ20" t="s">
        <v>778</v>
      </c>
      <c r="GR20" t="s">
        <v>778</v>
      </c>
      <c r="GS20" t="s">
        <v>778</v>
      </c>
      <c r="GY20" t="s">
        <v>778</v>
      </c>
      <c r="HA20" t="s">
        <v>778</v>
      </c>
      <c r="HP20" t="s">
        <v>778</v>
      </c>
      <c r="HS20" t="s">
        <v>778</v>
      </c>
      <c r="HX20" t="s">
        <v>778</v>
      </c>
      <c r="HY20" t="s">
        <v>778</v>
      </c>
      <c r="IB20" t="s">
        <v>778</v>
      </c>
      <c r="IC20" t="s">
        <v>778</v>
      </c>
      <c r="IE20" t="s">
        <v>778</v>
      </c>
      <c r="IF20" t="s">
        <v>778</v>
      </c>
      <c r="IG20" t="s">
        <v>778</v>
      </c>
      <c r="IH20" t="s">
        <v>778</v>
      </c>
      <c r="II20" t="s">
        <v>778</v>
      </c>
    </row>
    <row r="21" spans="2:258" ht="130.5" hidden="1" x14ac:dyDescent="0.35">
      <c r="B21" s="1" t="s">
        <v>859</v>
      </c>
      <c r="C21" s="1" t="s">
        <v>52</v>
      </c>
      <c r="D21" s="1" t="s">
        <v>881</v>
      </c>
      <c r="E21" t="s">
        <v>778</v>
      </c>
      <c r="F21" t="s">
        <v>778</v>
      </c>
      <c r="G21" t="s">
        <v>778</v>
      </c>
      <c r="H21" t="s">
        <v>778</v>
      </c>
      <c r="I21" t="s">
        <v>778</v>
      </c>
      <c r="J21" t="s">
        <v>778</v>
      </c>
      <c r="K21" t="s">
        <v>778</v>
      </c>
      <c r="Y21" t="s">
        <v>778</v>
      </c>
      <c r="Z21" t="s">
        <v>778</v>
      </c>
      <c r="AA21" t="s">
        <v>778</v>
      </c>
      <c r="AD21" t="s">
        <v>778</v>
      </c>
      <c r="AE21" t="s">
        <v>778</v>
      </c>
      <c r="AF21" t="s">
        <v>778</v>
      </c>
      <c r="FJ21" t="s">
        <v>778</v>
      </c>
      <c r="FK21" t="s">
        <v>778</v>
      </c>
      <c r="FN21" t="s">
        <v>778</v>
      </c>
      <c r="FO21" t="s">
        <v>778</v>
      </c>
      <c r="FQ21" t="s">
        <v>778</v>
      </c>
      <c r="FS21" t="s">
        <v>778</v>
      </c>
      <c r="GE21" t="s">
        <v>778</v>
      </c>
      <c r="GF21" t="s">
        <v>778</v>
      </c>
      <c r="GG21" t="s">
        <v>778</v>
      </c>
      <c r="GH21" t="s">
        <v>778</v>
      </c>
      <c r="GI21" t="s">
        <v>778</v>
      </c>
      <c r="GJ21" t="s">
        <v>778</v>
      </c>
      <c r="GK21" t="s">
        <v>778</v>
      </c>
      <c r="GM21" t="s">
        <v>778</v>
      </c>
      <c r="GN21" t="s">
        <v>778</v>
      </c>
      <c r="GO21" t="s">
        <v>778</v>
      </c>
      <c r="GP21" t="s">
        <v>778</v>
      </c>
      <c r="GQ21" t="s">
        <v>778</v>
      </c>
      <c r="GR21" t="s">
        <v>778</v>
      </c>
      <c r="GS21" t="s">
        <v>778</v>
      </c>
      <c r="GY21" t="s">
        <v>778</v>
      </c>
      <c r="HA21" t="s">
        <v>778</v>
      </c>
      <c r="HP21" t="s">
        <v>778</v>
      </c>
      <c r="HS21" t="s">
        <v>778</v>
      </c>
      <c r="HX21" t="s">
        <v>778</v>
      </c>
      <c r="HY21" t="s">
        <v>778</v>
      </c>
      <c r="IB21" t="s">
        <v>778</v>
      </c>
      <c r="IC21" t="s">
        <v>778</v>
      </c>
      <c r="IE21" t="s">
        <v>778</v>
      </c>
      <c r="IF21" t="s">
        <v>778</v>
      </c>
      <c r="IG21" t="s">
        <v>778</v>
      </c>
      <c r="IH21" t="s">
        <v>778</v>
      </c>
      <c r="II21" t="s">
        <v>778</v>
      </c>
    </row>
    <row r="22" spans="2:258" ht="130.5" hidden="1" x14ac:dyDescent="0.35">
      <c r="B22" s="1" t="s">
        <v>859</v>
      </c>
      <c r="C22" s="1" t="s">
        <v>52</v>
      </c>
      <c r="D22" s="1" t="s">
        <v>882</v>
      </c>
      <c r="E22" t="s">
        <v>778</v>
      </c>
      <c r="F22" t="s">
        <v>778</v>
      </c>
      <c r="G22" t="s">
        <v>778</v>
      </c>
      <c r="H22" t="s">
        <v>778</v>
      </c>
      <c r="I22" t="s">
        <v>778</v>
      </c>
      <c r="J22" t="s">
        <v>778</v>
      </c>
      <c r="K22" t="s">
        <v>778</v>
      </c>
      <c r="Y22" t="s">
        <v>778</v>
      </c>
      <c r="Z22" t="s">
        <v>778</v>
      </c>
      <c r="AE22" t="s">
        <v>778</v>
      </c>
      <c r="FJ22" t="s">
        <v>778</v>
      </c>
      <c r="FK22" t="s">
        <v>778</v>
      </c>
      <c r="FN22" t="s">
        <v>778</v>
      </c>
      <c r="FT22" t="s">
        <v>778</v>
      </c>
      <c r="GE22" t="s">
        <v>778</v>
      </c>
      <c r="GF22" t="s">
        <v>778</v>
      </c>
      <c r="GH22" t="s">
        <v>778</v>
      </c>
      <c r="GI22" t="s">
        <v>778</v>
      </c>
      <c r="GJ22" t="s">
        <v>778</v>
      </c>
      <c r="GK22" t="s">
        <v>778</v>
      </c>
      <c r="GM22" t="s">
        <v>778</v>
      </c>
      <c r="GN22" t="s">
        <v>778</v>
      </c>
      <c r="GO22" t="s">
        <v>778</v>
      </c>
      <c r="GP22" t="s">
        <v>778</v>
      </c>
      <c r="GQ22" t="s">
        <v>778</v>
      </c>
      <c r="GR22" t="s">
        <v>778</v>
      </c>
      <c r="GS22" t="s">
        <v>778</v>
      </c>
      <c r="GY22" t="s">
        <v>778</v>
      </c>
      <c r="HA22" t="s">
        <v>778</v>
      </c>
      <c r="HP22" t="s">
        <v>778</v>
      </c>
      <c r="HS22" t="s">
        <v>778</v>
      </c>
      <c r="HX22" t="s">
        <v>778</v>
      </c>
      <c r="HY22" t="s">
        <v>778</v>
      </c>
      <c r="IB22" t="s">
        <v>778</v>
      </c>
      <c r="IE22" t="s">
        <v>778</v>
      </c>
      <c r="IF22" t="s">
        <v>778</v>
      </c>
      <c r="IG22" t="s">
        <v>778</v>
      </c>
      <c r="IH22" t="s">
        <v>778</v>
      </c>
      <c r="II22" t="s">
        <v>778</v>
      </c>
    </row>
    <row r="23" spans="2:258" ht="182.5" hidden="1" customHeight="1" x14ac:dyDescent="0.35">
      <c r="B23" s="1" t="s">
        <v>859</v>
      </c>
      <c r="C23" s="1" t="s">
        <v>52</v>
      </c>
      <c r="D23" s="1" t="s">
        <v>884</v>
      </c>
      <c r="E23" t="s">
        <v>778</v>
      </c>
      <c r="F23" t="s">
        <v>778</v>
      </c>
      <c r="G23" t="s">
        <v>778</v>
      </c>
      <c r="H23" t="s">
        <v>778</v>
      </c>
      <c r="I23" t="s">
        <v>778</v>
      </c>
      <c r="J23" t="s">
        <v>778</v>
      </c>
      <c r="K23" t="s">
        <v>778</v>
      </c>
      <c r="Y23" t="s">
        <v>778</v>
      </c>
      <c r="Z23" t="s">
        <v>778</v>
      </c>
      <c r="AA23" t="s">
        <v>778</v>
      </c>
      <c r="FJ23" t="s">
        <v>778</v>
      </c>
      <c r="FK23" t="s">
        <v>778</v>
      </c>
      <c r="FN23" t="s">
        <v>778</v>
      </c>
      <c r="FQ23" t="s">
        <v>778</v>
      </c>
      <c r="FU23" t="s">
        <v>778</v>
      </c>
      <c r="FV23" t="s">
        <v>778</v>
      </c>
      <c r="GE23" t="s">
        <v>778</v>
      </c>
      <c r="GF23" t="s">
        <v>778</v>
      </c>
      <c r="GG23" t="s">
        <v>778</v>
      </c>
      <c r="GH23" t="s">
        <v>778</v>
      </c>
      <c r="GI23" t="s">
        <v>778</v>
      </c>
      <c r="GJ23" t="s">
        <v>778</v>
      </c>
      <c r="GK23" t="s">
        <v>778</v>
      </c>
      <c r="GM23" t="s">
        <v>778</v>
      </c>
      <c r="GN23" t="s">
        <v>778</v>
      </c>
      <c r="GO23" t="s">
        <v>778</v>
      </c>
      <c r="GP23" t="s">
        <v>778</v>
      </c>
      <c r="GQ23" t="s">
        <v>778</v>
      </c>
      <c r="GR23" t="s">
        <v>778</v>
      </c>
      <c r="GS23" t="s">
        <v>778</v>
      </c>
      <c r="GY23" t="s">
        <v>778</v>
      </c>
      <c r="HA23" t="s">
        <v>778</v>
      </c>
      <c r="HP23" t="s">
        <v>778</v>
      </c>
      <c r="HS23" t="s">
        <v>778</v>
      </c>
      <c r="HX23" t="s">
        <v>778</v>
      </c>
      <c r="HY23" t="s">
        <v>778</v>
      </c>
      <c r="IB23" t="s">
        <v>778</v>
      </c>
      <c r="IC23" t="s">
        <v>778</v>
      </c>
      <c r="IE23" t="s">
        <v>778</v>
      </c>
      <c r="IF23" t="s">
        <v>778</v>
      </c>
      <c r="IG23" t="s">
        <v>778</v>
      </c>
      <c r="IH23" t="s">
        <v>778</v>
      </c>
      <c r="II23" t="s">
        <v>778</v>
      </c>
    </row>
    <row r="24" spans="2:258" ht="130.5" hidden="1" x14ac:dyDescent="0.35">
      <c r="B24" s="1" t="s">
        <v>859</v>
      </c>
      <c r="C24" s="1" t="s">
        <v>52</v>
      </c>
      <c r="D24" s="1" t="s">
        <v>885</v>
      </c>
      <c r="E24" t="s">
        <v>778</v>
      </c>
      <c r="F24" t="s">
        <v>778</v>
      </c>
      <c r="G24" t="s">
        <v>778</v>
      </c>
      <c r="H24" t="s">
        <v>778</v>
      </c>
      <c r="I24" t="s">
        <v>778</v>
      </c>
      <c r="J24" t="s">
        <v>778</v>
      </c>
      <c r="K24" t="s">
        <v>778</v>
      </c>
      <c r="Y24" t="s">
        <v>778</v>
      </c>
      <c r="Z24" t="s">
        <v>778</v>
      </c>
      <c r="AA24" t="s">
        <v>778</v>
      </c>
      <c r="AE24" t="s">
        <v>778</v>
      </c>
      <c r="FJ24" t="s">
        <v>778</v>
      </c>
      <c r="FK24" t="s">
        <v>778</v>
      </c>
      <c r="FL24" t="s">
        <v>778</v>
      </c>
      <c r="FM24" t="s">
        <v>778</v>
      </c>
      <c r="FO24" t="s">
        <v>778</v>
      </c>
      <c r="FQ24" t="s">
        <v>778</v>
      </c>
      <c r="FS24" t="s">
        <v>778</v>
      </c>
      <c r="FT24" t="s">
        <v>778</v>
      </c>
      <c r="GI24" t="s">
        <v>778</v>
      </c>
      <c r="GM24" t="s">
        <v>778</v>
      </c>
      <c r="GN24" t="s">
        <v>778</v>
      </c>
      <c r="GO24" t="s">
        <v>778</v>
      </c>
      <c r="GP24" t="s">
        <v>778</v>
      </c>
      <c r="GQ24" t="s">
        <v>778</v>
      </c>
      <c r="GR24" t="s">
        <v>778</v>
      </c>
      <c r="GS24" t="s">
        <v>778</v>
      </c>
      <c r="GY24" t="s">
        <v>778</v>
      </c>
      <c r="HA24" t="s">
        <v>778</v>
      </c>
      <c r="HP24" t="s">
        <v>778</v>
      </c>
      <c r="HX24" t="s">
        <v>778</v>
      </c>
      <c r="HZ24" t="s">
        <v>778</v>
      </c>
      <c r="IA24" t="s">
        <v>778</v>
      </c>
      <c r="IC24" t="s">
        <v>778</v>
      </c>
      <c r="ID24" t="s">
        <v>778</v>
      </c>
    </row>
    <row r="25" spans="2:258" ht="130.5" hidden="1" x14ac:dyDescent="0.35">
      <c r="B25" s="1" t="s">
        <v>859</v>
      </c>
      <c r="C25" s="1" t="s">
        <v>52</v>
      </c>
      <c r="D25" s="1" t="s">
        <v>880</v>
      </c>
      <c r="E25" t="s">
        <v>778</v>
      </c>
      <c r="F25" t="s">
        <v>778</v>
      </c>
      <c r="G25" t="s">
        <v>778</v>
      </c>
      <c r="H25" t="s">
        <v>778</v>
      </c>
      <c r="I25" t="s">
        <v>778</v>
      </c>
      <c r="AD25" t="s">
        <v>778</v>
      </c>
      <c r="AE25" t="s">
        <v>778</v>
      </c>
      <c r="BN25" t="s">
        <v>778</v>
      </c>
      <c r="FJ25" t="s">
        <v>778</v>
      </c>
      <c r="FK25" t="s">
        <v>778</v>
      </c>
      <c r="FN25" t="s">
        <v>778</v>
      </c>
      <c r="FO25" t="s">
        <v>778</v>
      </c>
      <c r="FQ25" t="s">
        <v>778</v>
      </c>
      <c r="FU25" t="s">
        <v>778</v>
      </c>
      <c r="FV25" t="s">
        <v>778</v>
      </c>
      <c r="GE25" t="s">
        <v>778</v>
      </c>
      <c r="GF25" t="s">
        <v>778</v>
      </c>
      <c r="GG25" t="s">
        <v>778</v>
      </c>
      <c r="GH25" t="s">
        <v>778</v>
      </c>
      <c r="GI25" t="s">
        <v>778</v>
      </c>
      <c r="GJ25" t="s">
        <v>778</v>
      </c>
      <c r="GK25" t="s">
        <v>778</v>
      </c>
      <c r="GM25" t="s">
        <v>778</v>
      </c>
      <c r="GN25" t="s">
        <v>778</v>
      </c>
      <c r="GO25" t="s">
        <v>778</v>
      </c>
      <c r="GP25" t="s">
        <v>778</v>
      </c>
      <c r="GQ25" t="s">
        <v>778</v>
      </c>
      <c r="GR25" t="s">
        <v>778</v>
      </c>
      <c r="GS25" t="s">
        <v>778</v>
      </c>
      <c r="GY25" t="s">
        <v>778</v>
      </c>
      <c r="HA25" t="s">
        <v>778</v>
      </c>
      <c r="HP25" t="s">
        <v>778</v>
      </c>
      <c r="HQ25" t="s">
        <v>778</v>
      </c>
      <c r="HS25" t="s">
        <v>778</v>
      </c>
      <c r="HW25" t="s">
        <v>778</v>
      </c>
      <c r="HX25" t="s">
        <v>778</v>
      </c>
      <c r="HY25" t="s">
        <v>778</v>
      </c>
      <c r="IB25" t="s">
        <v>778</v>
      </c>
      <c r="IC25" t="s">
        <v>778</v>
      </c>
      <c r="IE25" t="s">
        <v>778</v>
      </c>
      <c r="IF25" t="s">
        <v>778</v>
      </c>
      <c r="IG25" t="s">
        <v>778</v>
      </c>
      <c r="IH25" t="s">
        <v>778</v>
      </c>
      <c r="II25" t="s">
        <v>778</v>
      </c>
      <c r="IJ25" t="s">
        <v>778</v>
      </c>
      <c r="IK25" t="s">
        <v>778</v>
      </c>
      <c r="IL25" t="s">
        <v>778</v>
      </c>
      <c r="IM25" t="s">
        <v>778</v>
      </c>
    </row>
    <row r="26" spans="2:258" ht="130.5" hidden="1" x14ac:dyDescent="0.35">
      <c r="B26" s="1" t="s">
        <v>859</v>
      </c>
      <c r="C26" s="1" t="s">
        <v>52</v>
      </c>
      <c r="D26" s="1" t="s">
        <v>880</v>
      </c>
      <c r="E26" t="s">
        <v>778</v>
      </c>
      <c r="F26" t="s">
        <v>778</v>
      </c>
      <c r="G26" t="s">
        <v>778</v>
      </c>
      <c r="H26" t="s">
        <v>778</v>
      </c>
      <c r="I26" t="s">
        <v>778</v>
      </c>
      <c r="AD26" t="s">
        <v>778</v>
      </c>
      <c r="AE26" t="s">
        <v>778</v>
      </c>
      <c r="BO26" t="s">
        <v>778</v>
      </c>
      <c r="FJ26" t="s">
        <v>778</v>
      </c>
      <c r="FK26" t="s">
        <v>778</v>
      </c>
      <c r="FN26" t="s">
        <v>778</v>
      </c>
      <c r="FO26" t="s">
        <v>778</v>
      </c>
      <c r="FQ26" t="s">
        <v>778</v>
      </c>
      <c r="FU26" t="s">
        <v>778</v>
      </c>
      <c r="FV26" t="s">
        <v>778</v>
      </c>
      <c r="GE26" t="s">
        <v>778</v>
      </c>
      <c r="GF26" t="s">
        <v>778</v>
      </c>
      <c r="GG26" t="s">
        <v>778</v>
      </c>
      <c r="GH26" t="s">
        <v>778</v>
      </c>
      <c r="GI26" t="s">
        <v>778</v>
      </c>
      <c r="GJ26" t="s">
        <v>778</v>
      </c>
      <c r="GK26" t="s">
        <v>778</v>
      </c>
      <c r="GM26" t="s">
        <v>778</v>
      </c>
      <c r="GN26" t="s">
        <v>778</v>
      </c>
      <c r="GO26" t="s">
        <v>778</v>
      </c>
      <c r="GP26" t="s">
        <v>778</v>
      </c>
      <c r="GQ26" t="s">
        <v>778</v>
      </c>
      <c r="GR26" t="s">
        <v>778</v>
      </c>
      <c r="GS26" t="s">
        <v>778</v>
      </c>
      <c r="GY26" t="s">
        <v>778</v>
      </c>
      <c r="HA26" t="s">
        <v>778</v>
      </c>
      <c r="HP26" t="s">
        <v>778</v>
      </c>
      <c r="HQ26" t="s">
        <v>778</v>
      </c>
      <c r="HS26" t="s">
        <v>778</v>
      </c>
      <c r="HW26" t="s">
        <v>778</v>
      </c>
      <c r="HX26" t="s">
        <v>778</v>
      </c>
      <c r="HY26" t="s">
        <v>778</v>
      </c>
      <c r="IB26" t="s">
        <v>778</v>
      </c>
      <c r="IC26" t="s">
        <v>778</v>
      </c>
      <c r="IE26" t="s">
        <v>778</v>
      </c>
      <c r="IF26" t="s">
        <v>778</v>
      </c>
      <c r="IG26" t="s">
        <v>778</v>
      </c>
      <c r="IH26" t="s">
        <v>778</v>
      </c>
      <c r="II26" t="s">
        <v>778</v>
      </c>
      <c r="IJ26" t="s">
        <v>778</v>
      </c>
      <c r="IK26" t="s">
        <v>778</v>
      </c>
      <c r="IL26" t="s">
        <v>778</v>
      </c>
      <c r="IM26" t="s">
        <v>778</v>
      </c>
      <c r="IX26">
        <f t="shared" ref="IX26:IX32" si="0">SUM(E26:IW26)</f>
        <v>0</v>
      </c>
    </row>
    <row r="27" spans="2:258" ht="130.5" hidden="1" x14ac:dyDescent="0.35">
      <c r="B27" s="1" t="s">
        <v>859</v>
      </c>
      <c r="C27" s="1" t="s">
        <v>52</v>
      </c>
      <c r="D27" s="1" t="s">
        <v>885</v>
      </c>
      <c r="E27" t="s">
        <v>778</v>
      </c>
      <c r="F27" t="s">
        <v>778</v>
      </c>
      <c r="G27" t="s">
        <v>778</v>
      </c>
      <c r="H27" t="s">
        <v>778</v>
      </c>
      <c r="I27" t="s">
        <v>778</v>
      </c>
      <c r="AE27" t="s">
        <v>778</v>
      </c>
      <c r="AL27" t="s">
        <v>778</v>
      </c>
      <c r="BO27" t="s">
        <v>778</v>
      </c>
      <c r="FJ27" t="s">
        <v>778</v>
      </c>
      <c r="FK27" t="s">
        <v>778</v>
      </c>
      <c r="FM27" t="s">
        <v>778</v>
      </c>
      <c r="FO27" t="s">
        <v>778</v>
      </c>
      <c r="FP27" t="s">
        <v>778</v>
      </c>
      <c r="FQ27" t="s">
        <v>778</v>
      </c>
      <c r="FU27" t="s">
        <v>778</v>
      </c>
      <c r="FV27" t="s">
        <v>778</v>
      </c>
      <c r="GI27" t="s">
        <v>778</v>
      </c>
      <c r="GM27" t="s">
        <v>778</v>
      </c>
      <c r="GN27" t="s">
        <v>778</v>
      </c>
      <c r="GO27" t="s">
        <v>778</v>
      </c>
      <c r="GP27" t="s">
        <v>778</v>
      </c>
      <c r="GQ27" t="s">
        <v>778</v>
      </c>
      <c r="GR27" t="s">
        <v>778</v>
      </c>
      <c r="GS27" t="s">
        <v>778</v>
      </c>
      <c r="GZ27" t="s">
        <v>778</v>
      </c>
      <c r="HA27" t="s">
        <v>778</v>
      </c>
      <c r="HP27" t="s">
        <v>778</v>
      </c>
      <c r="HX27" t="s">
        <v>778</v>
      </c>
      <c r="HZ27" t="s">
        <v>778</v>
      </c>
      <c r="IA27" t="s">
        <v>778</v>
      </c>
      <c r="IC27" t="s">
        <v>778</v>
      </c>
      <c r="ID27" t="s">
        <v>778</v>
      </c>
      <c r="IX27">
        <f t="shared" si="0"/>
        <v>0</v>
      </c>
    </row>
    <row r="28" spans="2:258" ht="145" hidden="1" x14ac:dyDescent="0.35">
      <c r="B28" s="1" t="s">
        <v>859</v>
      </c>
      <c r="C28" s="1" t="s">
        <v>52</v>
      </c>
      <c r="D28" s="1" t="s">
        <v>1546</v>
      </c>
      <c r="E28" t="s">
        <v>778</v>
      </c>
      <c r="F28" t="s">
        <v>778</v>
      </c>
      <c r="G28" t="s">
        <v>778</v>
      </c>
      <c r="H28" t="s">
        <v>778</v>
      </c>
      <c r="I28" t="s">
        <v>778</v>
      </c>
      <c r="J28" t="s">
        <v>778</v>
      </c>
      <c r="K28" t="s">
        <v>778</v>
      </c>
      <c r="Q28" t="s">
        <v>778</v>
      </c>
      <c r="R28" t="s">
        <v>778</v>
      </c>
      <c r="AD28" t="s">
        <v>778</v>
      </c>
      <c r="AE28" t="s">
        <v>778</v>
      </c>
      <c r="AF28" t="s">
        <v>778</v>
      </c>
      <c r="FJ28" t="s">
        <v>778</v>
      </c>
      <c r="FK28" t="s">
        <v>778</v>
      </c>
      <c r="FN28" t="s">
        <v>778</v>
      </c>
      <c r="FO28" t="s">
        <v>778</v>
      </c>
      <c r="FQ28" t="s">
        <v>778</v>
      </c>
      <c r="FS28" t="s">
        <v>778</v>
      </c>
      <c r="GE28" t="s">
        <v>778</v>
      </c>
      <c r="GF28" t="s">
        <v>778</v>
      </c>
      <c r="GG28" t="s">
        <v>778</v>
      </c>
      <c r="GH28" t="s">
        <v>778</v>
      </c>
      <c r="GI28" t="s">
        <v>778</v>
      </c>
      <c r="GJ28" t="s">
        <v>778</v>
      </c>
      <c r="GK28" t="s">
        <v>778</v>
      </c>
      <c r="GM28" t="s">
        <v>778</v>
      </c>
      <c r="GN28" t="s">
        <v>778</v>
      </c>
      <c r="GO28" t="s">
        <v>778</v>
      </c>
      <c r="GP28" t="s">
        <v>778</v>
      </c>
      <c r="GQ28" t="s">
        <v>778</v>
      </c>
      <c r="GR28" t="s">
        <v>778</v>
      </c>
      <c r="GS28" t="s">
        <v>778</v>
      </c>
      <c r="GY28" t="s">
        <v>778</v>
      </c>
      <c r="HA28" t="s">
        <v>778</v>
      </c>
      <c r="HP28" t="s">
        <v>778</v>
      </c>
      <c r="HS28" t="s">
        <v>778</v>
      </c>
      <c r="HX28" t="s">
        <v>778</v>
      </c>
      <c r="HY28" t="s">
        <v>778</v>
      </c>
      <c r="IB28" t="s">
        <v>778</v>
      </c>
      <c r="IC28" t="s">
        <v>778</v>
      </c>
      <c r="IE28" t="s">
        <v>778</v>
      </c>
      <c r="IF28" t="s">
        <v>778</v>
      </c>
      <c r="IG28" t="s">
        <v>778</v>
      </c>
      <c r="IH28" t="s">
        <v>778</v>
      </c>
      <c r="II28" t="s">
        <v>778</v>
      </c>
      <c r="IJ28" t="s">
        <v>778</v>
      </c>
      <c r="IK28" t="s">
        <v>778</v>
      </c>
      <c r="IL28" t="s">
        <v>778</v>
      </c>
      <c r="IM28" t="s">
        <v>778</v>
      </c>
      <c r="IX28">
        <f t="shared" si="0"/>
        <v>0</v>
      </c>
    </row>
    <row r="29" spans="2:258" ht="145" hidden="1" x14ac:dyDescent="0.35">
      <c r="B29" s="1" t="s">
        <v>859</v>
      </c>
      <c r="C29" s="1" t="s">
        <v>52</v>
      </c>
      <c r="D29" s="1" t="s">
        <v>887</v>
      </c>
      <c r="E29">
        <f>IF(ISERROR(HLOOKUP(E1,[2]lad01_1314_1516!$A$1:$AW$1,1,FALSE)),0,1)</f>
        <v>1</v>
      </c>
      <c r="F29">
        <f>IF(ISERROR(HLOOKUP(F1,[2]lad01_1314_1516!$A$1:$AW$1,1,FALSE)),0,1)</f>
        <v>1</v>
      </c>
      <c r="G29">
        <f>IF(ISERROR(HLOOKUP(G1,[2]lad01_1314_1516!$A$1:$AW$1,1,FALSE)),0,1)</f>
        <v>1</v>
      </c>
      <c r="H29">
        <f>IF(ISERROR(HLOOKUP(H1,[2]lad01_1314_1516!$A$1:$AW$1,1,FALSE)),0,1)</f>
        <v>1</v>
      </c>
      <c r="I29">
        <f>IF(ISERROR(HLOOKUP(I1,[2]lad01_1314_1516!$A$1:$AW$1,1,FALSE)),0,1)</f>
        <v>1</v>
      </c>
      <c r="J29">
        <f>IF(ISERROR(HLOOKUP(J1,[2]lad01_1314_1516!$A$1:$AW$1,1,FALSE)),0,1)</f>
        <v>1</v>
      </c>
      <c r="K29">
        <f>IF(ISERROR(HLOOKUP(K1,[2]lad01_1314_1516!$A$1:$AW$1,1,FALSE)),0,1)</f>
        <v>1</v>
      </c>
      <c r="L29">
        <f>IF(ISERROR(HLOOKUP(L1,[2]lad01_1314_1516!$A$1:$AW$1,1,FALSE)),0,1)</f>
        <v>0</v>
      </c>
      <c r="M29">
        <f>IF(ISERROR(HLOOKUP(M1,[2]lad01_1314_1516!$A$1:$AW$1,1,FALSE)),0,1)</f>
        <v>0</v>
      </c>
      <c r="N29">
        <f>IF(ISERROR(HLOOKUP(N1,[2]lad01_1314_1516!$A$1:$AW$1,1,FALSE)),0,1)</f>
        <v>0</v>
      </c>
      <c r="O29">
        <f>IF(ISERROR(HLOOKUP(O1,[2]lad01_1314_1516!$A$1:$AW$1,1,FALSE)),0,1)</f>
        <v>0</v>
      </c>
      <c r="P29">
        <f>IF(ISERROR(HLOOKUP(P1,[2]lad01_1314_1516!$A$1:$AW$1,1,FALSE)),0,1)</f>
        <v>0</v>
      </c>
      <c r="Q29">
        <f>IF(ISERROR(HLOOKUP(Q1,[2]lad01_1314_1516!$A$1:$AW$1,1,FALSE)),0,1)</f>
        <v>1</v>
      </c>
      <c r="R29">
        <f>IF(ISERROR(HLOOKUP(R1,[2]lad01_1314_1516!$A$1:$AW$1,1,FALSE)),0,1)</f>
        <v>1</v>
      </c>
      <c r="U29">
        <f>IF(ISERROR(HLOOKUP(U1,[2]lad01_1314_1516!$A$1:$AW$1,1,FALSE)),0,1)</f>
        <v>0</v>
      </c>
      <c r="V29">
        <f>IF(ISERROR(HLOOKUP(V1,[2]lad01_1314_1516!$A$1:$AW$1,1,FALSE)),0,1)</f>
        <v>0</v>
      </c>
      <c r="Y29">
        <f>IF(ISERROR(HLOOKUP(Y1,[2]lad01_1314_1516!$A$1:$AW$1,1,FALSE)),0,1)</f>
        <v>0</v>
      </c>
      <c r="Z29">
        <f>IF(ISERROR(HLOOKUP(Z1,[2]lad01_1314_1516!$A$1:$AW$1,1,FALSE)),0,1)</f>
        <v>0</v>
      </c>
      <c r="AA29">
        <f>IF(ISERROR(HLOOKUP(AA1,[2]lad01_1314_1516!$A$1:$AW$1,1,FALSE)),0,1)</f>
        <v>0</v>
      </c>
      <c r="AB29">
        <f>IF(ISERROR(HLOOKUP(AB1,[2]lad01_1314_1516!$A$1:$AW$1,1,FALSE)),0,1)</f>
        <v>0</v>
      </c>
      <c r="AC29">
        <f>IF(ISERROR(HLOOKUP(AC1,[2]lad01_1314_1516!$A$1:$AW$1,1,FALSE)),0,1)</f>
        <v>0</v>
      </c>
      <c r="AD29">
        <f>IF(ISERROR(HLOOKUP(AD1,[2]lad01_1314_1516!$A$1:$AW$1,1,FALSE)),0,1)</f>
        <v>1</v>
      </c>
      <c r="AE29">
        <f>IF(ISERROR(HLOOKUP(AE1,[2]lad01_1314_1516!$A$1:$AW$1,1,FALSE)),0,1)</f>
        <v>1</v>
      </c>
      <c r="AF29">
        <f>IF(ISERROR(HLOOKUP(AF1,[2]lad01_1314_1516!$A$1:$AW$1,1,FALSE)),0,1)</f>
        <v>0</v>
      </c>
      <c r="AG29">
        <f>IF(ISERROR(HLOOKUP(AG1,[2]lad01_1314_1516!$A$1:$AW$1,1,FALSE)),0,1)</f>
        <v>0</v>
      </c>
      <c r="AH29">
        <f>IF(ISERROR(HLOOKUP(AH1,[2]lad01_1314_1516!$A$1:$AW$1,1,FALSE)),0,1)</f>
        <v>0</v>
      </c>
      <c r="AI29">
        <f>IF(ISERROR(HLOOKUP(AI1,[2]lad01_1314_1516!$A$1:$AW$1,1,FALSE)),0,1)</f>
        <v>0</v>
      </c>
      <c r="AJ29">
        <f>IF(ISERROR(HLOOKUP(AJ1,[2]lad01_1314_1516!$A$1:$AW$1,1,FALSE)),0,1)</f>
        <v>0</v>
      </c>
      <c r="AK29">
        <f>IF(ISERROR(HLOOKUP(AK1,[2]lad01_1314_1516!$A$1:$AW$1,1,FALSE)),0,1)</f>
        <v>0</v>
      </c>
      <c r="AL29">
        <f>IF(ISERROR(HLOOKUP(AL1,[2]lad01_1314_1516!$A$1:$AW$1,1,FALSE)),0,1)</f>
        <v>0</v>
      </c>
      <c r="AM29">
        <f>IF(ISERROR(HLOOKUP(AM1,[2]lad01_1314_1516!$A$1:$AW$1,1,FALSE)),0,1)</f>
        <v>0</v>
      </c>
      <c r="AN29">
        <f>IF(ISERROR(HLOOKUP(AN1,[2]lad01_1314_1516!$A$1:$AW$1,1,FALSE)),0,1)</f>
        <v>0</v>
      </c>
      <c r="AO29">
        <f>IF(ISERROR(HLOOKUP(AO1,[2]lad01_1314_1516!$A$1:$AW$1,1,FALSE)),0,1)</f>
        <v>0</v>
      </c>
      <c r="AP29">
        <f>IF(ISERROR(HLOOKUP(AP1,[2]lad01_1314_1516!$A$1:$AW$1,1,FALSE)),0,1)</f>
        <v>0</v>
      </c>
      <c r="AQ29">
        <f>IF(ISERROR(HLOOKUP(AQ1,[2]lad01_1314_1516!$A$1:$AW$1,1,FALSE)),0,1)</f>
        <v>0</v>
      </c>
      <c r="AR29">
        <f>IF(ISERROR(HLOOKUP(AR1,[2]lad01_1314_1516!$A$1:$AW$1,1,FALSE)),0,1)</f>
        <v>0</v>
      </c>
      <c r="AS29">
        <f>IF(ISERROR(HLOOKUP(AS1,[2]lad01_1314_1516!$A$1:$AW$1,1,FALSE)),0,1)</f>
        <v>0</v>
      </c>
      <c r="AT29">
        <f>IF(ISERROR(HLOOKUP(AT1,[2]lad01_1314_1516!$A$1:$AW$1,1,FALSE)),0,1)</f>
        <v>0</v>
      </c>
      <c r="AU29">
        <f>IF(ISERROR(HLOOKUP(AU1,[2]lad01_1314_1516!$A$1:$AW$1,1,FALSE)),0,1)</f>
        <v>0</v>
      </c>
      <c r="AV29">
        <f>IF(ISERROR(HLOOKUP(AV1,[2]lad01_1314_1516!$A$1:$AW$1,1,FALSE)),0,1)</f>
        <v>0</v>
      </c>
      <c r="AW29">
        <f>IF(ISERROR(HLOOKUP(AW1,[2]lad01_1314_1516!$A$1:$AW$1,1,FALSE)),0,1)</f>
        <v>0</v>
      </c>
      <c r="AX29">
        <f>IF(ISERROR(HLOOKUP(AX1,[2]lad01_1314_1516!$A$1:$AW$1,1,FALSE)),0,1)</f>
        <v>0</v>
      </c>
      <c r="AY29">
        <f>IF(ISERROR(HLOOKUP(AY1,[2]lad01_1314_1516!$A$1:$AW$1,1,FALSE)),0,1)</f>
        <v>0</v>
      </c>
      <c r="AZ29">
        <f>IF(ISERROR(HLOOKUP(AZ1,[2]lad01_1314_1516!$A$1:$AW$1,1,FALSE)),0,1)</f>
        <v>0</v>
      </c>
      <c r="BA29">
        <f>IF(ISERROR(HLOOKUP(BA1,[2]lad01_1314_1516!$A$1:$AW$1,1,FALSE)),0,1)</f>
        <v>0</v>
      </c>
      <c r="BB29">
        <f>IF(ISERROR(HLOOKUP(BB1,[2]lad01_1314_1516!$A$1:$AW$1,1,FALSE)),0,1)</f>
        <v>0</v>
      </c>
      <c r="BC29">
        <f>IF(ISERROR(HLOOKUP(BC1,[2]lad01_1314_1516!$A$1:$AW$1,1,FALSE)),0,1)</f>
        <v>0</v>
      </c>
      <c r="BD29">
        <f>IF(ISERROR(HLOOKUP(BD1,[2]lad01_1314_1516!$A$1:$AW$1,1,FALSE)),0,1)</f>
        <v>0</v>
      </c>
      <c r="BE29">
        <f>IF(ISERROR(HLOOKUP(BE1,[2]lad01_1314_1516!$A$1:$AW$1,1,FALSE)),0,1)</f>
        <v>0</v>
      </c>
      <c r="BF29">
        <f>IF(ISERROR(HLOOKUP(BF1,[2]lad01_1314_1516!$A$1:$AW$1,1,FALSE)),0,1)</f>
        <v>0</v>
      </c>
      <c r="BG29">
        <f>IF(ISERROR(HLOOKUP(BG1,[2]lad01_1314_1516!$A$1:$AW$1,1,FALSE)),0,1)</f>
        <v>0</v>
      </c>
      <c r="BH29">
        <f>IF(ISERROR(HLOOKUP(BH1,[2]lad01_1314_1516!$A$1:$AW$1,1,FALSE)),0,1)</f>
        <v>0</v>
      </c>
      <c r="BI29">
        <f>IF(ISERROR(HLOOKUP(BI1,[2]lad01_1314_1516!$A$1:$AW$1,1,FALSE)),0,1)</f>
        <v>0</v>
      </c>
      <c r="BJ29">
        <f>IF(ISERROR(HLOOKUP(BJ1,[2]lad01_1314_1516!$A$1:$AW$1,1,FALSE)),0,1)</f>
        <v>0</v>
      </c>
      <c r="BK29">
        <f>IF(ISERROR(HLOOKUP(BK1,[2]lad01_1314_1516!$A$1:$AW$1,1,FALSE)),0,1)</f>
        <v>0</v>
      </c>
      <c r="BL29">
        <f>IF(ISERROR(HLOOKUP(BL1,[2]lad01_1314_1516!$A$1:$AW$1,1,FALSE)),0,1)</f>
        <v>0</v>
      </c>
      <c r="BM29">
        <f>IF(ISERROR(HLOOKUP(BM1,[2]lad01_1314_1516!$A$1:$AW$1,1,FALSE)),0,1)</f>
        <v>0</v>
      </c>
      <c r="BN29">
        <f>IF(ISERROR(HLOOKUP(BN1,[2]lad01_1314_1516!$A$1:$AW$1,1,FALSE)),0,1)</f>
        <v>0</v>
      </c>
      <c r="BO29">
        <f>IF(ISERROR(HLOOKUP(BO1,[2]lad01_1314_1516!$A$1:$AW$1,1,FALSE)),0,1)</f>
        <v>0</v>
      </c>
      <c r="BP29">
        <f>IF(ISERROR(HLOOKUP(BP1,[2]lad01_1314_1516!$A$1:$AW$1,1,FALSE)),0,1)</f>
        <v>0</v>
      </c>
      <c r="BQ29">
        <f>IF(ISERROR(HLOOKUP(BQ1,[2]lad01_1314_1516!$A$1:$AW$1,1,FALSE)),0,1)</f>
        <v>0</v>
      </c>
      <c r="BR29">
        <f>IF(ISERROR(HLOOKUP(BR1,[2]lad01_1314_1516!$A$1:$AW$1,1,FALSE)),0,1)</f>
        <v>0</v>
      </c>
      <c r="BS29">
        <f>IF(ISERROR(HLOOKUP(BS1,[2]lad01_1314_1516!$A$1:$AW$1,1,FALSE)),0,1)</f>
        <v>0</v>
      </c>
      <c r="BT29">
        <f>IF(ISERROR(HLOOKUP(BT1,[2]lad01_1314_1516!$A$1:$AW$1,1,FALSE)),0,1)</f>
        <v>0</v>
      </c>
      <c r="BU29">
        <f>IF(ISERROR(HLOOKUP(BU1,[2]lad01_1314_1516!$A$1:$AW$1,1,FALSE)),0,1)</f>
        <v>0</v>
      </c>
      <c r="BV29">
        <f>IF(ISERROR(HLOOKUP(BV1,[2]lad01_1314_1516!$A$1:$AW$1,1,FALSE)),0,1)</f>
        <v>0</v>
      </c>
      <c r="BW29">
        <f>IF(ISERROR(HLOOKUP(BW1,[2]lad01_1314_1516!$A$1:$AW$1,1,FALSE)),0,1)</f>
        <v>0</v>
      </c>
      <c r="BX29">
        <f>IF(ISERROR(HLOOKUP(BX1,[2]lad01_1314_1516!$A$1:$AW$1,1,FALSE)),0,1)</f>
        <v>0</v>
      </c>
      <c r="BY29">
        <f>IF(ISERROR(HLOOKUP(BY1,[2]lad01_1314_1516!$A$1:$AW$1,1,FALSE)),0,1)</f>
        <v>0</v>
      </c>
      <c r="BZ29">
        <f>IF(ISERROR(HLOOKUP(BZ1,[2]lad01_1314_1516!$A$1:$AW$1,1,FALSE)),0,1)</f>
        <v>0</v>
      </c>
      <c r="CA29">
        <f>IF(ISERROR(HLOOKUP(CA1,[2]lad01_1314_1516!$A$1:$AW$1,1,FALSE)),0,1)</f>
        <v>0</v>
      </c>
      <c r="CB29">
        <f>IF(ISERROR(HLOOKUP(CB1,[2]lad01_1314_1516!$A$1:$AW$1,1,FALSE)),0,1)</f>
        <v>0</v>
      </c>
      <c r="CC29">
        <f>IF(ISERROR(HLOOKUP(CC1,[2]lad01_1314_1516!$A$1:$AW$1,1,FALSE)),0,1)</f>
        <v>0</v>
      </c>
      <c r="CD29">
        <f>IF(ISERROR(HLOOKUP(CD1,[2]lad01_1314_1516!$A$1:$AW$1,1,FALSE)),0,1)</f>
        <v>0</v>
      </c>
      <c r="CE29">
        <f>IF(ISERROR(HLOOKUP(CE1,[2]lad01_1314_1516!$A$1:$AW$1,1,FALSE)),0,1)</f>
        <v>0</v>
      </c>
      <c r="CF29">
        <f>IF(ISERROR(HLOOKUP(CF1,[2]lad01_1314_1516!$A$1:$AW$1,1,FALSE)),0,1)</f>
        <v>0</v>
      </c>
      <c r="CG29">
        <f>IF(ISERROR(HLOOKUP(CG1,[2]lad01_1314_1516!$A$1:$AW$1,1,FALSE)),0,1)</f>
        <v>0</v>
      </c>
      <c r="CH29">
        <f>IF(ISERROR(HLOOKUP(CH1,[2]lad01_1314_1516!$A$1:$AW$1,1,FALSE)),0,1)</f>
        <v>0</v>
      </c>
      <c r="CI29">
        <f>IF(ISERROR(HLOOKUP(CI1,[2]lad01_1314_1516!$A$1:$AW$1,1,FALSE)),0,1)</f>
        <v>0</v>
      </c>
      <c r="CJ29">
        <f>IF(ISERROR(HLOOKUP(CJ1,[2]lad01_1314_1516!$A$1:$AW$1,1,FALSE)),0,1)</f>
        <v>0</v>
      </c>
      <c r="CK29">
        <f>IF(ISERROR(HLOOKUP(CK1,[2]lad01_1314_1516!$A$1:$AW$1,1,FALSE)),0,1)</f>
        <v>0</v>
      </c>
      <c r="CL29">
        <f>IF(ISERROR(HLOOKUP(CL1,[2]lad01_1314_1516!$A$1:$AW$1,1,FALSE)),0,1)</f>
        <v>0</v>
      </c>
      <c r="CM29">
        <f>IF(ISERROR(HLOOKUP(CM1,[2]lad01_1314_1516!$A$1:$AW$1,1,FALSE)),0,1)</f>
        <v>0</v>
      </c>
      <c r="CN29">
        <f>IF(ISERROR(HLOOKUP(CN1,[2]lad01_1314_1516!$A$1:$AW$1,1,FALSE)),0,1)</f>
        <v>0</v>
      </c>
      <c r="CO29">
        <f>IF(ISERROR(HLOOKUP(CO1,[2]lad01_1314_1516!$A$1:$AW$1,1,FALSE)),0,1)</f>
        <v>0</v>
      </c>
      <c r="CP29">
        <f>IF(ISERROR(HLOOKUP(CP1,[2]lad01_1314_1516!$A$1:$AW$1,1,FALSE)),0,1)</f>
        <v>0</v>
      </c>
      <c r="CQ29">
        <f>IF(ISERROR(HLOOKUP(CQ1,[2]lad01_1314_1516!$A$1:$AW$1,1,FALSE)),0,1)</f>
        <v>0</v>
      </c>
      <c r="CR29">
        <f>IF(ISERROR(HLOOKUP(CR1,[2]lad01_1314_1516!$A$1:$AW$1,1,FALSE)),0,1)</f>
        <v>0</v>
      </c>
      <c r="CS29">
        <f>IF(ISERROR(HLOOKUP(CS1,[2]lad01_1314_1516!$A$1:$AW$1,1,FALSE)),0,1)</f>
        <v>0</v>
      </c>
      <c r="CT29">
        <f>IF(ISERROR(HLOOKUP(CT1,[2]lad01_1314_1516!$A$1:$AW$1,1,FALSE)),0,1)</f>
        <v>0</v>
      </c>
      <c r="CU29">
        <f>IF(ISERROR(HLOOKUP(CU1,[2]lad01_1314_1516!$A$1:$AW$1,1,FALSE)),0,1)</f>
        <v>0</v>
      </c>
      <c r="CV29">
        <f>IF(ISERROR(HLOOKUP(CV1,[2]lad01_1314_1516!$A$1:$AW$1,1,FALSE)),0,1)</f>
        <v>0</v>
      </c>
      <c r="CW29">
        <f>IF(ISERROR(HLOOKUP(CW1,[2]lad01_1314_1516!$A$1:$AW$1,1,FALSE)),0,1)</f>
        <v>0</v>
      </c>
      <c r="CX29">
        <f>IF(ISERROR(HLOOKUP(CX1,[2]lad01_1314_1516!$A$1:$AW$1,1,FALSE)),0,1)</f>
        <v>0</v>
      </c>
      <c r="CY29">
        <f>IF(ISERROR(HLOOKUP(CY1,[2]lad01_1314_1516!$A$1:$AW$1,1,FALSE)),0,1)</f>
        <v>0</v>
      </c>
      <c r="CZ29">
        <f>IF(ISERROR(HLOOKUP(CZ1,[2]lad01_1314_1516!$A$1:$AW$1,1,FALSE)),0,1)</f>
        <v>0</v>
      </c>
      <c r="DA29">
        <f>IF(ISERROR(HLOOKUP(DA1,[2]lad01_1314_1516!$A$1:$AW$1,1,FALSE)),0,1)</f>
        <v>0</v>
      </c>
      <c r="DB29">
        <f>IF(ISERROR(HLOOKUP(DB1,[2]lad01_1314_1516!$A$1:$AW$1,1,FALSE)),0,1)</f>
        <v>0</v>
      </c>
      <c r="DC29">
        <f>IF(ISERROR(HLOOKUP(DC1,[2]lad01_1314_1516!$A$1:$AW$1,1,FALSE)),0,1)</f>
        <v>0</v>
      </c>
      <c r="DD29">
        <f>IF(ISERROR(HLOOKUP(DD1,[2]lad01_1314_1516!$A$1:$AW$1,1,FALSE)),0,1)</f>
        <v>0</v>
      </c>
      <c r="DE29">
        <f>IF(ISERROR(HLOOKUP(DE1,[2]lad01_1314_1516!$A$1:$AW$1,1,FALSE)),0,1)</f>
        <v>0</v>
      </c>
      <c r="DF29">
        <f>IF(ISERROR(HLOOKUP(DF1,[2]lad01_1314_1516!$A$1:$AW$1,1,FALSE)),0,1)</f>
        <v>0</v>
      </c>
      <c r="DG29">
        <f>IF(ISERROR(HLOOKUP(DG1,[2]lad01_1314_1516!$A$1:$AW$1,1,FALSE)),0,1)</f>
        <v>0</v>
      </c>
      <c r="DH29">
        <f>IF(ISERROR(HLOOKUP(DH1,[2]lad01_1314_1516!$A$1:$AW$1,1,FALSE)),0,1)</f>
        <v>0</v>
      </c>
      <c r="DI29">
        <f>IF(ISERROR(HLOOKUP(DI1,[2]lad01_1314_1516!$A$1:$AW$1,1,FALSE)),0,1)</f>
        <v>0</v>
      </c>
      <c r="DJ29">
        <f>IF(ISERROR(HLOOKUP(DJ1,[2]lad01_1314_1516!$A$1:$AW$1,1,FALSE)),0,1)</f>
        <v>0</v>
      </c>
      <c r="DK29">
        <f>IF(ISERROR(HLOOKUP(DK1,[2]lad01_1314_1516!$A$1:$AW$1,1,FALSE)),0,1)</f>
        <v>0</v>
      </c>
      <c r="DL29">
        <f>IF(ISERROR(HLOOKUP(DL1,[2]lad01_1314_1516!$A$1:$AW$1,1,FALSE)),0,1)</f>
        <v>0</v>
      </c>
      <c r="DM29">
        <f>IF(ISERROR(HLOOKUP(DM1,[2]lad01_1314_1516!$A$1:$AW$1,1,FALSE)),0,1)</f>
        <v>0</v>
      </c>
      <c r="DN29">
        <f>IF(ISERROR(HLOOKUP(DN1,[2]lad01_1314_1516!$A$1:$AW$1,1,FALSE)),0,1)</f>
        <v>0</v>
      </c>
      <c r="DO29">
        <f>IF(ISERROR(HLOOKUP(DO1,[2]lad01_1314_1516!$A$1:$AW$1,1,FALSE)),0,1)</f>
        <v>0</v>
      </c>
      <c r="DP29">
        <f>IF(ISERROR(HLOOKUP(DP1,[2]lad01_1314_1516!$A$1:$AW$1,1,FALSE)),0,1)</f>
        <v>0</v>
      </c>
      <c r="DQ29">
        <f>IF(ISERROR(HLOOKUP(DQ1,[2]lad01_1314_1516!$A$1:$AW$1,1,FALSE)),0,1)</f>
        <v>0</v>
      </c>
      <c r="DR29">
        <f>IF(ISERROR(HLOOKUP(DR1,[2]lad01_1314_1516!$A$1:$AW$1,1,FALSE)),0,1)</f>
        <v>0</v>
      </c>
      <c r="DS29">
        <f>IF(ISERROR(HLOOKUP(DS1,[2]lad01_1314_1516!$A$1:$AW$1,1,FALSE)),0,1)</f>
        <v>0</v>
      </c>
      <c r="DT29">
        <f>IF(ISERROR(HLOOKUP(DT1,[2]lad01_1314_1516!$A$1:$AW$1,1,FALSE)),0,1)</f>
        <v>0</v>
      </c>
      <c r="DU29">
        <f>IF(ISERROR(HLOOKUP(DU1,[2]lad01_1314_1516!$A$1:$AW$1,1,FALSE)),0,1)</f>
        <v>0</v>
      </c>
      <c r="DV29">
        <f>IF(ISERROR(HLOOKUP(DV1,[2]lad01_1314_1516!$A$1:$AW$1,1,FALSE)),0,1)</f>
        <v>0</v>
      </c>
      <c r="DW29">
        <f>IF(ISERROR(HLOOKUP(DW1,[2]lad01_1314_1516!$A$1:$AW$1,1,FALSE)),0,1)</f>
        <v>0</v>
      </c>
      <c r="DX29">
        <f>IF(ISERROR(HLOOKUP(DX1,[2]lad01_1314_1516!$A$1:$AW$1,1,FALSE)),0,1)</f>
        <v>0</v>
      </c>
      <c r="DY29">
        <f>IF(ISERROR(HLOOKUP(DY1,[2]lad01_1314_1516!$A$1:$AW$1,1,FALSE)),0,1)</f>
        <v>0</v>
      </c>
      <c r="DZ29">
        <f>IF(ISERROR(HLOOKUP(DZ1,[2]lad01_1314_1516!$A$1:$AW$1,1,FALSE)),0,1)</f>
        <v>0</v>
      </c>
      <c r="EA29">
        <f>IF(ISERROR(HLOOKUP(EA1,[2]lad01_1314_1516!$A$1:$AW$1,1,FALSE)),0,1)</f>
        <v>0</v>
      </c>
      <c r="EB29">
        <f>IF(ISERROR(HLOOKUP(EB1,[2]lad01_1314_1516!$A$1:$AW$1,1,FALSE)),0,1)</f>
        <v>0</v>
      </c>
      <c r="EC29">
        <f>IF(ISERROR(HLOOKUP(EC1,[2]lad01_1314_1516!$A$1:$AW$1,1,FALSE)),0,1)</f>
        <v>0</v>
      </c>
      <c r="ED29">
        <f>IF(ISERROR(HLOOKUP(ED1,[2]lad01_1314_1516!$A$1:$AW$1,1,FALSE)),0,1)</f>
        <v>0</v>
      </c>
      <c r="EE29">
        <f>IF(ISERROR(HLOOKUP(EE1,[2]lad01_1314_1516!$A$1:$AW$1,1,FALSE)),0,1)</f>
        <v>0</v>
      </c>
      <c r="EF29">
        <f>IF(ISERROR(HLOOKUP(EF1,[2]lad01_1314_1516!$A$1:$AW$1,1,FALSE)),0,1)</f>
        <v>0</v>
      </c>
      <c r="EG29">
        <f>IF(ISERROR(HLOOKUP(EG1,[2]lad01_1314_1516!$A$1:$AW$1,1,FALSE)),0,1)</f>
        <v>0</v>
      </c>
      <c r="EH29">
        <f>IF(ISERROR(HLOOKUP(EH1,[2]lad01_1314_1516!$A$1:$AW$1,1,FALSE)),0,1)</f>
        <v>0</v>
      </c>
      <c r="EI29">
        <f>IF(ISERROR(HLOOKUP(EI1,[2]lad01_1314_1516!$A$1:$AW$1,1,FALSE)),0,1)</f>
        <v>0</v>
      </c>
      <c r="EJ29">
        <f>IF(ISERROR(HLOOKUP(EJ1,[2]lad01_1314_1516!$A$1:$AW$1,1,FALSE)),0,1)</f>
        <v>0</v>
      </c>
      <c r="EK29">
        <f>IF(ISERROR(HLOOKUP(EK1,[2]lad01_1314_1516!$A$1:$AW$1,1,FALSE)),0,1)</f>
        <v>0</v>
      </c>
      <c r="EL29">
        <f>IF(ISERROR(HLOOKUP(EL1,[2]lad01_1314_1516!$A$1:$AW$1,1,FALSE)),0,1)</f>
        <v>0</v>
      </c>
      <c r="EM29">
        <f>IF(ISERROR(HLOOKUP(EM1,[2]lad01_1314_1516!$A$1:$AW$1,1,FALSE)),0,1)</f>
        <v>0</v>
      </c>
      <c r="EN29">
        <f>IF(ISERROR(HLOOKUP(EN1,[2]lad01_1314_1516!$A$1:$AW$1,1,FALSE)),0,1)</f>
        <v>0</v>
      </c>
      <c r="EO29">
        <f>IF(ISERROR(HLOOKUP(EO1,[2]lad01_1314_1516!$A$1:$AW$1,1,FALSE)),0,1)</f>
        <v>0</v>
      </c>
      <c r="EP29">
        <f>IF(ISERROR(HLOOKUP(EP1,[2]lad01_1314_1516!$A$1:$AW$1,1,FALSE)),0,1)</f>
        <v>0</v>
      </c>
      <c r="EQ29">
        <f>IF(ISERROR(HLOOKUP(EQ1,[2]lad01_1314_1516!$A$1:$AW$1,1,FALSE)),0,1)</f>
        <v>0</v>
      </c>
      <c r="ER29">
        <f>IF(ISERROR(HLOOKUP(ER1,[2]lad01_1314_1516!$A$1:$AW$1,1,FALSE)),0,1)</f>
        <v>0</v>
      </c>
      <c r="ES29">
        <f>IF(ISERROR(HLOOKUP(ES1,[2]lad01_1314_1516!$A$1:$AW$1,1,FALSE)),0,1)</f>
        <v>0</v>
      </c>
      <c r="ET29">
        <f>IF(ISERROR(HLOOKUP(ET1,[2]lad01_1314_1516!$A$1:$AW$1,1,FALSE)),0,1)</f>
        <v>0</v>
      </c>
      <c r="EU29">
        <f>IF(ISERROR(HLOOKUP(EU1,[2]lad01_1314_1516!$A$1:$AW$1,1,FALSE)),0,1)</f>
        <v>0</v>
      </c>
      <c r="EV29">
        <f>IF(ISERROR(HLOOKUP(EV1,[2]lad01_1314_1516!$A$1:$AW$1,1,FALSE)),0,1)</f>
        <v>0</v>
      </c>
      <c r="EW29">
        <f>IF(ISERROR(HLOOKUP(EW1,[2]lad01_1314_1516!$A$1:$AW$1,1,FALSE)),0,1)</f>
        <v>0</v>
      </c>
      <c r="EX29">
        <f>IF(ISERROR(HLOOKUP(EX1,[2]lad01_1314_1516!$A$1:$AW$1,1,FALSE)),0,1)</f>
        <v>0</v>
      </c>
      <c r="EY29">
        <f>IF(ISERROR(HLOOKUP(EY1,[2]lad01_1314_1516!$A$1:$AW$1,1,FALSE)),0,1)</f>
        <v>0</v>
      </c>
      <c r="EZ29">
        <f>IF(ISERROR(HLOOKUP(EZ1,[2]lad01_1314_1516!$A$1:$AW$1,1,FALSE)),0,1)</f>
        <v>0</v>
      </c>
      <c r="FA29">
        <f>IF(ISERROR(HLOOKUP(FA1,[2]lad01_1314_1516!$A$1:$AW$1,1,FALSE)),0,1)</f>
        <v>0</v>
      </c>
      <c r="FB29">
        <f>IF(ISERROR(HLOOKUP(FB1,[2]lad01_1314_1516!$A$1:$AW$1,1,FALSE)),0,1)</f>
        <v>0</v>
      </c>
      <c r="FC29">
        <f>IF(ISERROR(HLOOKUP(FC1,[2]lad01_1314_1516!$A$1:$AW$1,1,FALSE)),0,1)</f>
        <v>0</v>
      </c>
      <c r="FD29">
        <f>IF(ISERROR(HLOOKUP(FD1,[2]lad01_1314_1516!$A$1:$AW$1,1,FALSE)),0,1)</f>
        <v>0</v>
      </c>
      <c r="FE29">
        <f>IF(ISERROR(HLOOKUP(FE1,[2]lad01_1314_1516!$A$1:$AW$1,1,FALSE)),0,1)</f>
        <v>0</v>
      </c>
      <c r="FF29">
        <f>IF(ISERROR(HLOOKUP(FF1,[2]lad01_1314_1516!$A$1:$AW$1,1,FALSE)),0,1)</f>
        <v>0</v>
      </c>
      <c r="FG29">
        <f>IF(ISERROR(HLOOKUP(FG1,[2]lad01_1314_1516!$A$1:$AW$1,1,FALSE)),0,1)</f>
        <v>0</v>
      </c>
      <c r="FH29">
        <f>IF(ISERROR(HLOOKUP(FH1,[2]lad01_1314_1516!$A$1:$AW$1,1,FALSE)),0,1)</f>
        <v>0</v>
      </c>
      <c r="FI29">
        <f>IF(ISERROR(HLOOKUP(FI1,[2]lad01_1314_1516!$A$1:$AW$1,1,FALSE)),0,1)</f>
        <v>0</v>
      </c>
      <c r="FJ29">
        <f>IF(ISERROR(HLOOKUP(FJ1,[2]lad01_1314_1516!$A$1:$AW$1,1,FALSE)),0,1)</f>
        <v>1</v>
      </c>
      <c r="FK29">
        <f>IF(ISERROR(HLOOKUP(FK1,[2]lad01_1314_1516!$A$1:$AW$1,1,FALSE)),0,1)</f>
        <v>0</v>
      </c>
      <c r="FL29">
        <f>IF(ISERROR(HLOOKUP(FL1,[2]lad01_1314_1516!$A$1:$AW$1,1,FALSE)),0,1)</f>
        <v>0</v>
      </c>
      <c r="FM29">
        <f>IF(ISERROR(HLOOKUP(FM1,[2]lad01_1314_1516!$A$1:$AW$1,1,FALSE)),0,1)</f>
        <v>0</v>
      </c>
      <c r="FN29">
        <f>IF(ISERROR(HLOOKUP(FN1,[2]lad01_1314_1516!$A$1:$AW$1,1,FALSE)),0,1)</f>
        <v>1</v>
      </c>
      <c r="FO29">
        <f>IF(ISERROR(HLOOKUP(FO1,[2]lad01_1314_1516!$A$1:$AW$1,1,FALSE)),0,1)</f>
        <v>1</v>
      </c>
      <c r="FP29">
        <f>IF(ISERROR(HLOOKUP(FP1,[2]lad01_1314_1516!$A$1:$AW$1,1,FALSE)),0,1)</f>
        <v>0</v>
      </c>
      <c r="FQ29">
        <f>IF(ISERROR(HLOOKUP(FQ1,[2]lad01_1314_1516!$A$1:$AW$1,1,FALSE)),0,1)</f>
        <v>1</v>
      </c>
      <c r="FS29">
        <f>IF(ISERROR(HLOOKUP(FS1,[2]lad01_1314_1516!$A$1:$AW$1,1,FALSE)),0,1)</f>
        <v>1</v>
      </c>
      <c r="FT29">
        <f>IF(ISERROR(HLOOKUP(FT1,[2]lad01_1314_1516!$A$1:$AW$1,1,FALSE)),0,1)</f>
        <v>0</v>
      </c>
      <c r="FU29">
        <f>IF(ISERROR(HLOOKUP(FU1,[2]lad01_1314_1516!$A$1:$AW$1,1,FALSE)),0,1)</f>
        <v>0</v>
      </c>
      <c r="FV29">
        <f>IF(ISERROR(HLOOKUP(FV1,[2]lad01_1314_1516!$A$1:$AW$1,1,FALSE)),0,1)</f>
        <v>0</v>
      </c>
      <c r="FZ29">
        <f>IF(ISERROR(HLOOKUP(FZ1,[2]lad01_1314_1516!$A$1:$AW$1,1,FALSE)),0,1)</f>
        <v>0</v>
      </c>
      <c r="GA29">
        <f>IF(ISERROR(HLOOKUP(GA1,[2]lad01_1314_1516!$A$1:$AW$1,1,FALSE)),0,1)</f>
        <v>0</v>
      </c>
      <c r="GE29">
        <f>IF(ISERROR(HLOOKUP(GE1,[2]lad01_1314_1516!$A$1:$AW$1,1,FALSE)),0,1)</f>
        <v>1</v>
      </c>
      <c r="GF29">
        <f>IF(ISERROR(HLOOKUP(GF1,[2]lad01_1314_1516!$A$1:$AW$1,1,FALSE)),0,1)</f>
        <v>1</v>
      </c>
      <c r="GG29">
        <f>IF(ISERROR(HLOOKUP(GG1,[2]lad01_1314_1516!$A$1:$AW$1,1,FALSE)),0,1)</f>
        <v>1</v>
      </c>
      <c r="GH29">
        <f>IF(ISERROR(HLOOKUP(GH1,[2]lad01_1314_1516!$A$1:$AW$1,1,FALSE)),0,1)</f>
        <v>1</v>
      </c>
      <c r="GI29">
        <f>IF(ISERROR(HLOOKUP(GI1,[2]lad01_1314_1516!$A$1:$AW$1,1,FALSE)),0,1)</f>
        <v>1</v>
      </c>
      <c r="GJ29">
        <f>IF(ISERROR(HLOOKUP(GJ1,[2]lad01_1314_1516!$A$1:$AW$1,1,FALSE)),0,1)</f>
        <v>1</v>
      </c>
      <c r="GK29">
        <f>IF(ISERROR(HLOOKUP(GK1,[2]lad01_1314_1516!$A$1:$AW$1,1,FALSE)),0,1)</f>
        <v>1</v>
      </c>
      <c r="GL29">
        <f>IF(ISERROR(HLOOKUP(GL1,[2]lad01_1314_1516!$A$1:$AW$1,1,FALSE)),0,1)</f>
        <v>0</v>
      </c>
      <c r="GM29">
        <f>IF(ISERROR(HLOOKUP(GM1,[2]lad01_1314_1516!$A$1:$AW$1,1,FALSE)),0,1)</f>
        <v>1</v>
      </c>
      <c r="GN29">
        <f>IF(ISERROR(HLOOKUP(GN1,[2]lad01_1314_1516!$A$1:$AW$1,1,FALSE)),0,1)</f>
        <v>1</v>
      </c>
      <c r="GO29">
        <f>IF(ISERROR(HLOOKUP(GO1,[2]lad01_1314_1516!$A$1:$AW$1,1,FALSE)),0,1)</f>
        <v>1</v>
      </c>
      <c r="GP29">
        <f>IF(ISERROR(HLOOKUP(GP1,[2]lad01_1314_1516!$A$1:$AW$1,1,FALSE)),0,1)</f>
        <v>1</v>
      </c>
      <c r="GQ29">
        <f>IF(ISERROR(HLOOKUP(GQ1,[2]lad01_1314_1516!$A$1:$AW$1,1,FALSE)),0,1)</f>
        <v>1</v>
      </c>
      <c r="GR29">
        <f>IF(ISERROR(HLOOKUP(GR1,[2]lad01_1314_1516!$A$1:$AW$1,1,FALSE)),0,1)</f>
        <v>1</v>
      </c>
      <c r="GS29">
        <f>IF(ISERROR(HLOOKUP(GS1,[2]lad01_1314_1516!$A$1:$AW$1,1,FALSE)),0,1)</f>
        <v>1</v>
      </c>
      <c r="GT29">
        <f>IF(ISERROR(HLOOKUP(GT1,[2]lad01_1314_1516!$A$1:$AW$1,1,FALSE)),0,1)</f>
        <v>0</v>
      </c>
      <c r="GU29">
        <f>IF(ISERROR(HLOOKUP(GU1,[2]lad01_1314_1516!$A$1:$AW$1,1,FALSE)),0,1)</f>
        <v>0</v>
      </c>
      <c r="GV29">
        <f>IF(ISERROR(HLOOKUP(GV1,[2]lad01_1314_1516!$A$1:$AW$1,1,FALSE)),0,1)</f>
        <v>0</v>
      </c>
      <c r="GW29">
        <f>IF(ISERROR(HLOOKUP(GW1,[2]lad01_1314_1516!$A$1:$AW$1,1,FALSE)),0,1)</f>
        <v>0</v>
      </c>
      <c r="GY29">
        <f>IF(ISERROR(HLOOKUP(GY1,[2]lad01_1314_1516!$A$1:$AW$1,1,FALSE)),0,1)</f>
        <v>1</v>
      </c>
      <c r="GZ29">
        <f>IF(ISERROR(HLOOKUP(GZ1,[2]lad01_1314_1516!$A$1:$AW$1,1,FALSE)),0,1)</f>
        <v>0</v>
      </c>
      <c r="HA29">
        <f>IF(ISERROR(HLOOKUP(HA1,[2]lad01_1314_1516!$A$1:$AW$1,1,FALSE)),0,1)</f>
        <v>1</v>
      </c>
      <c r="HB29">
        <f>IF(ISERROR(HLOOKUP(HB1,[2]lad01_1314_1516!$A$1:$AW$1,1,FALSE)),0,1)</f>
        <v>0</v>
      </c>
      <c r="HC29">
        <f>IF(ISERROR(HLOOKUP(HC1,[2]lad01_1314_1516!$A$1:$AW$1,1,FALSE)),0,1)</f>
        <v>0</v>
      </c>
      <c r="HE29">
        <f>IF(ISERROR(HLOOKUP(HE1,[2]lad01_1314_1516!$A$1:$AW$1,1,FALSE)),0,1)</f>
        <v>0</v>
      </c>
      <c r="HF29">
        <f>IF(ISERROR(HLOOKUP(HF1,[2]lad01_1314_1516!$A$1:$AW$1,1,FALSE)),0,1)</f>
        <v>0</v>
      </c>
      <c r="HG29">
        <f>IF(ISERROR(HLOOKUP(HG1,[2]lad01_1314_1516!$A$1:$AW$1,1,FALSE)),0,1)</f>
        <v>0</v>
      </c>
      <c r="HH29">
        <f>IF(ISERROR(HLOOKUP(HH1,[2]lad01_1314_1516!$A$1:$AW$1,1,FALSE)),0,1)</f>
        <v>0</v>
      </c>
      <c r="HI29">
        <f>IF(ISERROR(HLOOKUP(HI1,[2]lad01_1314_1516!$A$1:$AW$1,1,FALSE)),0,1)</f>
        <v>0</v>
      </c>
      <c r="HJ29">
        <f>IF(ISERROR(HLOOKUP(HJ1,[2]lad01_1314_1516!$A$1:$AW$1,1,FALSE)),0,1)</f>
        <v>0</v>
      </c>
      <c r="HK29">
        <f>IF(ISERROR(HLOOKUP(HK1,[2]lad01_1314_1516!$A$1:$AW$1,1,FALSE)),0,1)</f>
        <v>0</v>
      </c>
      <c r="HL29">
        <f>IF(ISERROR(HLOOKUP(HL1,[2]lad01_1314_1516!$A$1:$AW$1,1,FALSE)),0,1)</f>
        <v>0</v>
      </c>
      <c r="HP29">
        <f>IF(ISERROR(HLOOKUP(HP1,[2]lad01_1314_1516!$A$1:$AW$1,1,FALSE)),0,1)</f>
        <v>1</v>
      </c>
      <c r="HQ29">
        <f>IF(ISERROR(HLOOKUP(HQ1,[2]lad01_1314_1516!$A$1:$AW$1,1,FALSE)),0,1)</f>
        <v>0</v>
      </c>
      <c r="HR29">
        <f>IF(ISERROR(HLOOKUP(HR1,[2]lad01_1314_1516!$A$1:$AW$1,1,FALSE)),0,1)</f>
        <v>0</v>
      </c>
      <c r="HS29">
        <f>IF(ISERROR(HLOOKUP(HS1,[2]lad01_1314_1516!$A$1:$AW$1,1,FALSE)),0,1)</f>
        <v>1</v>
      </c>
      <c r="HT29">
        <f>IF(ISERROR(HLOOKUP(HT1,[2]lad01_1314_1516!$A$1:$AW$1,1,FALSE)),0,1)</f>
        <v>0</v>
      </c>
      <c r="HU29">
        <f>IF(ISERROR(HLOOKUP(HU1,[2]lad01_1314_1516!$A$1:$AW$1,1,FALSE)),0,1)</f>
        <v>0</v>
      </c>
      <c r="HV29">
        <f>IF(ISERROR(HLOOKUP(HV1,[2]lad01_1314_1516!$A$1:$AW$1,1,FALSE)),0,1)</f>
        <v>0</v>
      </c>
      <c r="HW29">
        <f>IF(ISERROR(HLOOKUP(HW1,[2]lad01_1314_1516!$A$1:$AW$1,1,FALSE)),0,1)</f>
        <v>0</v>
      </c>
      <c r="HX29">
        <f>IF(ISERROR(HLOOKUP(HX1,[2]lad01_1314_1516!$A$1:$AW$1,1,FALSE)),0,1)</f>
        <v>1</v>
      </c>
      <c r="HY29">
        <f>IF(ISERROR(HLOOKUP(HY1,[2]lad01_1314_1516!$A$1:$AW$1,1,FALSE)),0,1)</f>
        <v>1</v>
      </c>
      <c r="HZ29">
        <f>IF(ISERROR(HLOOKUP(HZ1,[2]lad01_1314_1516!$A$1:$AW$1,1,FALSE)),0,1)</f>
        <v>0</v>
      </c>
      <c r="IA29">
        <f>IF(ISERROR(HLOOKUP(IA1,[2]lad01_1314_1516!$A$1:$AW$1,1,FALSE)),0,1)</f>
        <v>0</v>
      </c>
      <c r="IB29">
        <f>IF(ISERROR(HLOOKUP(IB1,[2]lad01_1314_1516!$A$1:$AW$1,1,FALSE)),0,1)</f>
        <v>1</v>
      </c>
      <c r="IC29">
        <f>IF(ISERROR(HLOOKUP(IC1,[2]lad01_1314_1516!$A$1:$AW$1,1,FALSE)),0,1)</f>
        <v>1</v>
      </c>
      <c r="ID29">
        <f>IF(ISERROR(HLOOKUP(ID1,[2]lad01_1314_1516!$A$1:$AW$1,1,FALSE)),0,1)</f>
        <v>0</v>
      </c>
      <c r="IE29">
        <f>IF(ISERROR(HLOOKUP(IE1,[2]lad01_1314_1516!$A$1:$AW$1,1,FALSE)),0,1)</f>
        <v>1</v>
      </c>
      <c r="IF29">
        <f>IF(ISERROR(HLOOKUP(IF1,[2]lad01_1314_1516!$A$1:$AW$1,1,FALSE)),0,1)</f>
        <v>1</v>
      </c>
      <c r="IG29">
        <f>IF(ISERROR(HLOOKUP(IG1,[2]lad01_1314_1516!$A$1:$AW$1,1,FALSE)),0,1)</f>
        <v>1</v>
      </c>
      <c r="IH29">
        <f>IF(ISERROR(HLOOKUP(IH1,[2]lad01_1314_1516!$A$1:$AW$1,1,FALSE)),0,1)</f>
        <v>1</v>
      </c>
      <c r="II29">
        <f>IF(ISERROR(HLOOKUP(II1,[2]lad01_1314_1516!$A$1:$AW$1,1,FALSE)),0,1)</f>
        <v>1</v>
      </c>
      <c r="IJ29">
        <f>IF(ISERROR(HLOOKUP(IJ1,[2]lad01_1314_1516!$A$1:$AW$1,1,FALSE)),0,1)</f>
        <v>1</v>
      </c>
      <c r="IK29">
        <f>IF(ISERROR(HLOOKUP(IK1,[2]lad01_1314_1516!$A$1:$AW$1,1,FALSE)),0,1)</f>
        <v>1</v>
      </c>
      <c r="IL29">
        <f>IF(ISERROR(HLOOKUP(IL1,[2]lad01_1314_1516!$A$1:$AW$1,1,FALSE)),0,1)</f>
        <v>1</v>
      </c>
      <c r="IM29">
        <f>IF(ISERROR(HLOOKUP(IM1,[2]lad01_1314_1516!$A$1:$AW$1,1,FALSE)),0,1)</f>
        <v>1</v>
      </c>
      <c r="IN29">
        <f>IF(ISERROR(HLOOKUP(IN1,[2]lad01_1314_1516!$A$1:$AW$1,1,FALSE)),0,1)</f>
        <v>0</v>
      </c>
      <c r="IO29">
        <f>IF(ISERROR(HLOOKUP(IO1,[2]lad01_1314_1516!$A$1:$AW$1,1,FALSE)),0,1)</f>
        <v>0</v>
      </c>
      <c r="IP29">
        <f>IF(ISERROR(HLOOKUP(IP1,[2]lad01_1314_1516!$A$1:$AW$1,1,FALSE)),0,1)</f>
        <v>0</v>
      </c>
      <c r="IQ29">
        <f>IF(ISERROR(HLOOKUP(IQ1,[2]lad01_1314_1516!$A$1:$AW$1,1,FALSE)),0,1)</f>
        <v>0</v>
      </c>
      <c r="IR29">
        <f>IF(ISERROR(HLOOKUP(IR1,[2]lad01_1314_1516!$A$1:$AW$1,1,FALSE)),0,1)</f>
        <v>0</v>
      </c>
      <c r="IS29">
        <f>IF(ISERROR(HLOOKUP(IS1,[2]lad01_1314_1516!$A$1:$AW$1,1,FALSE)),0,1)</f>
        <v>0</v>
      </c>
      <c r="IT29">
        <f>IF(ISERROR(HLOOKUP(IT1,[2]lad01_1314_1516!$A$1:$AW$1,1,FALSE)),0,1)</f>
        <v>0</v>
      </c>
      <c r="IU29">
        <f>IF(ISERROR(HLOOKUP(IU1,[2]lad01_1314_1516!$A$1:$AW$1,1,FALSE)),0,1)</f>
        <v>0</v>
      </c>
      <c r="IV29">
        <f>IF(ISERROR(HLOOKUP(IV1,[2]lad01_1314_1516!$A$1:$AW$1,1,FALSE)),0,1)</f>
        <v>0</v>
      </c>
      <c r="IW29">
        <f>IF(ISERROR(HLOOKUP(IW1,[2]lad01_1314_1516!$A$1:$AW$1,1,FALSE)),0,1)</f>
        <v>0</v>
      </c>
      <c r="IX29">
        <f t="shared" si="0"/>
        <v>47</v>
      </c>
    </row>
    <row r="30" spans="2:258" ht="217.5" hidden="1" x14ac:dyDescent="0.35">
      <c r="B30" s="1" t="s">
        <v>859</v>
      </c>
      <c r="C30" s="1" t="s">
        <v>52</v>
      </c>
      <c r="D30" s="1" t="s">
        <v>1547</v>
      </c>
      <c r="E30" t="s">
        <v>778</v>
      </c>
      <c r="F30" t="s">
        <v>778</v>
      </c>
      <c r="G30" t="s">
        <v>778</v>
      </c>
      <c r="H30" t="s">
        <v>778</v>
      </c>
      <c r="I30" t="s">
        <v>778</v>
      </c>
      <c r="J30" t="s">
        <v>778</v>
      </c>
      <c r="K30" t="s">
        <v>778</v>
      </c>
      <c r="Q30" t="s">
        <v>778</v>
      </c>
      <c r="R30" t="s">
        <v>778</v>
      </c>
      <c r="FJ30" t="s">
        <v>778</v>
      </c>
      <c r="FK30" t="s">
        <v>778</v>
      </c>
      <c r="FN30" t="s">
        <v>778</v>
      </c>
      <c r="FO30" t="s">
        <v>778</v>
      </c>
      <c r="FQ30" t="s">
        <v>778</v>
      </c>
      <c r="FU30" t="s">
        <v>778</v>
      </c>
      <c r="FV30" t="s">
        <v>778</v>
      </c>
      <c r="GE30" t="s">
        <v>778</v>
      </c>
      <c r="GF30" t="s">
        <v>778</v>
      </c>
      <c r="GG30" t="s">
        <v>778</v>
      </c>
      <c r="GH30" t="s">
        <v>778</v>
      </c>
      <c r="GI30" t="s">
        <v>778</v>
      </c>
      <c r="GJ30" t="s">
        <v>778</v>
      </c>
      <c r="GK30" t="s">
        <v>778</v>
      </c>
      <c r="GM30" t="s">
        <v>778</v>
      </c>
      <c r="GN30" t="s">
        <v>778</v>
      </c>
      <c r="GO30" t="s">
        <v>778</v>
      </c>
      <c r="GP30" t="s">
        <v>778</v>
      </c>
      <c r="GQ30" t="s">
        <v>778</v>
      </c>
      <c r="GR30" t="s">
        <v>778</v>
      </c>
      <c r="GS30" t="s">
        <v>778</v>
      </c>
      <c r="GY30" t="s">
        <v>778</v>
      </c>
      <c r="HA30" t="s">
        <v>778</v>
      </c>
      <c r="HP30" t="s">
        <v>778</v>
      </c>
      <c r="HS30" t="s">
        <v>778</v>
      </c>
      <c r="HX30" t="s">
        <v>778</v>
      </c>
      <c r="HY30" t="s">
        <v>778</v>
      </c>
      <c r="IB30" t="s">
        <v>778</v>
      </c>
      <c r="IC30" t="s">
        <v>778</v>
      </c>
      <c r="IE30" t="s">
        <v>778</v>
      </c>
      <c r="IF30" t="s">
        <v>778</v>
      </c>
      <c r="IG30" t="s">
        <v>778</v>
      </c>
      <c r="IH30" t="s">
        <v>778</v>
      </c>
      <c r="II30" t="s">
        <v>778</v>
      </c>
      <c r="IJ30" t="s">
        <v>778</v>
      </c>
      <c r="IK30" t="s">
        <v>778</v>
      </c>
      <c r="IL30" t="s">
        <v>778</v>
      </c>
      <c r="IM30" t="s">
        <v>778</v>
      </c>
      <c r="IX30">
        <f t="shared" si="0"/>
        <v>0</v>
      </c>
    </row>
    <row r="31" spans="2:258" ht="188.5" hidden="1" x14ac:dyDescent="0.35">
      <c r="B31" s="1" t="s">
        <v>859</v>
      </c>
      <c r="C31" s="1" t="s">
        <v>52</v>
      </c>
      <c r="D31" s="1" t="s">
        <v>889</v>
      </c>
      <c r="E31" t="s">
        <v>778</v>
      </c>
      <c r="F31" t="s">
        <v>778</v>
      </c>
      <c r="G31" t="s">
        <v>778</v>
      </c>
      <c r="H31" t="s">
        <v>778</v>
      </c>
      <c r="I31" t="s">
        <v>778</v>
      </c>
      <c r="J31" t="s">
        <v>778</v>
      </c>
      <c r="K31" t="s">
        <v>778</v>
      </c>
      <c r="L31" t="s">
        <v>778</v>
      </c>
      <c r="M31" t="s">
        <v>778</v>
      </c>
      <c r="N31" t="s">
        <v>778</v>
      </c>
      <c r="AD31" t="s">
        <v>778</v>
      </c>
      <c r="AE31" t="s">
        <v>778</v>
      </c>
      <c r="AF31" t="s">
        <v>778</v>
      </c>
      <c r="FJ31" t="s">
        <v>778</v>
      </c>
      <c r="FK31" t="s">
        <v>778</v>
      </c>
      <c r="FN31" t="s">
        <v>778</v>
      </c>
      <c r="FO31" t="s">
        <v>778</v>
      </c>
      <c r="FQ31" t="s">
        <v>778</v>
      </c>
      <c r="FS31" t="s">
        <v>778</v>
      </c>
      <c r="GE31" t="s">
        <v>778</v>
      </c>
      <c r="GF31" t="s">
        <v>778</v>
      </c>
      <c r="GG31" t="s">
        <v>778</v>
      </c>
      <c r="GH31" t="s">
        <v>778</v>
      </c>
      <c r="GI31" t="s">
        <v>778</v>
      </c>
      <c r="GJ31" t="s">
        <v>778</v>
      </c>
      <c r="GK31" t="s">
        <v>778</v>
      </c>
      <c r="GM31" t="s">
        <v>778</v>
      </c>
      <c r="GN31" t="s">
        <v>778</v>
      </c>
      <c r="GO31" t="s">
        <v>778</v>
      </c>
      <c r="GP31" t="s">
        <v>778</v>
      </c>
      <c r="GQ31" t="s">
        <v>778</v>
      </c>
      <c r="GR31" t="s">
        <v>778</v>
      </c>
      <c r="GS31" t="s">
        <v>778</v>
      </c>
      <c r="GY31" t="s">
        <v>778</v>
      </c>
      <c r="HA31" t="s">
        <v>778</v>
      </c>
      <c r="HP31" t="s">
        <v>778</v>
      </c>
      <c r="HS31" t="s">
        <v>778</v>
      </c>
      <c r="HX31" t="s">
        <v>778</v>
      </c>
      <c r="HY31" t="s">
        <v>778</v>
      </c>
      <c r="IB31" t="s">
        <v>778</v>
      </c>
      <c r="IC31" t="s">
        <v>778</v>
      </c>
      <c r="IE31" t="s">
        <v>778</v>
      </c>
      <c r="IF31" t="s">
        <v>778</v>
      </c>
      <c r="IG31" t="s">
        <v>778</v>
      </c>
      <c r="IH31" t="s">
        <v>778</v>
      </c>
      <c r="II31" t="s">
        <v>778</v>
      </c>
      <c r="IJ31" t="s">
        <v>778</v>
      </c>
      <c r="IK31" t="s">
        <v>778</v>
      </c>
      <c r="IL31" t="s">
        <v>778</v>
      </c>
      <c r="IM31" t="s">
        <v>778</v>
      </c>
      <c r="IX31">
        <f t="shared" si="0"/>
        <v>0</v>
      </c>
    </row>
    <row r="32" spans="2:258" ht="203" hidden="1" x14ac:dyDescent="0.35">
      <c r="B32" s="1" t="s">
        <v>859</v>
      </c>
      <c r="C32" s="1" t="s">
        <v>52</v>
      </c>
      <c r="D32" s="1" t="s">
        <v>890</v>
      </c>
      <c r="E32" t="s">
        <v>778</v>
      </c>
      <c r="F32" t="s">
        <v>778</v>
      </c>
      <c r="G32" t="s">
        <v>778</v>
      </c>
      <c r="H32" t="s">
        <v>778</v>
      </c>
      <c r="I32" t="s">
        <v>778</v>
      </c>
      <c r="J32" t="s">
        <v>778</v>
      </c>
      <c r="K32" t="s">
        <v>778</v>
      </c>
      <c r="L32" t="s">
        <v>778</v>
      </c>
      <c r="M32" t="s">
        <v>778</v>
      </c>
      <c r="N32" t="s">
        <v>778</v>
      </c>
      <c r="FJ32" t="s">
        <v>778</v>
      </c>
      <c r="FK32" t="s">
        <v>778</v>
      </c>
      <c r="FN32" t="s">
        <v>778</v>
      </c>
      <c r="FO32" t="s">
        <v>778</v>
      </c>
      <c r="FQ32" t="s">
        <v>778</v>
      </c>
      <c r="FU32" t="s">
        <v>778</v>
      </c>
      <c r="FV32" t="s">
        <v>778</v>
      </c>
      <c r="GE32" t="s">
        <v>778</v>
      </c>
      <c r="GF32" t="s">
        <v>778</v>
      </c>
      <c r="GG32" t="s">
        <v>778</v>
      </c>
      <c r="GH32" t="s">
        <v>778</v>
      </c>
      <c r="GI32" t="s">
        <v>778</v>
      </c>
      <c r="GJ32" t="s">
        <v>778</v>
      </c>
      <c r="GK32" t="s">
        <v>778</v>
      </c>
      <c r="GM32" t="s">
        <v>778</v>
      </c>
      <c r="GN32" t="s">
        <v>778</v>
      </c>
      <c r="GO32" t="s">
        <v>778</v>
      </c>
      <c r="GP32" t="s">
        <v>778</v>
      </c>
      <c r="GQ32" t="s">
        <v>778</v>
      </c>
      <c r="GR32" t="s">
        <v>778</v>
      </c>
      <c r="GS32" t="s">
        <v>778</v>
      </c>
      <c r="GY32" t="s">
        <v>778</v>
      </c>
      <c r="HA32" t="s">
        <v>778</v>
      </c>
      <c r="HP32" t="s">
        <v>778</v>
      </c>
      <c r="HS32" t="s">
        <v>778</v>
      </c>
      <c r="HX32" t="s">
        <v>778</v>
      </c>
      <c r="HY32" t="s">
        <v>778</v>
      </c>
      <c r="IB32" t="s">
        <v>778</v>
      </c>
      <c r="IC32" t="s">
        <v>778</v>
      </c>
      <c r="IE32" t="s">
        <v>778</v>
      </c>
      <c r="IF32" t="s">
        <v>778</v>
      </c>
      <c r="IG32" t="s">
        <v>778</v>
      </c>
      <c r="IH32" t="s">
        <v>778</v>
      </c>
      <c r="II32" t="s">
        <v>778</v>
      </c>
      <c r="IJ32" t="s">
        <v>778</v>
      </c>
      <c r="IK32" t="s">
        <v>778</v>
      </c>
      <c r="IL32" t="s">
        <v>778</v>
      </c>
      <c r="IM32" t="s">
        <v>778</v>
      </c>
      <c r="IX32">
        <f t="shared" si="0"/>
        <v>0</v>
      </c>
    </row>
    <row r="33" spans="2:283" ht="217.5" hidden="1" x14ac:dyDescent="0.35">
      <c r="B33" s="1" t="s">
        <v>859</v>
      </c>
      <c r="C33" s="1" t="s">
        <v>52</v>
      </c>
      <c r="D33" s="1" t="s">
        <v>1548</v>
      </c>
      <c r="E33" t="s">
        <v>778</v>
      </c>
      <c r="F33" t="s">
        <v>778</v>
      </c>
      <c r="G33" t="s">
        <v>778</v>
      </c>
      <c r="H33" t="s">
        <v>778</v>
      </c>
      <c r="I33" t="s">
        <v>778</v>
      </c>
      <c r="J33" t="s">
        <v>778</v>
      </c>
      <c r="K33" t="s">
        <v>778</v>
      </c>
      <c r="W33" t="s">
        <v>778</v>
      </c>
      <c r="X33" t="s">
        <v>778</v>
      </c>
      <c r="AD33" t="s">
        <v>778</v>
      </c>
      <c r="AE33" t="s">
        <v>778</v>
      </c>
      <c r="AF33" t="s">
        <v>778</v>
      </c>
      <c r="FJ33" t="s">
        <v>778</v>
      </c>
      <c r="FK33" t="s">
        <v>778</v>
      </c>
      <c r="FN33" t="s">
        <v>778</v>
      </c>
      <c r="FO33" t="s">
        <v>778</v>
      </c>
      <c r="FQ33" t="s">
        <v>778</v>
      </c>
      <c r="FS33" t="s">
        <v>778</v>
      </c>
      <c r="GE33" t="s">
        <v>778</v>
      </c>
      <c r="GF33" t="s">
        <v>778</v>
      </c>
      <c r="GG33" t="s">
        <v>778</v>
      </c>
      <c r="GH33" t="s">
        <v>778</v>
      </c>
      <c r="GI33" t="s">
        <v>778</v>
      </c>
      <c r="GJ33" t="s">
        <v>778</v>
      </c>
      <c r="GK33" t="s">
        <v>778</v>
      </c>
      <c r="GM33" t="s">
        <v>778</v>
      </c>
      <c r="GN33" t="s">
        <v>778</v>
      </c>
      <c r="GO33" t="s">
        <v>778</v>
      </c>
      <c r="GP33" t="s">
        <v>778</v>
      </c>
      <c r="GQ33" t="s">
        <v>778</v>
      </c>
      <c r="GR33" t="s">
        <v>778</v>
      </c>
      <c r="GS33" t="s">
        <v>778</v>
      </c>
      <c r="GY33" t="s">
        <v>778</v>
      </c>
      <c r="HA33" t="s">
        <v>778</v>
      </c>
      <c r="HP33" t="s">
        <v>778</v>
      </c>
      <c r="HS33" t="s">
        <v>778</v>
      </c>
      <c r="HX33" t="s">
        <v>778</v>
      </c>
      <c r="HY33" t="s">
        <v>778</v>
      </c>
      <c r="IB33" t="s">
        <v>778</v>
      </c>
      <c r="IC33" t="s">
        <v>778</v>
      </c>
      <c r="IE33" t="s">
        <v>778</v>
      </c>
      <c r="IF33" t="s">
        <v>778</v>
      </c>
      <c r="IG33" t="s">
        <v>778</v>
      </c>
      <c r="IH33" t="s">
        <v>778</v>
      </c>
      <c r="II33" t="s">
        <v>778</v>
      </c>
      <c r="IJ33" t="s">
        <v>778</v>
      </c>
      <c r="IK33" t="s">
        <v>778</v>
      </c>
      <c r="IL33" t="s">
        <v>778</v>
      </c>
      <c r="IM33" t="s">
        <v>778</v>
      </c>
      <c r="IN33" t="s">
        <v>1549</v>
      </c>
      <c r="IO33" t="s">
        <v>1549</v>
      </c>
      <c r="IP33" t="s">
        <v>1549</v>
      </c>
      <c r="IQ33" t="s">
        <v>1549</v>
      </c>
      <c r="IR33" t="s">
        <v>1549</v>
      </c>
      <c r="IS33" t="s">
        <v>1549</v>
      </c>
      <c r="IT33" t="s">
        <v>1549</v>
      </c>
      <c r="IU33" t="s">
        <v>1549</v>
      </c>
      <c r="IV33" t="s">
        <v>1549</v>
      </c>
      <c r="IW33" t="s">
        <v>1549</v>
      </c>
      <c r="IX33" t="s">
        <v>1549</v>
      </c>
      <c r="IY33" t="s">
        <v>1549</v>
      </c>
      <c r="IZ33" t="s">
        <v>1549</v>
      </c>
    </row>
    <row r="34" spans="2:283" ht="232" hidden="1" x14ac:dyDescent="0.35">
      <c r="B34" s="1" t="s">
        <v>859</v>
      </c>
      <c r="C34" s="1" t="s">
        <v>52</v>
      </c>
      <c r="D34" s="1" t="s">
        <v>1550</v>
      </c>
      <c r="E34" t="s">
        <v>778</v>
      </c>
      <c r="F34" t="s">
        <v>778</v>
      </c>
      <c r="G34" t="s">
        <v>778</v>
      </c>
      <c r="H34" t="s">
        <v>778</v>
      </c>
      <c r="I34" t="s">
        <v>778</v>
      </c>
      <c r="J34" t="s">
        <v>778</v>
      </c>
      <c r="K34" t="s">
        <v>778</v>
      </c>
      <c r="W34" t="s">
        <v>778</v>
      </c>
      <c r="X34" t="s">
        <v>778</v>
      </c>
      <c r="FJ34" t="s">
        <v>778</v>
      </c>
      <c r="FK34" t="s">
        <v>778</v>
      </c>
      <c r="FN34" t="s">
        <v>778</v>
      </c>
      <c r="FO34" t="s">
        <v>778</v>
      </c>
      <c r="FQ34" t="s">
        <v>778</v>
      </c>
      <c r="FU34" t="s">
        <v>778</v>
      </c>
      <c r="FV34" t="s">
        <v>778</v>
      </c>
      <c r="GE34" t="s">
        <v>778</v>
      </c>
      <c r="GF34" t="s">
        <v>778</v>
      </c>
      <c r="GG34" t="s">
        <v>778</v>
      </c>
      <c r="GH34" t="s">
        <v>778</v>
      </c>
      <c r="GI34" t="s">
        <v>778</v>
      </c>
      <c r="GJ34" t="s">
        <v>778</v>
      </c>
      <c r="GK34" t="s">
        <v>778</v>
      </c>
      <c r="GM34" t="s">
        <v>778</v>
      </c>
      <c r="GN34" t="s">
        <v>778</v>
      </c>
      <c r="GO34" t="s">
        <v>778</v>
      </c>
      <c r="GP34" t="s">
        <v>778</v>
      </c>
      <c r="GQ34" t="s">
        <v>778</v>
      </c>
      <c r="GR34" t="s">
        <v>778</v>
      </c>
      <c r="GS34" t="s">
        <v>778</v>
      </c>
      <c r="GY34" t="s">
        <v>778</v>
      </c>
      <c r="HA34" t="s">
        <v>778</v>
      </c>
      <c r="HP34" t="s">
        <v>778</v>
      </c>
      <c r="HS34" t="s">
        <v>778</v>
      </c>
      <c r="HX34" t="s">
        <v>778</v>
      </c>
      <c r="HY34" t="s">
        <v>778</v>
      </c>
      <c r="IB34" t="s">
        <v>778</v>
      </c>
      <c r="IC34" t="s">
        <v>778</v>
      </c>
      <c r="IE34" t="s">
        <v>778</v>
      </c>
      <c r="IF34" t="s">
        <v>778</v>
      </c>
      <c r="IG34" t="s">
        <v>778</v>
      </c>
      <c r="IH34" t="s">
        <v>778</v>
      </c>
      <c r="II34" t="s">
        <v>778</v>
      </c>
      <c r="IJ34" t="s">
        <v>778</v>
      </c>
      <c r="IK34" t="s">
        <v>778</v>
      </c>
      <c r="IL34" t="s">
        <v>778</v>
      </c>
      <c r="IM34" t="s">
        <v>778</v>
      </c>
    </row>
    <row r="35" spans="2:283" ht="203" hidden="1" x14ac:dyDescent="0.35">
      <c r="B35" s="1" t="s">
        <v>859</v>
      </c>
      <c r="C35" s="1" t="s">
        <v>52</v>
      </c>
      <c r="D35" s="1" t="s">
        <v>893</v>
      </c>
      <c r="E35" t="s">
        <v>778</v>
      </c>
      <c r="F35" t="s">
        <v>778</v>
      </c>
      <c r="G35" t="s">
        <v>778</v>
      </c>
      <c r="H35" t="s">
        <v>778</v>
      </c>
      <c r="I35" t="s">
        <v>778</v>
      </c>
      <c r="J35" t="s">
        <v>778</v>
      </c>
      <c r="K35" t="s">
        <v>778</v>
      </c>
      <c r="S35" t="s">
        <v>778</v>
      </c>
      <c r="T35" t="s">
        <v>778</v>
      </c>
      <c r="FJ35" t="s">
        <v>778</v>
      </c>
      <c r="FK35" t="s">
        <v>778</v>
      </c>
      <c r="FN35" t="s">
        <v>778</v>
      </c>
      <c r="FO35" t="s">
        <v>778</v>
      </c>
      <c r="FQ35" t="s">
        <v>778</v>
      </c>
      <c r="FU35" t="s">
        <v>778</v>
      </c>
      <c r="FV35" t="s">
        <v>778</v>
      </c>
      <c r="GE35" t="s">
        <v>778</v>
      </c>
      <c r="GF35" t="s">
        <v>778</v>
      </c>
      <c r="GG35" t="s">
        <v>778</v>
      </c>
      <c r="GH35" t="s">
        <v>778</v>
      </c>
      <c r="GI35" t="s">
        <v>778</v>
      </c>
      <c r="GJ35" t="s">
        <v>778</v>
      </c>
      <c r="GK35" t="s">
        <v>778</v>
      </c>
      <c r="GM35" t="s">
        <v>778</v>
      </c>
      <c r="GN35" t="s">
        <v>778</v>
      </c>
      <c r="GO35" t="s">
        <v>778</v>
      </c>
      <c r="GP35" t="s">
        <v>778</v>
      </c>
      <c r="GQ35" t="s">
        <v>778</v>
      </c>
      <c r="GR35" t="s">
        <v>778</v>
      </c>
      <c r="GS35" t="s">
        <v>778</v>
      </c>
      <c r="GY35" t="s">
        <v>778</v>
      </c>
      <c r="HA35" t="s">
        <v>778</v>
      </c>
      <c r="HP35" t="s">
        <v>778</v>
      </c>
      <c r="HS35" t="s">
        <v>778</v>
      </c>
      <c r="HX35" t="s">
        <v>778</v>
      </c>
      <c r="HY35" t="s">
        <v>778</v>
      </c>
      <c r="IB35" t="s">
        <v>778</v>
      </c>
      <c r="IC35" t="s">
        <v>778</v>
      </c>
      <c r="IE35" t="s">
        <v>778</v>
      </c>
      <c r="IF35" t="s">
        <v>778</v>
      </c>
      <c r="IG35" t="s">
        <v>778</v>
      </c>
      <c r="IH35" t="s">
        <v>778</v>
      </c>
      <c r="II35" t="s">
        <v>778</v>
      </c>
      <c r="IJ35" t="s">
        <v>778</v>
      </c>
      <c r="IK35" t="s">
        <v>778</v>
      </c>
      <c r="IL35" t="s">
        <v>778</v>
      </c>
      <c r="IM35" t="s">
        <v>778</v>
      </c>
      <c r="IY35">
        <f>SUM(E35:IX35)</f>
        <v>0</v>
      </c>
    </row>
    <row r="36" spans="2:283" ht="203" hidden="1" x14ac:dyDescent="0.35">
      <c r="B36" s="1" t="s">
        <v>859</v>
      </c>
      <c r="C36" s="1" t="s">
        <v>52</v>
      </c>
      <c r="D36" s="1" t="s">
        <v>894</v>
      </c>
      <c r="E36" t="s">
        <v>778</v>
      </c>
      <c r="F36" t="s">
        <v>778</v>
      </c>
      <c r="G36" t="s">
        <v>778</v>
      </c>
      <c r="H36" t="s">
        <v>778</v>
      </c>
      <c r="I36" t="s">
        <v>778</v>
      </c>
      <c r="AF36" t="s">
        <v>778</v>
      </c>
      <c r="AJ36" t="s">
        <v>778</v>
      </c>
      <c r="BO36" t="s">
        <v>778</v>
      </c>
      <c r="FJ36" t="s">
        <v>778</v>
      </c>
      <c r="FK36" t="s">
        <v>778</v>
      </c>
      <c r="FQ36" t="s">
        <v>778</v>
      </c>
      <c r="FR36" t="s">
        <v>778</v>
      </c>
      <c r="FU36" t="s">
        <v>778</v>
      </c>
      <c r="FV36" t="s">
        <v>778</v>
      </c>
      <c r="IK36" t="s">
        <v>778</v>
      </c>
      <c r="IL36" t="s">
        <v>778</v>
      </c>
      <c r="IM36" t="s">
        <v>778</v>
      </c>
      <c r="IX36">
        <f>SUM(E36:IW36)</f>
        <v>0</v>
      </c>
    </row>
    <row r="37" spans="2:283" ht="232" hidden="1" x14ac:dyDescent="0.35">
      <c r="B37" s="1" t="s">
        <v>859</v>
      </c>
      <c r="C37" s="1" t="s">
        <v>52</v>
      </c>
      <c r="D37" s="1" t="s">
        <v>895</v>
      </c>
      <c r="E37" t="s">
        <v>778</v>
      </c>
      <c r="F37" t="s">
        <v>778</v>
      </c>
      <c r="G37" t="s">
        <v>778</v>
      </c>
      <c r="H37" t="s">
        <v>778</v>
      </c>
      <c r="I37" t="s">
        <v>778</v>
      </c>
      <c r="AE37" t="s">
        <v>778</v>
      </c>
      <c r="AF37" t="s">
        <v>778</v>
      </c>
      <c r="AJ37" t="s">
        <v>778</v>
      </c>
      <c r="FJ37" t="s">
        <v>778</v>
      </c>
      <c r="FO37" t="s">
        <v>778</v>
      </c>
      <c r="FU37" t="s">
        <v>778</v>
      </c>
      <c r="FV37" t="s">
        <v>778</v>
      </c>
      <c r="FW37" t="s">
        <v>778</v>
      </c>
      <c r="FX37" t="s">
        <v>778</v>
      </c>
      <c r="FY37" t="s">
        <v>778</v>
      </c>
      <c r="HW37" t="s">
        <v>778</v>
      </c>
      <c r="IX37">
        <f>SUM(E37:IW37)</f>
        <v>0</v>
      </c>
    </row>
    <row r="38" spans="2:283" ht="232" hidden="1" x14ac:dyDescent="0.35">
      <c r="B38" s="1" t="s">
        <v>859</v>
      </c>
      <c r="C38" s="1" t="s">
        <v>52</v>
      </c>
      <c r="D38" s="1" t="s">
        <v>896</v>
      </c>
      <c r="E38" t="s">
        <v>778</v>
      </c>
      <c r="F38" t="s">
        <v>778</v>
      </c>
      <c r="G38" t="s">
        <v>778</v>
      </c>
      <c r="H38" t="s">
        <v>778</v>
      </c>
      <c r="I38" t="s">
        <v>778</v>
      </c>
      <c r="J38" t="s">
        <v>778</v>
      </c>
      <c r="K38" t="s">
        <v>778</v>
      </c>
      <c r="FJ38" t="s">
        <v>778</v>
      </c>
      <c r="FO38" t="s">
        <v>778</v>
      </c>
      <c r="FU38" t="s">
        <v>778</v>
      </c>
      <c r="FV38" t="s">
        <v>778</v>
      </c>
      <c r="FW38" t="s">
        <v>778</v>
      </c>
      <c r="FX38" t="s">
        <v>778</v>
      </c>
      <c r="FY38" t="s">
        <v>778</v>
      </c>
      <c r="HW38" t="s">
        <v>778</v>
      </c>
    </row>
    <row r="39" spans="2:283" ht="101.5" hidden="1" x14ac:dyDescent="0.35">
      <c r="B39" s="1" t="s">
        <v>859</v>
      </c>
      <c r="C39" s="1" t="s">
        <v>89</v>
      </c>
      <c r="D39" s="1" t="s">
        <v>897</v>
      </c>
      <c r="E39" t="s">
        <v>778</v>
      </c>
      <c r="F39" t="s">
        <v>778</v>
      </c>
      <c r="G39" t="s">
        <v>778</v>
      </c>
      <c r="H39" t="s">
        <v>778</v>
      </c>
      <c r="I39" t="s">
        <v>778</v>
      </c>
      <c r="AG39" t="s">
        <v>778</v>
      </c>
      <c r="AH39" t="s">
        <v>778</v>
      </c>
      <c r="AM39" t="s">
        <v>778</v>
      </c>
      <c r="AP39" t="s">
        <v>778</v>
      </c>
      <c r="AQ39" t="s">
        <v>778</v>
      </c>
      <c r="FH39" t="s">
        <v>778</v>
      </c>
      <c r="IX39" t="s">
        <v>778</v>
      </c>
      <c r="IY39" t="s">
        <v>778</v>
      </c>
      <c r="IZ39" t="s">
        <v>778</v>
      </c>
      <c r="JA39" t="s">
        <v>778</v>
      </c>
      <c r="JB39" t="s">
        <v>778</v>
      </c>
      <c r="JC39" t="s">
        <v>778</v>
      </c>
      <c r="JD39" t="s">
        <v>778</v>
      </c>
      <c r="JE39" t="s">
        <v>778</v>
      </c>
      <c r="JF39" t="s">
        <v>778</v>
      </c>
      <c r="JG39" t="s">
        <v>778</v>
      </c>
      <c r="JH39" t="s">
        <v>778</v>
      </c>
      <c r="JI39" t="s">
        <v>778</v>
      </c>
      <c r="JJ39" t="s">
        <v>778</v>
      </c>
      <c r="JK39" t="s">
        <v>778</v>
      </c>
      <c r="JL39" t="s">
        <v>778</v>
      </c>
      <c r="JM39" t="s">
        <v>778</v>
      </c>
      <c r="JN39" t="s">
        <v>778</v>
      </c>
      <c r="JO39" t="s">
        <v>778</v>
      </c>
      <c r="JP39" t="s">
        <v>778</v>
      </c>
      <c r="JQ39" t="s">
        <v>778</v>
      </c>
      <c r="JR39" t="s">
        <v>778</v>
      </c>
    </row>
    <row r="40" spans="2:283" ht="72.5" hidden="1" x14ac:dyDescent="0.35">
      <c r="B40" s="1" t="s">
        <v>859</v>
      </c>
      <c r="C40" s="1" t="s">
        <v>89</v>
      </c>
      <c r="D40" s="1" t="s">
        <v>898</v>
      </c>
      <c r="E40" t="s">
        <v>778</v>
      </c>
      <c r="F40" t="s">
        <v>778</v>
      </c>
      <c r="G40" t="s">
        <v>778</v>
      </c>
      <c r="H40" t="s">
        <v>778</v>
      </c>
      <c r="I40" t="s">
        <v>778</v>
      </c>
      <c r="AG40" t="s">
        <v>778</v>
      </c>
      <c r="AH40" t="s">
        <v>778</v>
      </c>
      <c r="AP40" t="s">
        <v>778</v>
      </c>
      <c r="AQ40" t="s">
        <v>778</v>
      </c>
      <c r="FH40" t="s">
        <v>778</v>
      </c>
      <c r="IX40" t="s">
        <v>778</v>
      </c>
    </row>
    <row r="41" spans="2:283" ht="101.5" hidden="1" x14ac:dyDescent="0.35">
      <c r="B41" s="1" t="s">
        <v>859</v>
      </c>
      <c r="C41" s="1" t="s">
        <v>89</v>
      </c>
      <c r="D41" s="1" t="s">
        <v>1551</v>
      </c>
      <c r="E41" t="s">
        <v>778</v>
      </c>
      <c r="F41" t="s">
        <v>778</v>
      </c>
      <c r="G41" t="s">
        <v>778</v>
      </c>
      <c r="H41" t="s">
        <v>778</v>
      </c>
      <c r="I41" t="s">
        <v>778</v>
      </c>
      <c r="J41" t="s">
        <v>778</v>
      </c>
      <c r="K41" t="s">
        <v>778</v>
      </c>
      <c r="L41" t="s">
        <v>778</v>
      </c>
      <c r="M41" t="s">
        <v>778</v>
      </c>
      <c r="N41" t="s">
        <v>778</v>
      </c>
      <c r="O41" t="s">
        <v>778</v>
      </c>
      <c r="P41" t="s">
        <v>778</v>
      </c>
      <c r="AG41" t="s">
        <v>778</v>
      </c>
      <c r="AH41" t="s">
        <v>778</v>
      </c>
      <c r="AM41" t="s">
        <v>778</v>
      </c>
      <c r="AP41" t="s">
        <v>778</v>
      </c>
      <c r="AQ41" t="s">
        <v>778</v>
      </c>
      <c r="FH41" t="s">
        <v>778</v>
      </c>
      <c r="IV41" t="s">
        <v>778</v>
      </c>
      <c r="IX41" t="s">
        <v>778</v>
      </c>
      <c r="IY41" t="s">
        <v>778</v>
      </c>
      <c r="IZ41" t="s">
        <v>778</v>
      </c>
      <c r="JA41" t="s">
        <v>778</v>
      </c>
      <c r="JB41" t="s">
        <v>778</v>
      </c>
      <c r="JC41" t="s">
        <v>778</v>
      </c>
      <c r="JD41" t="s">
        <v>778</v>
      </c>
      <c r="JE41" t="s">
        <v>778</v>
      </c>
      <c r="JF41" t="s">
        <v>778</v>
      </c>
      <c r="JG41" t="s">
        <v>778</v>
      </c>
      <c r="JH41" t="s">
        <v>778</v>
      </c>
      <c r="JI41" t="s">
        <v>778</v>
      </c>
      <c r="JJ41" t="s">
        <v>778</v>
      </c>
      <c r="JK41" t="s">
        <v>778</v>
      </c>
      <c r="JL41" t="s">
        <v>778</v>
      </c>
      <c r="JM41" t="s">
        <v>778</v>
      </c>
      <c r="JN41" t="s">
        <v>778</v>
      </c>
      <c r="JO41" t="s">
        <v>778</v>
      </c>
      <c r="JP41" t="s">
        <v>778</v>
      </c>
      <c r="JQ41" t="s">
        <v>778</v>
      </c>
      <c r="JR41" t="s">
        <v>778</v>
      </c>
    </row>
    <row r="42" spans="2:283" ht="87" hidden="1" x14ac:dyDescent="0.35">
      <c r="B42" s="1" t="s">
        <v>859</v>
      </c>
      <c r="C42" s="1" t="s">
        <v>71</v>
      </c>
      <c r="D42" s="1" t="s">
        <v>900</v>
      </c>
      <c r="E42" t="s">
        <v>778</v>
      </c>
      <c r="F42" t="s">
        <v>778</v>
      </c>
      <c r="G42" t="s">
        <v>778</v>
      </c>
      <c r="H42" t="s">
        <v>778</v>
      </c>
      <c r="I42" t="s">
        <v>778</v>
      </c>
      <c r="FI42" t="s">
        <v>778</v>
      </c>
      <c r="GB42" t="s">
        <v>778</v>
      </c>
      <c r="GC42" t="s">
        <v>778</v>
      </c>
      <c r="GD42" t="s">
        <v>778</v>
      </c>
    </row>
    <row r="43" spans="2:283" ht="72.5" hidden="1" x14ac:dyDescent="0.35">
      <c r="B43" s="1" t="s">
        <v>859</v>
      </c>
      <c r="C43" s="1" t="s">
        <v>71</v>
      </c>
      <c r="D43" s="1" t="s">
        <v>901</v>
      </c>
      <c r="E43" t="s">
        <v>778</v>
      </c>
      <c r="F43" t="s">
        <v>778</v>
      </c>
      <c r="G43" t="s">
        <v>778</v>
      </c>
      <c r="H43" t="s">
        <v>778</v>
      </c>
      <c r="I43" t="s">
        <v>778</v>
      </c>
      <c r="J43" t="s">
        <v>778</v>
      </c>
      <c r="K43" t="s">
        <v>778</v>
      </c>
      <c r="L43" t="s">
        <v>778</v>
      </c>
      <c r="M43" t="s">
        <v>778</v>
      </c>
      <c r="N43" t="s">
        <v>778</v>
      </c>
      <c r="AH43" t="s">
        <v>778</v>
      </c>
      <c r="AM43" t="s">
        <v>778</v>
      </c>
      <c r="AP43" t="s">
        <v>778</v>
      </c>
      <c r="FH43" t="s">
        <v>778</v>
      </c>
      <c r="FI43" t="s">
        <v>778</v>
      </c>
      <c r="GA43" t="s">
        <v>778</v>
      </c>
      <c r="GL43" t="s">
        <v>778</v>
      </c>
      <c r="GT43" t="s">
        <v>778</v>
      </c>
      <c r="GU43" t="s">
        <v>778</v>
      </c>
      <c r="GV43" t="s">
        <v>778</v>
      </c>
      <c r="GX43" t="s">
        <v>778</v>
      </c>
      <c r="HD43" t="s">
        <v>778</v>
      </c>
      <c r="HE43" t="s">
        <v>778</v>
      </c>
      <c r="HL43" t="s">
        <v>778</v>
      </c>
      <c r="HM43" t="s">
        <v>778</v>
      </c>
      <c r="HN43" t="s">
        <v>778</v>
      </c>
      <c r="HO43" t="s">
        <v>778</v>
      </c>
      <c r="HR43" t="s">
        <v>778</v>
      </c>
      <c r="HT43" t="s">
        <v>778</v>
      </c>
      <c r="HU43" t="s">
        <v>778</v>
      </c>
      <c r="HV43" t="s">
        <v>778</v>
      </c>
      <c r="IN43" t="s">
        <v>778</v>
      </c>
      <c r="IO43" t="s">
        <v>778</v>
      </c>
      <c r="IS43" t="s">
        <v>778</v>
      </c>
      <c r="JS43" t="s">
        <v>778</v>
      </c>
      <c r="JT43" t="s">
        <v>778</v>
      </c>
      <c r="JU43" t="s">
        <v>778</v>
      </c>
      <c r="JV43" t="s">
        <v>778</v>
      </c>
      <c r="JW43">
        <f>SUM(E43:JV43)</f>
        <v>0</v>
      </c>
    </row>
    <row r="44" spans="2:283" ht="145" hidden="1" x14ac:dyDescent="0.35">
      <c r="B44" s="1" t="s">
        <v>859</v>
      </c>
      <c r="C44" s="1" t="s">
        <v>71</v>
      </c>
      <c r="D44" s="1" t="s">
        <v>902</v>
      </c>
      <c r="E44" t="s">
        <v>778</v>
      </c>
      <c r="F44" t="s">
        <v>778</v>
      </c>
      <c r="G44" t="s">
        <v>778</v>
      </c>
      <c r="H44" t="s">
        <v>778</v>
      </c>
      <c r="I44" t="s">
        <v>778</v>
      </c>
      <c r="J44" t="s">
        <v>778</v>
      </c>
      <c r="K44" t="s">
        <v>778</v>
      </c>
      <c r="L44" t="s">
        <v>778</v>
      </c>
      <c r="M44" t="s">
        <v>778</v>
      </c>
      <c r="N44" t="s">
        <v>778</v>
      </c>
      <c r="AG44" t="s">
        <v>778</v>
      </c>
      <c r="AH44" t="s">
        <v>778</v>
      </c>
      <c r="AM44" t="s">
        <v>778</v>
      </c>
      <c r="AP44" t="s">
        <v>778</v>
      </c>
      <c r="AQ44" t="s">
        <v>778</v>
      </c>
      <c r="FH44" t="s">
        <v>778</v>
      </c>
      <c r="FI44" t="s">
        <v>778</v>
      </c>
      <c r="GA44" t="s">
        <v>778</v>
      </c>
      <c r="GL44" t="s">
        <v>778</v>
      </c>
      <c r="GT44" t="s">
        <v>778</v>
      </c>
      <c r="GU44" t="s">
        <v>778</v>
      </c>
      <c r="GV44" t="s">
        <v>778</v>
      </c>
      <c r="GX44" t="s">
        <v>778</v>
      </c>
      <c r="HD44" t="s">
        <v>778</v>
      </c>
      <c r="HE44" t="s">
        <v>778</v>
      </c>
      <c r="HL44" t="s">
        <v>778</v>
      </c>
      <c r="HM44" t="s">
        <v>778</v>
      </c>
      <c r="HN44" t="s">
        <v>778</v>
      </c>
      <c r="HO44" t="s">
        <v>778</v>
      </c>
      <c r="HR44" t="s">
        <v>778</v>
      </c>
      <c r="HT44" t="s">
        <v>778</v>
      </c>
      <c r="HU44" t="s">
        <v>778</v>
      </c>
      <c r="HV44" t="s">
        <v>778</v>
      </c>
      <c r="IN44" t="s">
        <v>778</v>
      </c>
      <c r="IO44" t="s">
        <v>778</v>
      </c>
      <c r="IS44" t="s">
        <v>778</v>
      </c>
      <c r="JS44" t="s">
        <v>778</v>
      </c>
      <c r="JW44">
        <f>SUM(E44:JV44)</f>
        <v>0</v>
      </c>
    </row>
    <row r="45" spans="2:283" ht="130.5" hidden="1" x14ac:dyDescent="0.35">
      <c r="B45" s="1" t="s">
        <v>859</v>
      </c>
      <c r="C45" s="1" t="s">
        <v>71</v>
      </c>
      <c r="D45" s="1" t="s">
        <v>903</v>
      </c>
      <c r="E45" t="s">
        <v>778</v>
      </c>
      <c r="F45" t="s">
        <v>778</v>
      </c>
      <c r="G45" t="s">
        <v>778</v>
      </c>
      <c r="H45" t="s">
        <v>778</v>
      </c>
      <c r="I45" t="s">
        <v>778</v>
      </c>
      <c r="AG45" t="s">
        <v>778</v>
      </c>
      <c r="AH45" t="s">
        <v>778</v>
      </c>
      <c r="AM45" t="s">
        <v>778</v>
      </c>
      <c r="AP45" t="s">
        <v>778</v>
      </c>
      <c r="AQ45" t="s">
        <v>778</v>
      </c>
      <c r="FH45" t="s">
        <v>778</v>
      </c>
      <c r="FI45" t="s">
        <v>778</v>
      </c>
      <c r="GA45" t="s">
        <v>778</v>
      </c>
      <c r="GL45" t="s">
        <v>778</v>
      </c>
      <c r="GT45" t="s">
        <v>778</v>
      </c>
      <c r="GU45" t="s">
        <v>778</v>
      </c>
      <c r="GV45" t="s">
        <v>778</v>
      </c>
      <c r="GX45" t="s">
        <v>778</v>
      </c>
      <c r="HD45" t="s">
        <v>778</v>
      </c>
      <c r="HE45" t="s">
        <v>778</v>
      </c>
      <c r="HL45" t="s">
        <v>778</v>
      </c>
      <c r="HM45" t="s">
        <v>778</v>
      </c>
      <c r="HN45" t="s">
        <v>778</v>
      </c>
      <c r="HO45" t="s">
        <v>778</v>
      </c>
      <c r="HR45" t="s">
        <v>778</v>
      </c>
      <c r="HT45" t="s">
        <v>778</v>
      </c>
      <c r="HU45" t="s">
        <v>778</v>
      </c>
      <c r="HV45" t="s">
        <v>778</v>
      </c>
      <c r="IN45" t="s">
        <v>778</v>
      </c>
      <c r="IO45" t="s">
        <v>778</v>
      </c>
      <c r="IS45" t="s">
        <v>778</v>
      </c>
      <c r="JS45" t="s">
        <v>778</v>
      </c>
      <c r="JW45">
        <f>SUM(E45:JV45)</f>
        <v>0</v>
      </c>
    </row>
    <row r="46" spans="2:283" ht="101.5" hidden="1" x14ac:dyDescent="0.35">
      <c r="B46" s="1" t="s">
        <v>859</v>
      </c>
      <c r="C46" s="1" t="s">
        <v>82</v>
      </c>
      <c r="D46" s="1" t="s">
        <v>904</v>
      </c>
      <c r="E46" t="s">
        <v>778</v>
      </c>
      <c r="F46" t="s">
        <v>778</v>
      </c>
      <c r="G46" t="s">
        <v>778</v>
      </c>
      <c r="H46" t="s">
        <v>778</v>
      </c>
      <c r="I46" t="s">
        <v>778</v>
      </c>
      <c r="AC46" t="s">
        <v>778</v>
      </c>
      <c r="AF46" t="s">
        <v>778</v>
      </c>
      <c r="BE46" t="s">
        <v>778</v>
      </c>
      <c r="BF46" t="s">
        <v>778</v>
      </c>
      <c r="BH46" t="s">
        <v>778</v>
      </c>
      <c r="BI46" t="s">
        <v>778</v>
      </c>
      <c r="BJ46" t="s">
        <v>778</v>
      </c>
      <c r="JW46">
        <f>SUM(E46:JV46)</f>
        <v>0</v>
      </c>
    </row>
    <row r="47" spans="2:283" ht="116" hidden="1" x14ac:dyDescent="0.35">
      <c r="B47" s="1" t="s">
        <v>859</v>
      </c>
      <c r="C47" s="1" t="s">
        <v>82</v>
      </c>
      <c r="D47" s="1" t="s">
        <v>867</v>
      </c>
      <c r="E47" t="s">
        <v>778</v>
      </c>
      <c r="F47" t="s">
        <v>778</v>
      </c>
      <c r="G47" t="s">
        <v>778</v>
      </c>
      <c r="H47" t="s">
        <v>778</v>
      </c>
      <c r="I47" t="s">
        <v>778</v>
      </c>
      <c r="AC47" t="s">
        <v>778</v>
      </c>
      <c r="AF47" t="s">
        <v>778</v>
      </c>
      <c r="BE47" t="s">
        <v>778</v>
      </c>
      <c r="BF47" t="s">
        <v>778</v>
      </c>
      <c r="BK47" t="s">
        <v>778</v>
      </c>
      <c r="BL47" t="s">
        <v>778</v>
      </c>
      <c r="BM47" t="s">
        <v>778</v>
      </c>
      <c r="BN47" t="s">
        <v>778</v>
      </c>
      <c r="BP47" t="s">
        <v>778</v>
      </c>
      <c r="JW47">
        <f>SUM(E47:JV47)</f>
        <v>0</v>
      </c>
    </row>
  </sheetData>
  <autoFilter ref="A1:JW47" xr:uid="{7658A0A7-3FB6-453A-AC5F-C6671B244230}">
    <filterColumn colId="2">
      <filters>
        <filter val="Participation in education, training and NEET age 16 to 17 by local authority"/>
      </filters>
    </filterColumn>
    <filterColumn colId="46">
      <customFilters>
        <customFilter operator="notEqual" val=" "/>
      </customFilters>
    </filterColumn>
  </autoFilter>
  <phoneticPr fontId="5" type="noConversion"/>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271AF-904F-41A9-8A5F-8C54D9A0F7B1}">
  <sheetPr codeName="Sheet8"/>
  <dimension ref="A2:I313"/>
  <sheetViews>
    <sheetView topLeftCell="A6" zoomScale="95" workbookViewId="0">
      <selection activeCell="B28" sqref="B28"/>
    </sheetView>
  </sheetViews>
  <sheetFormatPr defaultRowHeight="14.5" x14ac:dyDescent="0.35"/>
  <cols>
    <col min="1" max="1" width="35.453125" style="1" customWidth="1"/>
    <col min="2" max="2" width="68.54296875" style="41" customWidth="1"/>
    <col min="10" max="10" width="9" customWidth="1"/>
  </cols>
  <sheetData>
    <row r="2" spans="1:2" x14ac:dyDescent="0.35">
      <c r="A2" s="1" t="s">
        <v>569</v>
      </c>
      <c r="B2" s="41" t="s">
        <v>1552</v>
      </c>
    </row>
    <row r="3" spans="1:2" x14ac:dyDescent="0.35">
      <c r="A3" s="1" t="s">
        <v>1553</v>
      </c>
      <c r="B3" s="41" t="s">
        <v>1554</v>
      </c>
    </row>
    <row r="4" spans="1:2" x14ac:dyDescent="0.35">
      <c r="A4" s="1" t="s">
        <v>592</v>
      </c>
      <c r="B4" s="41" t="s">
        <v>1555</v>
      </c>
    </row>
    <row r="5" spans="1:2" x14ac:dyDescent="0.35">
      <c r="A5" s="1" t="s">
        <v>592</v>
      </c>
      <c r="B5" s="41" t="s">
        <v>1555</v>
      </c>
    </row>
    <row r="6" spans="1:2" x14ac:dyDescent="0.35">
      <c r="A6" s="1" t="s">
        <v>594</v>
      </c>
      <c r="B6" s="41" t="s">
        <v>1556</v>
      </c>
    </row>
    <row r="7" spans="1:2" x14ac:dyDescent="0.35">
      <c r="A7" s="1" t="s">
        <v>594</v>
      </c>
      <c r="B7" s="41" t="s">
        <v>1556</v>
      </c>
    </row>
    <row r="8" spans="1:2" x14ac:dyDescent="0.35">
      <c r="A8" s="1" t="s">
        <v>593</v>
      </c>
      <c r="B8" s="41" t="s">
        <v>1557</v>
      </c>
    </row>
    <row r="9" spans="1:2" x14ac:dyDescent="0.35">
      <c r="A9" s="1" t="s">
        <v>593</v>
      </c>
      <c r="B9" s="41" t="s">
        <v>1557</v>
      </c>
    </row>
    <row r="10" spans="1:2" x14ac:dyDescent="0.35">
      <c r="A10" s="1" t="s">
        <v>595</v>
      </c>
      <c r="B10" s="41" t="s">
        <v>1558</v>
      </c>
    </row>
    <row r="11" spans="1:2" x14ac:dyDescent="0.35">
      <c r="A11" s="1" t="s">
        <v>595</v>
      </c>
      <c r="B11" s="41" t="s">
        <v>1558</v>
      </c>
    </row>
    <row r="12" spans="1:2" x14ac:dyDescent="0.35">
      <c r="A12" s="1" t="s">
        <v>549</v>
      </c>
      <c r="B12" s="41" t="s">
        <v>1559</v>
      </c>
    </row>
    <row r="13" spans="1:2" x14ac:dyDescent="0.35">
      <c r="A13" s="1" t="s">
        <v>1524</v>
      </c>
      <c r="B13" s="41" t="s">
        <v>1560</v>
      </c>
    </row>
    <row r="14" spans="1:2" x14ac:dyDescent="0.35">
      <c r="A14" s="1" t="s">
        <v>1561</v>
      </c>
      <c r="B14" s="41" t="s">
        <v>1562</v>
      </c>
    </row>
    <row r="15" spans="1:2" x14ac:dyDescent="0.35">
      <c r="A15" s="1" t="s">
        <v>1563</v>
      </c>
      <c r="B15" s="41" t="s">
        <v>1564</v>
      </c>
    </row>
    <row r="16" spans="1:2" x14ac:dyDescent="0.35">
      <c r="A16" s="1" t="s">
        <v>1526</v>
      </c>
      <c r="B16" s="41" t="s">
        <v>1564</v>
      </c>
    </row>
    <row r="17" spans="1:2" x14ac:dyDescent="0.35">
      <c r="A17" s="1" t="s">
        <v>590</v>
      </c>
      <c r="B17" s="41" t="s">
        <v>1565</v>
      </c>
    </row>
    <row r="18" spans="1:2" x14ac:dyDescent="0.35">
      <c r="A18" s="1" t="s">
        <v>1566</v>
      </c>
      <c r="B18" s="41" t="s">
        <v>1567</v>
      </c>
    </row>
    <row r="19" spans="1:2" x14ac:dyDescent="0.35">
      <c r="A19" s="1" t="s">
        <v>583</v>
      </c>
      <c r="B19" s="41" t="s">
        <v>1568</v>
      </c>
    </row>
    <row r="20" spans="1:2" x14ac:dyDescent="0.35">
      <c r="A20" s="1" t="s">
        <v>585</v>
      </c>
      <c r="B20" s="41" t="s">
        <v>1569</v>
      </c>
    </row>
    <row r="21" spans="1:2" x14ac:dyDescent="0.35">
      <c r="A21" s="1" t="s">
        <v>591</v>
      </c>
      <c r="B21" s="41" t="s">
        <v>1570</v>
      </c>
    </row>
    <row r="22" spans="1:2" x14ac:dyDescent="0.35">
      <c r="A22" s="1" t="s">
        <v>573</v>
      </c>
      <c r="B22" s="41" t="s">
        <v>1571</v>
      </c>
    </row>
    <row r="23" spans="1:2" x14ac:dyDescent="0.35">
      <c r="A23" s="1" t="s">
        <v>588</v>
      </c>
      <c r="B23" s="41" t="s">
        <v>1572</v>
      </c>
    </row>
    <row r="24" spans="1:2" x14ac:dyDescent="0.35">
      <c r="A24" s="1" t="s">
        <v>582</v>
      </c>
      <c r="B24" s="41" t="s">
        <v>1573</v>
      </c>
    </row>
    <row r="25" spans="1:2" x14ac:dyDescent="0.35">
      <c r="A25" s="1" t="s">
        <v>584</v>
      </c>
      <c r="B25" s="41" t="s">
        <v>1574</v>
      </c>
    </row>
    <row r="26" spans="1:2" x14ac:dyDescent="0.35">
      <c r="A26" s="1" t="s">
        <v>589</v>
      </c>
      <c r="B26" s="41" t="s">
        <v>1575</v>
      </c>
    </row>
    <row r="27" spans="1:2" x14ac:dyDescent="0.35">
      <c r="A27" s="1" t="s">
        <v>587</v>
      </c>
      <c r="B27" s="41" t="s">
        <v>1576</v>
      </c>
    </row>
    <row r="28" spans="1:2" x14ac:dyDescent="0.35">
      <c r="A28" s="1" t="s">
        <v>577</v>
      </c>
      <c r="B28" s="41" t="s">
        <v>1603</v>
      </c>
    </row>
    <row r="29" spans="1:2" x14ac:dyDescent="0.35">
      <c r="A29" s="1" t="s">
        <v>572</v>
      </c>
      <c r="B29" s="41" t="s">
        <v>1898</v>
      </c>
    </row>
    <row r="30" spans="1:2" x14ac:dyDescent="0.35">
      <c r="A30" s="1" t="s">
        <v>1577</v>
      </c>
      <c r="B30" s="41" t="s">
        <v>1899</v>
      </c>
    </row>
    <row r="31" spans="1:2" x14ac:dyDescent="0.35">
      <c r="A31" s="1" t="s">
        <v>1533</v>
      </c>
      <c r="B31" s="41" t="s">
        <v>1900</v>
      </c>
    </row>
    <row r="32" spans="1:2" x14ac:dyDescent="0.35">
      <c r="A32" s="1" t="s">
        <v>1578</v>
      </c>
      <c r="B32" s="41" t="s">
        <v>1901</v>
      </c>
    </row>
    <row r="33" spans="1:2" x14ac:dyDescent="0.35">
      <c r="A33" s="1" t="s">
        <v>1579</v>
      </c>
      <c r="B33" s="41" t="s">
        <v>1902</v>
      </c>
    </row>
    <row r="34" spans="1:2" x14ac:dyDescent="0.35">
      <c r="A34" s="1" t="s">
        <v>404</v>
      </c>
      <c r="B34" s="41" t="s">
        <v>1903</v>
      </c>
    </row>
    <row r="35" spans="1:2" ht="29" x14ac:dyDescent="0.35">
      <c r="A35" s="1" t="s">
        <v>1580</v>
      </c>
      <c r="B35" s="41" t="s">
        <v>1904</v>
      </c>
    </row>
    <row r="36" spans="1:2" ht="29" x14ac:dyDescent="0.35">
      <c r="A36" s="1" t="s">
        <v>1581</v>
      </c>
      <c r="B36" s="41" t="s">
        <v>1905</v>
      </c>
    </row>
    <row r="37" spans="1:2" x14ac:dyDescent="0.35">
      <c r="A37" s="1" t="s">
        <v>1582</v>
      </c>
      <c r="B37" s="41" t="s">
        <v>1906</v>
      </c>
    </row>
    <row r="38" spans="1:2" x14ac:dyDescent="0.35">
      <c r="A38" s="1" t="s">
        <v>1583</v>
      </c>
      <c r="B38" s="41" t="s">
        <v>1907</v>
      </c>
    </row>
    <row r="39" spans="1:2" x14ac:dyDescent="0.35">
      <c r="A39" s="1" t="s">
        <v>1584</v>
      </c>
      <c r="B39" s="41" t="s">
        <v>1908</v>
      </c>
    </row>
    <row r="40" spans="1:2" x14ac:dyDescent="0.35">
      <c r="A40" s="1" t="s">
        <v>1585</v>
      </c>
      <c r="B40" s="41" t="s">
        <v>1909</v>
      </c>
    </row>
    <row r="41" spans="1:2" x14ac:dyDescent="0.35">
      <c r="A41" s="1" t="s">
        <v>1586</v>
      </c>
      <c r="B41" s="41" t="s">
        <v>1910</v>
      </c>
    </row>
    <row r="42" spans="1:2" x14ac:dyDescent="0.35">
      <c r="A42" s="1" t="s">
        <v>559</v>
      </c>
      <c r="B42" s="41" t="s">
        <v>1911</v>
      </c>
    </row>
    <row r="43" spans="1:2" x14ac:dyDescent="0.35">
      <c r="A43" s="1" t="s">
        <v>1587</v>
      </c>
      <c r="B43" s="41" t="s">
        <v>1912</v>
      </c>
    </row>
    <row r="44" spans="1:2" x14ac:dyDescent="0.35">
      <c r="A44" s="1" t="s">
        <v>556</v>
      </c>
      <c r="B44" s="41" t="s">
        <v>1913</v>
      </c>
    </row>
    <row r="45" spans="1:2" x14ac:dyDescent="0.35">
      <c r="A45" s="1" t="s">
        <v>1588</v>
      </c>
      <c r="B45" s="41" t="s">
        <v>1913</v>
      </c>
    </row>
    <row r="46" spans="1:2" x14ac:dyDescent="0.35">
      <c r="A46" s="1" t="s">
        <v>555</v>
      </c>
      <c r="B46" s="41" t="s">
        <v>1914</v>
      </c>
    </row>
    <row r="47" spans="1:2" x14ac:dyDescent="0.35">
      <c r="A47" s="1" t="s">
        <v>554</v>
      </c>
      <c r="B47" s="41" t="s">
        <v>1915</v>
      </c>
    </row>
    <row r="48" spans="1:2" x14ac:dyDescent="0.35">
      <c r="A48" s="1" t="s">
        <v>553</v>
      </c>
      <c r="B48" s="41" t="s">
        <v>1916</v>
      </c>
    </row>
    <row r="49" spans="1:2" x14ac:dyDescent="0.35">
      <c r="A49" s="1" t="s">
        <v>1801</v>
      </c>
      <c r="B49" s="41" t="s">
        <v>1917</v>
      </c>
    </row>
    <row r="50" spans="1:2" x14ac:dyDescent="0.35">
      <c r="A50" s="1" t="s">
        <v>1802</v>
      </c>
      <c r="B50" s="41" t="s">
        <v>1918</v>
      </c>
    </row>
    <row r="51" spans="1:2" x14ac:dyDescent="0.35">
      <c r="A51" s="1" t="s">
        <v>1803</v>
      </c>
      <c r="B51" s="41" t="s">
        <v>2302</v>
      </c>
    </row>
    <row r="52" spans="1:2" x14ac:dyDescent="0.35">
      <c r="A52" s="1" t="s">
        <v>1804</v>
      </c>
      <c r="B52" s="41" t="s">
        <v>1937</v>
      </c>
    </row>
    <row r="53" spans="1:2" x14ac:dyDescent="0.35">
      <c r="A53" s="1" t="s">
        <v>551</v>
      </c>
      <c r="B53" s="41" t="s">
        <v>1919</v>
      </c>
    </row>
    <row r="54" spans="1:2" x14ac:dyDescent="0.35">
      <c r="A54" s="1" t="s">
        <v>1805</v>
      </c>
      <c r="B54" s="41" t="s">
        <v>1920</v>
      </c>
    </row>
    <row r="55" spans="1:2" x14ac:dyDescent="0.35">
      <c r="A55" s="1" t="s">
        <v>396</v>
      </c>
      <c r="B55" s="41" t="s">
        <v>1921</v>
      </c>
    </row>
    <row r="56" spans="1:2" x14ac:dyDescent="0.35">
      <c r="A56" s="1" t="s">
        <v>398</v>
      </c>
      <c r="B56" s="41" t="s">
        <v>1922</v>
      </c>
    </row>
    <row r="57" spans="1:2" x14ac:dyDescent="0.35">
      <c r="A57" s="1" t="s">
        <v>397</v>
      </c>
      <c r="B57" s="41" t="s">
        <v>1923</v>
      </c>
    </row>
    <row r="58" spans="1:2" x14ac:dyDescent="0.35">
      <c r="A58" s="1" t="s">
        <v>1806</v>
      </c>
      <c r="B58" s="41" t="s">
        <v>1924</v>
      </c>
    </row>
    <row r="59" spans="1:2" x14ac:dyDescent="0.35">
      <c r="A59" s="1" t="s">
        <v>1807</v>
      </c>
      <c r="B59" s="41" t="s">
        <v>1925</v>
      </c>
    </row>
    <row r="60" spans="1:2" x14ac:dyDescent="0.35">
      <c r="A60" s="1" t="s">
        <v>1808</v>
      </c>
      <c r="B60" s="41" t="s">
        <v>1926</v>
      </c>
    </row>
    <row r="61" spans="1:2" x14ac:dyDescent="0.35">
      <c r="A61" s="1" t="s">
        <v>1809</v>
      </c>
      <c r="B61" s="41" t="s">
        <v>1926</v>
      </c>
    </row>
    <row r="62" spans="1:2" x14ac:dyDescent="0.35">
      <c r="A62" s="1" t="s">
        <v>1810</v>
      </c>
      <c r="B62" s="41" t="s">
        <v>1927</v>
      </c>
    </row>
    <row r="63" spans="1:2" x14ac:dyDescent="0.35">
      <c r="A63" s="1" t="s">
        <v>566</v>
      </c>
      <c r="B63" s="41" t="s">
        <v>1928</v>
      </c>
    </row>
    <row r="64" spans="1:2" x14ac:dyDescent="0.35">
      <c r="A64" s="1" t="s">
        <v>1811</v>
      </c>
      <c r="B64" s="41" t="s">
        <v>1929</v>
      </c>
    </row>
    <row r="65" spans="1:2" x14ac:dyDescent="0.35">
      <c r="A65" s="1" t="s">
        <v>1316</v>
      </c>
      <c r="B65" s="41" t="s">
        <v>1930</v>
      </c>
    </row>
    <row r="66" spans="1:2" x14ac:dyDescent="0.35">
      <c r="A66" s="1" t="s">
        <v>393</v>
      </c>
      <c r="B66" s="41" t="s">
        <v>1921</v>
      </c>
    </row>
    <row r="67" spans="1:2" x14ac:dyDescent="0.35">
      <c r="A67" s="1" t="s">
        <v>393</v>
      </c>
      <c r="B67" s="41" t="s">
        <v>1931</v>
      </c>
    </row>
    <row r="68" spans="1:2" x14ac:dyDescent="0.35">
      <c r="A68" s="1" t="s">
        <v>393</v>
      </c>
      <c r="B68" s="41" t="s">
        <v>1932</v>
      </c>
    </row>
    <row r="69" spans="1:2" x14ac:dyDescent="0.35">
      <c r="A69" s="1" t="s">
        <v>1812</v>
      </c>
      <c r="B69" s="41" t="s">
        <v>1933</v>
      </c>
    </row>
    <row r="70" spans="1:2" x14ac:dyDescent="0.35">
      <c r="A70" s="1" t="s">
        <v>1813</v>
      </c>
      <c r="B70" s="41" t="s">
        <v>1934</v>
      </c>
    </row>
    <row r="71" spans="1:2" x14ac:dyDescent="0.35">
      <c r="A71" s="1" t="s">
        <v>395</v>
      </c>
      <c r="B71" s="41" t="s">
        <v>1935</v>
      </c>
    </row>
    <row r="72" spans="1:2" x14ac:dyDescent="0.35">
      <c r="A72" s="1" t="s">
        <v>394</v>
      </c>
      <c r="B72" s="41" t="s">
        <v>1690</v>
      </c>
    </row>
    <row r="73" spans="1:2" x14ac:dyDescent="0.35">
      <c r="A73" s="1" t="s">
        <v>1814</v>
      </c>
      <c r="B73" s="41" t="s">
        <v>1936</v>
      </c>
    </row>
    <row r="74" spans="1:2" x14ac:dyDescent="0.35">
      <c r="A74" s="1" t="s">
        <v>1815</v>
      </c>
      <c r="B74" s="41" t="s">
        <v>1938</v>
      </c>
    </row>
    <row r="75" spans="1:2" x14ac:dyDescent="0.35">
      <c r="A75" s="1" t="s">
        <v>1816</v>
      </c>
      <c r="B75" s="41" t="s">
        <v>1939</v>
      </c>
    </row>
    <row r="76" spans="1:2" x14ac:dyDescent="0.35">
      <c r="A76" s="1" t="s">
        <v>500</v>
      </c>
      <c r="B76" s="41" t="s">
        <v>1940</v>
      </c>
    </row>
    <row r="77" spans="1:2" x14ac:dyDescent="0.35">
      <c r="A77" s="1" t="s">
        <v>504</v>
      </c>
      <c r="B77" s="41" t="s">
        <v>1941</v>
      </c>
    </row>
    <row r="78" spans="1:2" ht="29" x14ac:dyDescent="0.35">
      <c r="A78" s="1" t="s">
        <v>443</v>
      </c>
      <c r="B78" s="41" t="s">
        <v>1942</v>
      </c>
    </row>
    <row r="79" spans="1:2" ht="29" x14ac:dyDescent="0.35">
      <c r="A79" s="1" t="s">
        <v>451</v>
      </c>
      <c r="B79" s="41" t="s">
        <v>1943</v>
      </c>
    </row>
    <row r="80" spans="1:2" ht="29" x14ac:dyDescent="0.35">
      <c r="A80" s="1" t="s">
        <v>447</v>
      </c>
      <c r="B80" s="41" t="s">
        <v>1944</v>
      </c>
    </row>
    <row r="81" spans="1:2" x14ac:dyDescent="0.35">
      <c r="A81" s="1" t="s">
        <v>415</v>
      </c>
      <c r="B81" s="41" t="s">
        <v>1945</v>
      </c>
    </row>
    <row r="82" spans="1:2" x14ac:dyDescent="0.35">
      <c r="A82" s="1" t="s">
        <v>426</v>
      </c>
      <c r="B82" s="41" t="s">
        <v>1946</v>
      </c>
    </row>
    <row r="83" spans="1:2" ht="29" x14ac:dyDescent="0.35">
      <c r="A83" s="1" t="s">
        <v>459</v>
      </c>
      <c r="B83" s="41" t="s">
        <v>1947</v>
      </c>
    </row>
    <row r="84" spans="1:2" ht="29" x14ac:dyDescent="0.35">
      <c r="A84" s="1" t="s">
        <v>455</v>
      </c>
      <c r="B84" s="41" t="s">
        <v>1948</v>
      </c>
    </row>
    <row r="85" spans="1:2" ht="29" x14ac:dyDescent="0.35">
      <c r="A85" s="1" t="s">
        <v>1817</v>
      </c>
      <c r="B85" s="41" t="s">
        <v>1949</v>
      </c>
    </row>
    <row r="86" spans="1:2" x14ac:dyDescent="0.35">
      <c r="A86" s="1" t="s">
        <v>508</v>
      </c>
      <c r="B86" s="41" t="s">
        <v>1950</v>
      </c>
    </row>
    <row r="87" spans="1:2" x14ac:dyDescent="0.35">
      <c r="A87" s="1" t="s">
        <v>324</v>
      </c>
      <c r="B87" s="41" t="s">
        <v>1951</v>
      </c>
    </row>
    <row r="88" spans="1:2" x14ac:dyDescent="0.35">
      <c r="A88" s="1" t="s">
        <v>542</v>
      </c>
      <c r="B88" s="41" t="s">
        <v>1952</v>
      </c>
    </row>
    <row r="89" spans="1:2" x14ac:dyDescent="0.35">
      <c r="A89" s="1" t="s">
        <v>518</v>
      </c>
      <c r="B89" s="41" t="s">
        <v>1953</v>
      </c>
    </row>
    <row r="90" spans="1:2" x14ac:dyDescent="0.35">
      <c r="A90" s="1" t="s">
        <v>308</v>
      </c>
      <c r="B90" s="41" t="s">
        <v>1954</v>
      </c>
    </row>
    <row r="91" spans="1:2" x14ac:dyDescent="0.35">
      <c r="A91" s="1" t="s">
        <v>1818</v>
      </c>
      <c r="B91" s="41" t="s">
        <v>1955</v>
      </c>
    </row>
    <row r="92" spans="1:2" x14ac:dyDescent="0.35">
      <c r="A92" s="1" t="s">
        <v>307</v>
      </c>
      <c r="B92" s="41" t="s">
        <v>1956</v>
      </c>
    </row>
    <row r="93" spans="1:2" x14ac:dyDescent="0.35">
      <c r="A93" s="1" t="s">
        <v>305</v>
      </c>
      <c r="B93" s="41" t="s">
        <v>1957</v>
      </c>
    </row>
    <row r="94" spans="1:2" x14ac:dyDescent="0.35">
      <c r="A94" s="1" t="s">
        <v>526</v>
      </c>
      <c r="B94" s="41" t="s">
        <v>1958</v>
      </c>
    </row>
    <row r="95" spans="1:2" x14ac:dyDescent="0.35">
      <c r="A95" s="1" t="s">
        <v>1819</v>
      </c>
      <c r="B95" s="41" t="s">
        <v>1958</v>
      </c>
    </row>
    <row r="96" spans="1:2" x14ac:dyDescent="0.35">
      <c r="A96" s="1" t="s">
        <v>1820</v>
      </c>
      <c r="B96" s="41" t="s">
        <v>1959</v>
      </c>
    </row>
    <row r="97" spans="1:2" x14ac:dyDescent="0.35">
      <c r="A97" s="1" t="s">
        <v>1530</v>
      </c>
      <c r="B97" s="41" t="s">
        <v>1960</v>
      </c>
    </row>
    <row r="98" spans="1:2" x14ac:dyDescent="0.35">
      <c r="A98" s="1" t="s">
        <v>519</v>
      </c>
      <c r="B98" s="41" t="s">
        <v>1961</v>
      </c>
    </row>
    <row r="99" spans="1:2" x14ac:dyDescent="0.35">
      <c r="A99" s="1" t="s">
        <v>522</v>
      </c>
      <c r="B99" s="41" t="s">
        <v>1962</v>
      </c>
    </row>
    <row r="100" spans="1:2" x14ac:dyDescent="0.35">
      <c r="A100" s="1" t="s">
        <v>523</v>
      </c>
      <c r="B100" s="41" t="s">
        <v>1963</v>
      </c>
    </row>
    <row r="101" spans="1:2" x14ac:dyDescent="0.35">
      <c r="A101" s="1" t="s">
        <v>521</v>
      </c>
      <c r="B101" s="41" t="s">
        <v>1964</v>
      </c>
    </row>
    <row r="102" spans="1:2" x14ac:dyDescent="0.35">
      <c r="A102" s="1" t="s">
        <v>521</v>
      </c>
      <c r="B102" s="41" t="s">
        <v>1964</v>
      </c>
    </row>
    <row r="103" spans="1:2" x14ac:dyDescent="0.35">
      <c r="A103" s="1" t="s">
        <v>520</v>
      </c>
      <c r="B103" s="41" t="s">
        <v>1965</v>
      </c>
    </row>
    <row r="104" spans="1:2" x14ac:dyDescent="0.35">
      <c r="A104" s="1" t="s">
        <v>524</v>
      </c>
      <c r="B104" s="41" t="s">
        <v>1966</v>
      </c>
    </row>
    <row r="105" spans="1:2" x14ac:dyDescent="0.35">
      <c r="A105" s="1" t="s">
        <v>290</v>
      </c>
      <c r="B105" s="41" t="s">
        <v>1967</v>
      </c>
    </row>
    <row r="106" spans="1:2" x14ac:dyDescent="0.35">
      <c r="A106" s="1" t="s">
        <v>209</v>
      </c>
      <c r="B106" s="41" t="s">
        <v>1968</v>
      </c>
    </row>
    <row r="107" spans="1:2" x14ac:dyDescent="0.35">
      <c r="A107" s="1" t="s">
        <v>1821</v>
      </c>
      <c r="B107" s="41" t="s">
        <v>1969</v>
      </c>
    </row>
    <row r="108" spans="1:2" x14ac:dyDescent="0.35">
      <c r="A108" s="1" t="s">
        <v>1822</v>
      </c>
      <c r="B108" s="41" t="s">
        <v>1970</v>
      </c>
    </row>
    <row r="109" spans="1:2" x14ac:dyDescent="0.35">
      <c r="A109" s="1" t="s">
        <v>1823</v>
      </c>
      <c r="B109" s="41" t="s">
        <v>1971</v>
      </c>
    </row>
    <row r="110" spans="1:2" x14ac:dyDescent="0.35">
      <c r="A110" s="1" t="s">
        <v>1592</v>
      </c>
      <c r="B110" s="41" t="s">
        <v>1972</v>
      </c>
    </row>
    <row r="111" spans="1:2" x14ac:dyDescent="0.35">
      <c r="A111" s="1" t="s">
        <v>543</v>
      </c>
      <c r="B111" s="41" t="s">
        <v>1973</v>
      </c>
    </row>
    <row r="112" spans="1:2" x14ac:dyDescent="0.35">
      <c r="A112" s="1" t="s">
        <v>498</v>
      </c>
      <c r="B112" s="41" t="s">
        <v>1974</v>
      </c>
    </row>
    <row r="113" spans="1:2" x14ac:dyDescent="0.35">
      <c r="A113" s="1" t="s">
        <v>545</v>
      </c>
      <c r="B113" s="41" t="s">
        <v>1975</v>
      </c>
    </row>
    <row r="114" spans="1:2" x14ac:dyDescent="0.35">
      <c r="A114" s="1" t="s">
        <v>546</v>
      </c>
      <c r="B114" s="41" t="s">
        <v>1976</v>
      </c>
    </row>
    <row r="115" spans="1:2" x14ac:dyDescent="0.35">
      <c r="A115" s="1" t="s">
        <v>547</v>
      </c>
      <c r="B115" s="41" t="s">
        <v>1977</v>
      </c>
    </row>
    <row r="116" spans="1:2" x14ac:dyDescent="0.35">
      <c r="A116" s="1" t="s">
        <v>548</v>
      </c>
      <c r="B116" s="41" t="s">
        <v>1978</v>
      </c>
    </row>
    <row r="117" spans="1:2" x14ac:dyDescent="0.35">
      <c r="A117" s="1" t="s">
        <v>537</v>
      </c>
      <c r="B117" s="41" t="s">
        <v>1979</v>
      </c>
    </row>
    <row r="118" spans="1:2" x14ac:dyDescent="0.35">
      <c r="A118" s="1" t="s">
        <v>1824</v>
      </c>
      <c r="B118" s="41" t="s">
        <v>1980</v>
      </c>
    </row>
    <row r="119" spans="1:2" x14ac:dyDescent="0.35">
      <c r="A119" s="1" t="s">
        <v>1825</v>
      </c>
      <c r="B119" s="41" t="s">
        <v>1981</v>
      </c>
    </row>
    <row r="120" spans="1:2" x14ac:dyDescent="0.35">
      <c r="A120" s="1" t="s">
        <v>405</v>
      </c>
      <c r="B120" s="41" t="s">
        <v>1982</v>
      </c>
    </row>
    <row r="121" spans="1:2" x14ac:dyDescent="0.35">
      <c r="A121" s="1" t="s">
        <v>408</v>
      </c>
      <c r="B121" s="41" t="s">
        <v>1983</v>
      </c>
    </row>
    <row r="122" spans="1:2" x14ac:dyDescent="0.35">
      <c r="A122" s="1" t="s">
        <v>406</v>
      </c>
      <c r="B122" s="41" t="s">
        <v>1983</v>
      </c>
    </row>
    <row r="123" spans="1:2" x14ac:dyDescent="0.35">
      <c r="A123" s="1" t="s">
        <v>1826</v>
      </c>
      <c r="B123" s="41" t="s">
        <v>1984</v>
      </c>
    </row>
    <row r="124" spans="1:2" x14ac:dyDescent="0.35">
      <c r="A124" s="1" t="s">
        <v>409</v>
      </c>
      <c r="B124" s="41" t="s">
        <v>1985</v>
      </c>
    </row>
    <row r="125" spans="1:2" x14ac:dyDescent="0.35">
      <c r="A125" s="1" t="s">
        <v>568</v>
      </c>
      <c r="B125" s="41" t="s">
        <v>1986</v>
      </c>
    </row>
    <row r="126" spans="1:2" x14ac:dyDescent="0.35">
      <c r="A126" s="1" t="s">
        <v>1827</v>
      </c>
      <c r="B126" s="41" t="s">
        <v>1987</v>
      </c>
    </row>
    <row r="127" spans="1:2" x14ac:dyDescent="0.35">
      <c r="A127" s="1" t="s">
        <v>1540</v>
      </c>
      <c r="B127" s="41" t="s">
        <v>1988</v>
      </c>
    </row>
    <row r="128" spans="1:2" x14ac:dyDescent="0.35">
      <c r="A128" s="1" t="s">
        <v>1828</v>
      </c>
      <c r="B128" s="41" t="s">
        <v>1989</v>
      </c>
    </row>
    <row r="129" spans="1:2" x14ac:dyDescent="0.35">
      <c r="A129" s="1" t="s">
        <v>285</v>
      </c>
      <c r="B129" s="41" t="s">
        <v>1990</v>
      </c>
    </row>
    <row r="130" spans="1:2" x14ac:dyDescent="0.35">
      <c r="A130" s="1" t="s">
        <v>1829</v>
      </c>
      <c r="B130" s="41" t="s">
        <v>1990</v>
      </c>
    </row>
    <row r="131" spans="1:2" x14ac:dyDescent="0.35">
      <c r="A131" s="1" t="s">
        <v>1830</v>
      </c>
      <c r="B131" s="41" t="s">
        <v>1991</v>
      </c>
    </row>
    <row r="132" spans="1:2" x14ac:dyDescent="0.35">
      <c r="A132" s="1" t="s">
        <v>580</v>
      </c>
      <c r="B132" s="41" t="s">
        <v>1992</v>
      </c>
    </row>
    <row r="133" spans="1:2" x14ac:dyDescent="0.35">
      <c r="A133" s="1" t="s">
        <v>1831</v>
      </c>
      <c r="B133" s="41" t="s">
        <v>1992</v>
      </c>
    </row>
    <row r="134" spans="1:2" x14ac:dyDescent="0.35">
      <c r="A134" s="1" t="s">
        <v>527</v>
      </c>
      <c r="B134" s="41" t="s">
        <v>1993</v>
      </c>
    </row>
    <row r="135" spans="1:2" x14ac:dyDescent="0.35">
      <c r="A135" s="1" t="s">
        <v>529</v>
      </c>
      <c r="B135" s="41" t="s">
        <v>1367</v>
      </c>
    </row>
    <row r="136" spans="1:2" x14ac:dyDescent="0.35">
      <c r="A136" s="1" t="s">
        <v>1832</v>
      </c>
      <c r="B136" s="41" t="s">
        <v>1994</v>
      </c>
    </row>
    <row r="137" spans="1:2" x14ac:dyDescent="0.35">
      <c r="A137" s="1" t="s">
        <v>342</v>
      </c>
      <c r="B137" s="41" t="s">
        <v>1995</v>
      </c>
    </row>
    <row r="138" spans="1:2" x14ac:dyDescent="0.35">
      <c r="A138" s="1" t="s">
        <v>1833</v>
      </c>
      <c r="B138" s="41" t="s">
        <v>1995</v>
      </c>
    </row>
    <row r="139" spans="1:2" x14ac:dyDescent="0.35">
      <c r="A139" s="1" t="s">
        <v>341</v>
      </c>
      <c r="B139" s="41" t="s">
        <v>1996</v>
      </c>
    </row>
    <row r="140" spans="1:2" ht="29" x14ac:dyDescent="0.35">
      <c r="A140" s="1" t="s">
        <v>444</v>
      </c>
      <c r="B140" s="41" t="s">
        <v>1997</v>
      </c>
    </row>
    <row r="141" spans="1:2" ht="29" x14ac:dyDescent="0.35">
      <c r="A141" s="1" t="s">
        <v>452</v>
      </c>
      <c r="B141" s="41" t="s">
        <v>1998</v>
      </c>
    </row>
    <row r="142" spans="1:2" ht="29" x14ac:dyDescent="0.35">
      <c r="A142" s="1" t="s">
        <v>448</v>
      </c>
      <c r="B142" s="41" t="s">
        <v>1999</v>
      </c>
    </row>
    <row r="143" spans="1:2" x14ac:dyDescent="0.35">
      <c r="A143" s="1" t="s">
        <v>416</v>
      </c>
      <c r="B143" s="41" t="s">
        <v>2000</v>
      </c>
    </row>
    <row r="144" spans="1:2" x14ac:dyDescent="0.35">
      <c r="A144" s="1" t="s">
        <v>427</v>
      </c>
      <c r="B144" s="41" t="s">
        <v>2001</v>
      </c>
    </row>
    <row r="145" spans="1:2" ht="29" x14ac:dyDescent="0.35">
      <c r="A145" s="1" t="s">
        <v>460</v>
      </c>
      <c r="B145" s="41" t="s">
        <v>2002</v>
      </c>
    </row>
    <row r="146" spans="1:2" ht="29" x14ac:dyDescent="0.35">
      <c r="A146" s="1" t="s">
        <v>456</v>
      </c>
      <c r="B146" s="41" t="s">
        <v>2003</v>
      </c>
    </row>
    <row r="147" spans="1:2" ht="29" x14ac:dyDescent="0.35">
      <c r="A147" s="1" t="s">
        <v>464</v>
      </c>
      <c r="B147" s="41" t="s">
        <v>2004</v>
      </c>
    </row>
    <row r="148" spans="1:2" ht="29" x14ac:dyDescent="0.35">
      <c r="A148" s="1" t="s">
        <v>423</v>
      </c>
      <c r="B148" s="41" t="s">
        <v>2005</v>
      </c>
    </row>
    <row r="149" spans="1:2" ht="29" x14ac:dyDescent="0.35">
      <c r="A149" s="1" t="s">
        <v>435</v>
      </c>
      <c r="B149" s="41" t="s">
        <v>2006</v>
      </c>
    </row>
    <row r="150" spans="1:2" ht="29" x14ac:dyDescent="0.35">
      <c r="A150" s="1" t="s">
        <v>1834</v>
      </c>
      <c r="B150" s="41" t="s">
        <v>2007</v>
      </c>
    </row>
    <row r="151" spans="1:2" ht="29" x14ac:dyDescent="0.35">
      <c r="A151" s="1" t="s">
        <v>1835</v>
      </c>
      <c r="B151" s="41" t="s">
        <v>2008</v>
      </c>
    </row>
    <row r="152" spans="1:2" ht="29" x14ac:dyDescent="0.35">
      <c r="A152" s="1" t="s">
        <v>480</v>
      </c>
      <c r="B152" s="41" t="s">
        <v>2009</v>
      </c>
    </row>
    <row r="153" spans="1:2" ht="29" x14ac:dyDescent="0.35">
      <c r="A153" s="1" t="s">
        <v>476</v>
      </c>
      <c r="B153" s="41" t="s">
        <v>2010</v>
      </c>
    </row>
    <row r="154" spans="1:2" x14ac:dyDescent="0.35">
      <c r="A154" s="1" t="s">
        <v>1836</v>
      </c>
      <c r="B154" s="41" t="s">
        <v>2011</v>
      </c>
    </row>
    <row r="155" spans="1:2" x14ac:dyDescent="0.35">
      <c r="A155" s="1" t="s">
        <v>1837</v>
      </c>
      <c r="B155" s="41" t="s">
        <v>2012</v>
      </c>
    </row>
    <row r="156" spans="1:2" x14ac:dyDescent="0.35">
      <c r="A156" s="1" t="s">
        <v>505</v>
      </c>
      <c r="B156" s="41" t="s">
        <v>2013</v>
      </c>
    </row>
    <row r="157" spans="1:2" ht="29" x14ac:dyDescent="0.35">
      <c r="A157" s="1" t="s">
        <v>488</v>
      </c>
      <c r="B157" s="41" t="s">
        <v>2014</v>
      </c>
    </row>
    <row r="158" spans="1:2" ht="29" x14ac:dyDescent="0.35">
      <c r="A158" s="1" t="s">
        <v>484</v>
      </c>
      <c r="B158" s="41" t="s">
        <v>2015</v>
      </c>
    </row>
    <row r="159" spans="1:2" ht="29" x14ac:dyDescent="0.35">
      <c r="A159" s="1" t="s">
        <v>492</v>
      </c>
      <c r="B159" s="41" t="s">
        <v>2016</v>
      </c>
    </row>
    <row r="160" spans="1:2" x14ac:dyDescent="0.35">
      <c r="A160" s="1" t="s">
        <v>501</v>
      </c>
      <c r="B160" s="41" t="s">
        <v>2017</v>
      </c>
    </row>
    <row r="161" spans="1:2" x14ac:dyDescent="0.35">
      <c r="A161" s="1" t="s">
        <v>570</v>
      </c>
      <c r="B161" s="41" t="s">
        <v>2018</v>
      </c>
    </row>
    <row r="162" spans="1:2" x14ac:dyDescent="0.35">
      <c r="A162" s="1" t="s">
        <v>412</v>
      </c>
      <c r="B162" s="41" t="s">
        <v>2019</v>
      </c>
    </row>
    <row r="163" spans="1:2" x14ac:dyDescent="0.35">
      <c r="A163" s="1" t="s">
        <v>494</v>
      </c>
      <c r="B163" s="41" t="s">
        <v>2020</v>
      </c>
    </row>
    <row r="164" spans="1:2" x14ac:dyDescent="0.35">
      <c r="A164" s="1" t="s">
        <v>1838</v>
      </c>
      <c r="B164" s="41" t="s">
        <v>2021</v>
      </c>
    </row>
    <row r="165" spans="1:2" x14ac:dyDescent="0.35">
      <c r="A165" s="1" t="s">
        <v>1839</v>
      </c>
      <c r="B165" s="41" t="s">
        <v>2022</v>
      </c>
    </row>
    <row r="166" spans="1:2" x14ac:dyDescent="0.35">
      <c r="A166" s="1" t="s">
        <v>1840</v>
      </c>
      <c r="B166" s="41" t="s">
        <v>2023</v>
      </c>
    </row>
    <row r="167" spans="1:2" x14ac:dyDescent="0.35">
      <c r="A167" s="1" t="s">
        <v>1841</v>
      </c>
      <c r="B167" s="41" t="s">
        <v>2024</v>
      </c>
    </row>
    <row r="168" spans="1:2" x14ac:dyDescent="0.35">
      <c r="A168" s="1" t="s">
        <v>1842</v>
      </c>
      <c r="B168" s="41" t="s">
        <v>2025</v>
      </c>
    </row>
    <row r="169" spans="1:2" x14ac:dyDescent="0.35">
      <c r="A169" s="1" t="s">
        <v>1843</v>
      </c>
      <c r="B169" s="41" t="s">
        <v>2026</v>
      </c>
    </row>
    <row r="170" spans="1:2" x14ac:dyDescent="0.35">
      <c r="A170" s="1" t="s">
        <v>1844</v>
      </c>
      <c r="B170" s="41" t="s">
        <v>2027</v>
      </c>
    </row>
    <row r="171" spans="1:2" x14ac:dyDescent="0.35">
      <c r="A171" s="1" t="s">
        <v>1845</v>
      </c>
      <c r="B171" s="41" t="s">
        <v>2028</v>
      </c>
    </row>
    <row r="172" spans="1:2" x14ac:dyDescent="0.35">
      <c r="A172" s="1" t="s">
        <v>1846</v>
      </c>
      <c r="B172" s="41" t="s">
        <v>2029</v>
      </c>
    </row>
    <row r="173" spans="1:2" x14ac:dyDescent="0.35">
      <c r="A173" s="1" t="s">
        <v>495</v>
      </c>
      <c r="B173" s="41" t="s">
        <v>2030</v>
      </c>
    </row>
    <row r="174" spans="1:2" x14ac:dyDescent="0.35">
      <c r="A174" s="1" t="s">
        <v>1847</v>
      </c>
      <c r="B174" s="41" t="s">
        <v>2031</v>
      </c>
    </row>
    <row r="175" spans="1:2" x14ac:dyDescent="0.35">
      <c r="A175" s="1" t="s">
        <v>1848</v>
      </c>
      <c r="B175" s="41" t="s">
        <v>2032</v>
      </c>
    </row>
    <row r="176" spans="1:2" x14ac:dyDescent="0.35">
      <c r="A176" s="1" t="s">
        <v>1849</v>
      </c>
      <c r="B176" s="41" t="s">
        <v>2033</v>
      </c>
    </row>
    <row r="177" spans="1:2" x14ac:dyDescent="0.35">
      <c r="A177" s="1" t="s">
        <v>401</v>
      </c>
      <c r="B177" s="41" t="s">
        <v>2034</v>
      </c>
    </row>
    <row r="178" spans="1:2" x14ac:dyDescent="0.35">
      <c r="A178" s="1" t="s">
        <v>1850</v>
      </c>
      <c r="B178" s="41" t="s">
        <v>2035</v>
      </c>
    </row>
    <row r="179" spans="1:2" x14ac:dyDescent="0.35">
      <c r="A179" s="1" t="s">
        <v>1851</v>
      </c>
      <c r="B179" s="41" t="s">
        <v>2036</v>
      </c>
    </row>
    <row r="180" spans="1:2" x14ac:dyDescent="0.35">
      <c r="A180" s="1" t="s">
        <v>1852</v>
      </c>
      <c r="B180" s="41" t="s">
        <v>2037</v>
      </c>
    </row>
    <row r="181" spans="1:2" x14ac:dyDescent="0.35">
      <c r="A181" s="1" t="s">
        <v>581</v>
      </c>
      <c r="B181" s="41" t="s">
        <v>2038</v>
      </c>
    </row>
    <row r="182" spans="1:2" x14ac:dyDescent="0.35">
      <c r="A182" s="1" t="s">
        <v>532</v>
      </c>
      <c r="B182" s="41" t="s">
        <v>2039</v>
      </c>
    </row>
    <row r="183" spans="1:2" x14ac:dyDescent="0.35">
      <c r="A183" s="1" t="s">
        <v>1853</v>
      </c>
      <c r="B183" s="41" t="s">
        <v>2039</v>
      </c>
    </row>
    <row r="184" spans="1:2" x14ac:dyDescent="0.35">
      <c r="A184" s="1" t="s">
        <v>1854</v>
      </c>
      <c r="B184" s="41" t="s">
        <v>403</v>
      </c>
    </row>
    <row r="185" spans="1:2" x14ac:dyDescent="0.35">
      <c r="A185" s="1" t="s">
        <v>1855</v>
      </c>
      <c r="B185" s="41" t="s">
        <v>2040</v>
      </c>
    </row>
    <row r="186" spans="1:2" x14ac:dyDescent="0.35">
      <c r="A186" s="1" t="s">
        <v>1856</v>
      </c>
      <c r="B186" s="41" t="s">
        <v>402</v>
      </c>
    </row>
    <row r="187" spans="1:2" x14ac:dyDescent="0.35">
      <c r="A187" s="1" t="s">
        <v>1857</v>
      </c>
      <c r="B187" s="41" t="s">
        <v>2041</v>
      </c>
    </row>
    <row r="188" spans="1:2" x14ac:dyDescent="0.35">
      <c r="A188" s="1" t="s">
        <v>1858</v>
      </c>
      <c r="B188" s="41" t="s">
        <v>2042</v>
      </c>
    </row>
    <row r="189" spans="1:2" x14ac:dyDescent="0.35">
      <c r="A189" s="1" t="s">
        <v>575</v>
      </c>
      <c r="B189" s="41" t="s">
        <v>2042</v>
      </c>
    </row>
    <row r="190" spans="1:2" x14ac:dyDescent="0.35">
      <c r="A190" s="1" t="s">
        <v>565</v>
      </c>
      <c r="B190" s="41" t="s">
        <v>2043</v>
      </c>
    </row>
    <row r="191" spans="1:2" x14ac:dyDescent="0.35">
      <c r="A191" s="1" t="s">
        <v>564</v>
      </c>
      <c r="B191" s="41" t="s">
        <v>2044</v>
      </c>
    </row>
    <row r="192" spans="1:2" x14ac:dyDescent="0.35">
      <c r="A192" s="1" t="s">
        <v>563</v>
      </c>
      <c r="B192" s="41" t="s">
        <v>2045</v>
      </c>
    </row>
    <row r="193" spans="1:2" x14ac:dyDescent="0.35">
      <c r="A193" s="1" t="s">
        <v>1536</v>
      </c>
      <c r="B193" s="41" t="s">
        <v>2046</v>
      </c>
    </row>
    <row r="194" spans="1:2" ht="29" x14ac:dyDescent="0.35">
      <c r="A194" s="1" t="s">
        <v>1859</v>
      </c>
      <c r="B194" s="41" t="s">
        <v>2047</v>
      </c>
    </row>
    <row r="195" spans="1:2" ht="29" x14ac:dyDescent="0.35">
      <c r="A195" s="1" t="s">
        <v>442</v>
      </c>
      <c r="B195" s="41" t="s">
        <v>2048</v>
      </c>
    </row>
    <row r="196" spans="1:2" x14ac:dyDescent="0.35">
      <c r="A196" s="1" t="s">
        <v>450</v>
      </c>
      <c r="B196" s="41" t="s">
        <v>2049</v>
      </c>
    </row>
    <row r="197" spans="1:2" x14ac:dyDescent="0.35">
      <c r="A197" s="1" t="s">
        <v>446</v>
      </c>
      <c r="B197" s="41" t="s">
        <v>2050</v>
      </c>
    </row>
    <row r="198" spans="1:2" x14ac:dyDescent="0.35">
      <c r="A198" s="1" t="s">
        <v>1860</v>
      </c>
      <c r="B198" s="41" t="s">
        <v>1922</v>
      </c>
    </row>
    <row r="199" spans="1:2" x14ac:dyDescent="0.35">
      <c r="A199" s="1" t="s">
        <v>1861</v>
      </c>
      <c r="B199" s="41" t="s">
        <v>2051</v>
      </c>
    </row>
    <row r="200" spans="1:2" ht="29" x14ac:dyDescent="0.35">
      <c r="A200" s="1" t="s">
        <v>458</v>
      </c>
      <c r="B200" s="41" t="s">
        <v>2052</v>
      </c>
    </row>
    <row r="201" spans="1:2" ht="29" x14ac:dyDescent="0.35">
      <c r="A201" s="1" t="s">
        <v>1862</v>
      </c>
      <c r="B201" s="41" t="s">
        <v>2053</v>
      </c>
    </row>
    <row r="202" spans="1:2" x14ac:dyDescent="0.35">
      <c r="A202" s="1" t="s">
        <v>462</v>
      </c>
      <c r="B202" s="41" t="s">
        <v>2054</v>
      </c>
    </row>
    <row r="203" spans="1:2" x14ac:dyDescent="0.35">
      <c r="A203" s="1" t="s">
        <v>1539</v>
      </c>
      <c r="B203" s="41" t="s">
        <v>1488</v>
      </c>
    </row>
    <row r="204" spans="1:2" x14ac:dyDescent="0.35">
      <c r="A204" s="1" t="s">
        <v>288</v>
      </c>
      <c r="B204" s="41" t="s">
        <v>2055</v>
      </c>
    </row>
    <row r="205" spans="1:2" x14ac:dyDescent="0.35">
      <c r="A205" s="1" t="s">
        <v>511</v>
      </c>
      <c r="B205" s="41" t="s">
        <v>2056</v>
      </c>
    </row>
    <row r="206" spans="1:2" x14ac:dyDescent="0.35">
      <c r="A206" s="1" t="s">
        <v>1863</v>
      </c>
      <c r="B206" s="41" t="s">
        <v>2057</v>
      </c>
    </row>
    <row r="207" spans="1:2" x14ac:dyDescent="0.35">
      <c r="A207" s="1" t="s">
        <v>1864</v>
      </c>
      <c r="B207" s="41" t="s">
        <v>2058</v>
      </c>
    </row>
    <row r="208" spans="1:2" x14ac:dyDescent="0.35">
      <c r="A208" s="1" t="s">
        <v>576</v>
      </c>
      <c r="B208" s="41" t="s">
        <v>2058</v>
      </c>
    </row>
    <row r="209" spans="1:9" x14ac:dyDescent="0.35">
      <c r="A209" s="1" t="s">
        <v>536</v>
      </c>
      <c r="B209" s="41" t="s">
        <v>2059</v>
      </c>
    </row>
    <row r="210" spans="1:9" x14ac:dyDescent="0.35">
      <c r="A210" s="1" t="s">
        <v>1865</v>
      </c>
      <c r="B210" s="41" t="s">
        <v>2060</v>
      </c>
    </row>
    <row r="211" spans="1:9" x14ac:dyDescent="0.35">
      <c r="A211" s="1" t="s">
        <v>600</v>
      </c>
      <c r="B211" s="41" t="s">
        <v>2061</v>
      </c>
    </row>
    <row r="212" spans="1:9" x14ac:dyDescent="0.35">
      <c r="A212" s="1" t="s">
        <v>600</v>
      </c>
      <c r="B212" s="41" t="s">
        <v>2061</v>
      </c>
      <c r="I212" s="1"/>
    </row>
    <row r="213" spans="1:9" x14ac:dyDescent="0.35">
      <c r="A213" s="1" t="s">
        <v>1866</v>
      </c>
      <c r="B213" s="41" t="s">
        <v>2062</v>
      </c>
    </row>
    <row r="214" spans="1:9" x14ac:dyDescent="0.35">
      <c r="A214" s="1" t="s">
        <v>602</v>
      </c>
      <c r="B214" s="41" t="s">
        <v>2062</v>
      </c>
    </row>
    <row r="215" spans="1:9" x14ac:dyDescent="0.35">
      <c r="A215" s="1" t="s">
        <v>601</v>
      </c>
      <c r="B215" s="41" t="s">
        <v>2063</v>
      </c>
    </row>
    <row r="216" spans="1:9" x14ac:dyDescent="0.35">
      <c r="A216" s="1" t="s">
        <v>603</v>
      </c>
      <c r="B216" s="41" t="s">
        <v>2064</v>
      </c>
    </row>
    <row r="217" spans="1:9" x14ac:dyDescent="0.35">
      <c r="A217" s="1" t="s">
        <v>603</v>
      </c>
      <c r="B217" s="41" t="s">
        <v>2064</v>
      </c>
    </row>
    <row r="218" spans="1:9" x14ac:dyDescent="0.35">
      <c r="A218" s="1" t="s">
        <v>1867</v>
      </c>
      <c r="B218" s="41" t="s">
        <v>2065</v>
      </c>
    </row>
    <row r="219" spans="1:9" x14ac:dyDescent="0.35">
      <c r="A219" s="1" t="s">
        <v>515</v>
      </c>
      <c r="B219" s="41" t="s">
        <v>2066</v>
      </c>
    </row>
    <row r="220" spans="1:9" x14ac:dyDescent="0.35">
      <c r="A220" s="1" t="s">
        <v>516</v>
      </c>
      <c r="B220" s="41" t="s">
        <v>2067</v>
      </c>
    </row>
    <row r="221" spans="1:9" x14ac:dyDescent="0.35">
      <c r="A221" s="1" t="s">
        <v>1868</v>
      </c>
      <c r="B221" s="41" t="s">
        <v>2068</v>
      </c>
    </row>
    <row r="222" spans="1:9" x14ac:dyDescent="0.35">
      <c r="A222" s="1" t="s">
        <v>1869</v>
      </c>
      <c r="B222" s="41" t="s">
        <v>2069</v>
      </c>
    </row>
    <row r="223" spans="1:9" x14ac:dyDescent="0.35">
      <c r="A223" s="1" t="s">
        <v>1535</v>
      </c>
      <c r="B223" s="41" t="s">
        <v>2070</v>
      </c>
    </row>
    <row r="224" spans="1:9" x14ac:dyDescent="0.35">
      <c r="A224" s="1" t="s">
        <v>1537</v>
      </c>
      <c r="B224" s="41" t="s">
        <v>2071</v>
      </c>
    </row>
    <row r="225" spans="1:2" ht="29" x14ac:dyDescent="0.35">
      <c r="A225" s="1" t="s">
        <v>422</v>
      </c>
      <c r="B225" s="41" t="s">
        <v>2072</v>
      </c>
    </row>
    <row r="226" spans="1:2" ht="29" x14ac:dyDescent="0.35">
      <c r="A226" s="1" t="s">
        <v>1870</v>
      </c>
      <c r="B226" s="41" t="s">
        <v>2073</v>
      </c>
    </row>
    <row r="227" spans="1:2" x14ac:dyDescent="0.35">
      <c r="A227" s="1" t="s">
        <v>1871</v>
      </c>
      <c r="B227" s="41" t="s">
        <v>2074</v>
      </c>
    </row>
    <row r="228" spans="1:2" x14ac:dyDescent="0.35">
      <c r="A228" s="1" t="s">
        <v>433</v>
      </c>
      <c r="B228" s="41" t="s">
        <v>2075</v>
      </c>
    </row>
    <row r="229" spans="1:2" ht="29" x14ac:dyDescent="0.35">
      <c r="A229" s="1" t="s">
        <v>467</v>
      </c>
      <c r="B229" s="41" t="s">
        <v>2076</v>
      </c>
    </row>
    <row r="230" spans="1:2" ht="29" x14ac:dyDescent="0.35">
      <c r="A230" s="1" t="s">
        <v>471</v>
      </c>
      <c r="B230" s="41" t="s">
        <v>2077</v>
      </c>
    </row>
    <row r="231" spans="1:2" ht="29" x14ac:dyDescent="0.35">
      <c r="A231" s="1" t="s">
        <v>479</v>
      </c>
      <c r="B231" s="41" t="s">
        <v>2078</v>
      </c>
    </row>
    <row r="232" spans="1:2" ht="29" x14ac:dyDescent="0.35">
      <c r="A232" s="1" t="s">
        <v>475</v>
      </c>
      <c r="B232" s="41" t="s">
        <v>2079</v>
      </c>
    </row>
    <row r="233" spans="1:2" x14ac:dyDescent="0.35">
      <c r="A233" s="1" t="s">
        <v>418</v>
      </c>
      <c r="B233" s="41" t="s">
        <v>2080</v>
      </c>
    </row>
    <row r="234" spans="1:2" x14ac:dyDescent="0.35">
      <c r="A234" s="1" t="s">
        <v>1872</v>
      </c>
      <c r="B234" s="41" t="s">
        <v>2081</v>
      </c>
    </row>
    <row r="235" spans="1:2" ht="43.5" x14ac:dyDescent="0.35">
      <c r="A235" s="1" t="s">
        <v>487</v>
      </c>
      <c r="B235" s="41" t="s">
        <v>2082</v>
      </c>
    </row>
    <row r="236" spans="1:2" ht="43.5" x14ac:dyDescent="0.35">
      <c r="A236" s="1" t="s">
        <v>483</v>
      </c>
      <c r="B236" s="41" t="s">
        <v>2083</v>
      </c>
    </row>
    <row r="237" spans="1:2" ht="29" x14ac:dyDescent="0.35">
      <c r="A237" s="1" t="s">
        <v>491</v>
      </c>
      <c r="B237" s="41" t="s">
        <v>2084</v>
      </c>
    </row>
    <row r="238" spans="1:2" x14ac:dyDescent="0.35">
      <c r="A238" s="1" t="s">
        <v>466</v>
      </c>
      <c r="B238" s="41" t="s">
        <v>2085</v>
      </c>
    </row>
    <row r="239" spans="1:2" ht="29" x14ac:dyDescent="0.35">
      <c r="A239" s="1" t="s">
        <v>470</v>
      </c>
      <c r="B239" s="41" t="s">
        <v>2086</v>
      </c>
    </row>
    <row r="240" spans="1:2" x14ac:dyDescent="0.35">
      <c r="A240" s="1" t="s">
        <v>478</v>
      </c>
      <c r="B240" s="41" t="s">
        <v>2087</v>
      </c>
    </row>
    <row r="241" spans="1:2" x14ac:dyDescent="0.35">
      <c r="A241" s="1" t="s">
        <v>474</v>
      </c>
      <c r="B241" s="41" t="s">
        <v>2088</v>
      </c>
    </row>
    <row r="242" spans="1:2" x14ac:dyDescent="0.35">
      <c r="A242" s="1" t="s">
        <v>1873</v>
      </c>
      <c r="B242" s="41" t="s">
        <v>2089</v>
      </c>
    </row>
    <row r="243" spans="1:2" x14ac:dyDescent="0.35">
      <c r="A243" s="1" t="s">
        <v>1874</v>
      </c>
      <c r="B243" s="41" t="s">
        <v>2090</v>
      </c>
    </row>
    <row r="244" spans="1:2" x14ac:dyDescent="0.35">
      <c r="A244" s="1" t="s">
        <v>507</v>
      </c>
      <c r="B244" s="41" t="s">
        <v>2091</v>
      </c>
    </row>
    <row r="245" spans="1:2" x14ac:dyDescent="0.35">
      <c r="A245" s="1" t="s">
        <v>503</v>
      </c>
      <c r="B245" s="41" t="s">
        <v>2092</v>
      </c>
    </row>
    <row r="246" spans="1:2" ht="29" x14ac:dyDescent="0.35">
      <c r="A246" s="1" t="s">
        <v>486</v>
      </c>
      <c r="B246" s="41" t="s">
        <v>2093</v>
      </c>
    </row>
    <row r="247" spans="1:2" ht="29" x14ac:dyDescent="0.35">
      <c r="A247" s="1" t="s">
        <v>482</v>
      </c>
      <c r="B247" s="41" t="s">
        <v>2094</v>
      </c>
    </row>
    <row r="248" spans="1:2" x14ac:dyDescent="0.35">
      <c r="A248" s="1" t="s">
        <v>490</v>
      </c>
      <c r="B248" s="41" t="s">
        <v>2095</v>
      </c>
    </row>
    <row r="249" spans="1:2" x14ac:dyDescent="0.35">
      <c r="A249" s="1" t="s">
        <v>413</v>
      </c>
      <c r="B249" s="41" t="s">
        <v>2096</v>
      </c>
    </row>
    <row r="250" spans="1:2" x14ac:dyDescent="0.35">
      <c r="A250" s="1" t="s">
        <v>413</v>
      </c>
      <c r="B250" s="41" t="s">
        <v>1875</v>
      </c>
    </row>
    <row r="251" spans="1:2" x14ac:dyDescent="0.35">
      <c r="A251" s="1" t="s">
        <v>562</v>
      </c>
      <c r="B251" s="41" t="s">
        <v>2097</v>
      </c>
    </row>
    <row r="252" spans="1:2" x14ac:dyDescent="0.35">
      <c r="A252" s="1" t="s">
        <v>561</v>
      </c>
      <c r="B252" s="41" t="s">
        <v>2098</v>
      </c>
    </row>
    <row r="253" spans="1:2" x14ac:dyDescent="0.35">
      <c r="A253" s="1" t="s">
        <v>1532</v>
      </c>
      <c r="B253" s="41" t="s">
        <v>2099</v>
      </c>
    </row>
    <row r="254" spans="1:2" x14ac:dyDescent="0.35">
      <c r="A254" s="1" t="s">
        <v>1523</v>
      </c>
      <c r="B254" s="41" t="s">
        <v>2100</v>
      </c>
    </row>
    <row r="255" spans="1:2" x14ac:dyDescent="0.35">
      <c r="A255" s="1" t="s">
        <v>1538</v>
      </c>
      <c r="B255" s="41" t="s">
        <v>2101</v>
      </c>
    </row>
    <row r="256" spans="1:2" x14ac:dyDescent="0.35">
      <c r="A256" s="1" t="s">
        <v>1876</v>
      </c>
      <c r="B256" s="41" t="s">
        <v>2102</v>
      </c>
    </row>
    <row r="257" spans="1:2" x14ac:dyDescent="0.35">
      <c r="A257" s="1" t="s">
        <v>1877</v>
      </c>
      <c r="B257" s="41" t="s">
        <v>2103</v>
      </c>
    </row>
    <row r="258" spans="1:2" x14ac:dyDescent="0.35">
      <c r="A258" s="1" t="s">
        <v>337</v>
      </c>
      <c r="B258" s="41" t="s">
        <v>2104</v>
      </c>
    </row>
    <row r="259" spans="1:2" x14ac:dyDescent="0.35">
      <c r="A259" s="1" t="s">
        <v>1878</v>
      </c>
      <c r="B259" s="41" t="s">
        <v>2105</v>
      </c>
    </row>
    <row r="260" spans="1:2" x14ac:dyDescent="0.35">
      <c r="A260" s="1" t="s">
        <v>176</v>
      </c>
      <c r="B260" s="41" t="s">
        <v>2106</v>
      </c>
    </row>
    <row r="261" spans="1:2" x14ac:dyDescent="0.35">
      <c r="A261" s="1" t="s">
        <v>499</v>
      </c>
      <c r="B261" s="41" t="s">
        <v>2107</v>
      </c>
    </row>
    <row r="262" spans="1:2" x14ac:dyDescent="0.35">
      <c r="A262" s="1" t="s">
        <v>306</v>
      </c>
      <c r="B262" s="41" t="s">
        <v>2108</v>
      </c>
    </row>
    <row r="263" spans="1:2" x14ac:dyDescent="0.35">
      <c r="A263" s="1" t="s">
        <v>1879</v>
      </c>
      <c r="B263" s="41" t="s">
        <v>2109</v>
      </c>
    </row>
    <row r="264" spans="1:2" ht="29" x14ac:dyDescent="0.35">
      <c r="A264" s="1" t="s">
        <v>1880</v>
      </c>
      <c r="B264" s="41" t="s">
        <v>2110</v>
      </c>
    </row>
    <row r="265" spans="1:2" ht="29" x14ac:dyDescent="0.35">
      <c r="A265" s="1" t="s">
        <v>1881</v>
      </c>
      <c r="B265" s="41" t="s">
        <v>2111</v>
      </c>
    </row>
    <row r="266" spans="1:2" x14ac:dyDescent="0.35">
      <c r="A266" s="1" t="s">
        <v>1882</v>
      </c>
      <c r="B266" s="41" t="s">
        <v>2112</v>
      </c>
    </row>
    <row r="267" spans="1:2" x14ac:dyDescent="0.35">
      <c r="A267" s="1" t="s">
        <v>1883</v>
      </c>
      <c r="B267" s="41" t="s">
        <v>2113</v>
      </c>
    </row>
    <row r="268" spans="1:2" x14ac:dyDescent="0.35">
      <c r="A268" s="1" t="s">
        <v>534</v>
      </c>
      <c r="B268" s="41" t="s">
        <v>2114</v>
      </c>
    </row>
    <row r="269" spans="1:2" x14ac:dyDescent="0.35">
      <c r="A269" s="1" t="s">
        <v>535</v>
      </c>
      <c r="B269" s="41" t="s">
        <v>2115</v>
      </c>
    </row>
    <row r="270" spans="1:2" x14ac:dyDescent="0.35">
      <c r="A270" s="1" t="s">
        <v>513</v>
      </c>
      <c r="B270" s="41" t="s">
        <v>2116</v>
      </c>
    </row>
    <row r="271" spans="1:2" x14ac:dyDescent="0.35">
      <c r="A271" s="1" t="s">
        <v>540</v>
      </c>
      <c r="B271" s="41" t="s">
        <v>2117</v>
      </c>
    </row>
    <row r="272" spans="1:2" x14ac:dyDescent="0.35">
      <c r="A272" s="1" t="s">
        <v>539</v>
      </c>
      <c r="B272" s="41" t="s">
        <v>2118</v>
      </c>
    </row>
    <row r="273" spans="1:2" x14ac:dyDescent="0.35">
      <c r="A273" s="1" t="s">
        <v>1884</v>
      </c>
      <c r="B273" s="41" t="s">
        <v>2119</v>
      </c>
    </row>
    <row r="274" spans="1:2" x14ac:dyDescent="0.35">
      <c r="A274" s="1" t="s">
        <v>1541</v>
      </c>
      <c r="B274" s="41" t="s">
        <v>2120</v>
      </c>
    </row>
    <row r="275" spans="1:2" x14ac:dyDescent="0.35">
      <c r="A275" s="1" t="s">
        <v>1542</v>
      </c>
      <c r="B275" s="41" t="s">
        <v>2121</v>
      </c>
    </row>
    <row r="276" spans="1:2" x14ac:dyDescent="0.35">
      <c r="A276" s="1" t="s">
        <v>1885</v>
      </c>
      <c r="B276" s="41" t="s">
        <v>2122</v>
      </c>
    </row>
    <row r="277" spans="1:2" x14ac:dyDescent="0.35">
      <c r="A277" s="1" t="s">
        <v>1886</v>
      </c>
      <c r="B277" s="41" t="s">
        <v>1957</v>
      </c>
    </row>
    <row r="278" spans="1:2" x14ac:dyDescent="0.35">
      <c r="A278" s="1" t="s">
        <v>1887</v>
      </c>
      <c r="B278" s="41" t="s">
        <v>2123</v>
      </c>
    </row>
    <row r="279" spans="1:2" x14ac:dyDescent="0.35">
      <c r="A279" s="1" t="s">
        <v>598</v>
      </c>
      <c r="B279" s="41" t="s">
        <v>2124</v>
      </c>
    </row>
    <row r="280" spans="1:2" x14ac:dyDescent="0.35">
      <c r="A280" s="1" t="s">
        <v>597</v>
      </c>
      <c r="B280" s="41" t="s">
        <v>2125</v>
      </c>
    </row>
    <row r="281" spans="1:2" x14ac:dyDescent="0.35">
      <c r="A281" s="1" t="s">
        <v>597</v>
      </c>
      <c r="B281" s="41" t="s">
        <v>2125</v>
      </c>
    </row>
    <row r="282" spans="1:2" x14ac:dyDescent="0.35">
      <c r="A282" s="1" t="s">
        <v>599</v>
      </c>
      <c r="B282" s="41" t="s">
        <v>2126</v>
      </c>
    </row>
    <row r="283" spans="1:2" x14ac:dyDescent="0.35">
      <c r="A283" s="1" t="s">
        <v>1531</v>
      </c>
      <c r="B283" s="41" t="s">
        <v>2127</v>
      </c>
    </row>
    <row r="284" spans="1:2" x14ac:dyDescent="0.35">
      <c r="A284" s="1" t="s">
        <v>1888</v>
      </c>
      <c r="B284" s="41" t="s">
        <v>2128</v>
      </c>
    </row>
    <row r="285" spans="1:2" ht="29" x14ac:dyDescent="0.35">
      <c r="A285" s="1" t="s">
        <v>1889</v>
      </c>
      <c r="B285" s="41" t="s">
        <v>2129</v>
      </c>
    </row>
    <row r="286" spans="1:2" x14ac:dyDescent="0.35">
      <c r="A286" s="1" t="s">
        <v>579</v>
      </c>
      <c r="B286" s="41" t="s">
        <v>2130</v>
      </c>
    </row>
    <row r="287" spans="1:2" x14ac:dyDescent="0.35">
      <c r="A287" s="1" t="s">
        <v>578</v>
      </c>
      <c r="B287" s="41" t="s">
        <v>2131</v>
      </c>
    </row>
    <row r="288" spans="1:2" ht="29" x14ac:dyDescent="0.35">
      <c r="A288" s="1" t="s">
        <v>441</v>
      </c>
      <c r="B288" s="41" t="s">
        <v>2132</v>
      </c>
    </row>
    <row r="289" spans="1:2" ht="29" x14ac:dyDescent="0.35">
      <c r="A289" s="1" t="s">
        <v>445</v>
      </c>
      <c r="B289" s="41" t="s">
        <v>2133</v>
      </c>
    </row>
    <row r="290" spans="1:2" ht="29" x14ac:dyDescent="0.35">
      <c r="A290" s="1" t="s">
        <v>453</v>
      </c>
      <c r="B290" s="41" t="s">
        <v>2134</v>
      </c>
    </row>
    <row r="291" spans="1:2" ht="29" x14ac:dyDescent="0.35">
      <c r="A291" s="1" t="s">
        <v>449</v>
      </c>
      <c r="B291" s="41" t="s">
        <v>2135</v>
      </c>
    </row>
    <row r="292" spans="1:2" x14ac:dyDescent="0.35">
      <c r="A292" s="1" t="s">
        <v>417</v>
      </c>
      <c r="B292" s="41" t="s">
        <v>2136</v>
      </c>
    </row>
    <row r="293" spans="1:2" x14ac:dyDescent="0.35">
      <c r="A293" s="1" t="s">
        <v>1890</v>
      </c>
      <c r="B293" s="41" t="s">
        <v>2137</v>
      </c>
    </row>
    <row r="294" spans="1:2" ht="29" x14ac:dyDescent="0.35">
      <c r="A294" s="1" t="s">
        <v>1891</v>
      </c>
      <c r="B294" s="41" t="s">
        <v>2138</v>
      </c>
    </row>
    <row r="295" spans="1:2" ht="29" x14ac:dyDescent="0.35">
      <c r="A295" s="1" t="s">
        <v>1892</v>
      </c>
      <c r="B295" s="41" t="s">
        <v>2139</v>
      </c>
    </row>
    <row r="296" spans="1:2" ht="29" x14ac:dyDescent="0.35">
      <c r="A296" s="1" t="s">
        <v>1893</v>
      </c>
      <c r="B296" s="41" t="s">
        <v>2140</v>
      </c>
    </row>
    <row r="297" spans="1:2" ht="29" x14ac:dyDescent="0.35">
      <c r="A297" s="1" t="s">
        <v>424</v>
      </c>
      <c r="B297" s="41" t="s">
        <v>2141</v>
      </c>
    </row>
    <row r="298" spans="1:2" ht="29" x14ac:dyDescent="0.35">
      <c r="A298" s="1" t="s">
        <v>436</v>
      </c>
      <c r="B298" s="41" t="s">
        <v>2142</v>
      </c>
    </row>
    <row r="299" spans="1:2" ht="29" x14ac:dyDescent="0.35">
      <c r="A299" s="1" t="s">
        <v>469</v>
      </c>
      <c r="B299" s="41" t="s">
        <v>2143</v>
      </c>
    </row>
    <row r="300" spans="1:2" ht="29" x14ac:dyDescent="0.35">
      <c r="A300" s="1" t="s">
        <v>473</v>
      </c>
      <c r="B300" s="41" t="s">
        <v>2144</v>
      </c>
    </row>
    <row r="301" spans="1:2" ht="29" x14ac:dyDescent="0.35">
      <c r="A301" s="1" t="s">
        <v>481</v>
      </c>
      <c r="B301" s="41" t="s">
        <v>2145</v>
      </c>
    </row>
    <row r="302" spans="1:2" ht="29" x14ac:dyDescent="0.35">
      <c r="A302" s="1" t="s">
        <v>477</v>
      </c>
      <c r="B302" s="41" t="s">
        <v>2146</v>
      </c>
    </row>
    <row r="303" spans="1:2" x14ac:dyDescent="0.35">
      <c r="A303" s="1" t="s">
        <v>1894</v>
      </c>
      <c r="B303" s="41" t="s">
        <v>2147</v>
      </c>
    </row>
    <row r="304" spans="1:2" x14ac:dyDescent="0.35">
      <c r="A304" s="1" t="s">
        <v>432</v>
      </c>
      <c r="B304" s="41" t="s">
        <v>2148</v>
      </c>
    </row>
    <row r="305" spans="1:2" x14ac:dyDescent="0.35">
      <c r="A305" s="1" t="s">
        <v>506</v>
      </c>
      <c r="B305" s="41" t="s">
        <v>2149</v>
      </c>
    </row>
    <row r="306" spans="1:2" ht="29" x14ac:dyDescent="0.35">
      <c r="A306" s="1" t="s">
        <v>489</v>
      </c>
      <c r="B306" s="41" t="s">
        <v>2150</v>
      </c>
    </row>
    <row r="307" spans="1:2" ht="29" x14ac:dyDescent="0.35">
      <c r="A307" s="1" t="s">
        <v>485</v>
      </c>
      <c r="B307" s="41" t="s">
        <v>2151</v>
      </c>
    </row>
    <row r="308" spans="1:2" ht="29" x14ac:dyDescent="0.35">
      <c r="A308" s="1" t="s">
        <v>493</v>
      </c>
      <c r="B308" s="41" t="s">
        <v>2152</v>
      </c>
    </row>
    <row r="309" spans="1:2" x14ac:dyDescent="0.35">
      <c r="A309" s="1" t="s">
        <v>502</v>
      </c>
      <c r="B309" s="41" t="s">
        <v>2153</v>
      </c>
    </row>
    <row r="310" spans="1:2" x14ac:dyDescent="0.35">
      <c r="A310" s="1" t="s">
        <v>1895</v>
      </c>
      <c r="B310" s="41" t="s">
        <v>2154</v>
      </c>
    </row>
    <row r="311" spans="1:2" x14ac:dyDescent="0.35">
      <c r="A311" s="1" t="s">
        <v>1896</v>
      </c>
      <c r="B311" s="41" t="s">
        <v>2155</v>
      </c>
    </row>
    <row r="312" spans="1:2" x14ac:dyDescent="0.35">
      <c r="A312" s="1" t="s">
        <v>1897</v>
      </c>
      <c r="B312" s="41" t="s">
        <v>2156</v>
      </c>
    </row>
    <row r="313" spans="1:2" x14ac:dyDescent="0.35">
      <c r="A313" s="1" t="s">
        <v>287</v>
      </c>
      <c r="B313" s="41" t="s">
        <v>2157</v>
      </c>
    </row>
  </sheetData>
  <sortState xmlns:xlrd2="http://schemas.microsoft.com/office/spreadsheetml/2017/richdata2" ref="A2:A313">
    <sortCondition ref="A2:A313"/>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43B28-0169-49B3-8BE6-02BCB0048EFB}">
  <sheetPr codeName="Sheet9"/>
  <dimension ref="A2:HF96"/>
  <sheetViews>
    <sheetView topLeftCell="A2" zoomScale="70" zoomScaleNormal="70" workbookViewId="0">
      <pane xSplit="3" ySplit="1" topLeftCell="D75" activePane="bottomRight" state="frozen"/>
      <selection pane="topRight" activeCell="D2" sqref="D2"/>
      <selection pane="bottomLeft" activeCell="A3" sqref="A3"/>
      <selection pane="bottomRight" activeCell="F81" sqref="F81"/>
    </sheetView>
  </sheetViews>
  <sheetFormatPr defaultColWidth="8.7265625" defaultRowHeight="12.5" x14ac:dyDescent="0.25"/>
  <cols>
    <col min="1" max="1" width="4.453125" style="6" customWidth="1"/>
    <col min="2" max="2" width="12" style="6" customWidth="1"/>
    <col min="3" max="3" width="28.54296875" style="6" customWidth="1"/>
    <col min="4" max="16384" width="8.7265625" style="6"/>
  </cols>
  <sheetData>
    <row r="2" spans="1:214" ht="113.5" x14ac:dyDescent="0.35">
      <c r="D2" s="6" t="s">
        <v>138</v>
      </c>
      <c r="E2" s="6" t="s">
        <v>139</v>
      </c>
      <c r="F2" s="6" t="s">
        <v>140</v>
      </c>
      <c r="G2" s="6" t="s">
        <v>141</v>
      </c>
      <c r="H2" s="6" t="s">
        <v>142</v>
      </c>
      <c r="I2" s="1" t="s">
        <v>143</v>
      </c>
      <c r="J2" s="1" t="s">
        <v>144</v>
      </c>
      <c r="K2" s="1" t="s">
        <v>146</v>
      </c>
      <c r="L2" s="1" t="s">
        <v>145</v>
      </c>
      <c r="M2" s="1" t="s">
        <v>147</v>
      </c>
      <c r="N2" s="6" t="s">
        <v>609</v>
      </c>
      <c r="O2" s="1" t="s">
        <v>169</v>
      </c>
      <c r="P2" s="6" t="s">
        <v>643</v>
      </c>
      <c r="Q2" s="6" t="s">
        <v>183</v>
      </c>
      <c r="R2" s="6" t="s">
        <v>179</v>
      </c>
      <c r="S2" s="6" t="s">
        <v>625</v>
      </c>
      <c r="T2" s="6" t="s">
        <v>751</v>
      </c>
      <c r="U2" s="6" t="s">
        <v>752</v>
      </c>
      <c r="V2" s="6" t="s">
        <v>167</v>
      </c>
      <c r="W2" s="1" t="s">
        <v>1316</v>
      </c>
      <c r="X2" s="6" t="s">
        <v>668</v>
      </c>
      <c r="Y2" s="6" t="s">
        <v>656</v>
      </c>
      <c r="Z2" s="6" t="s">
        <v>626</v>
      </c>
      <c r="AA2" s="6" t="s">
        <v>153</v>
      </c>
      <c r="AB2" s="6" t="s">
        <v>697</v>
      </c>
      <c r="AC2" s="6" t="s">
        <v>696</v>
      </c>
      <c r="AD2" s="6" t="s">
        <v>586</v>
      </c>
      <c r="AE2" s="6" t="s">
        <v>672</v>
      </c>
      <c r="AF2" s="6" t="s">
        <v>673</v>
      </c>
      <c r="AG2" s="6" t="s">
        <v>199</v>
      </c>
      <c r="AH2" s="6" t="s">
        <v>657</v>
      </c>
      <c r="AI2" s="6" t="s">
        <v>695</v>
      </c>
      <c r="AJ2" s="6" t="s">
        <v>649</v>
      </c>
      <c r="AK2" s="6" t="s">
        <v>650</v>
      </c>
      <c r="AL2" s="6" t="s">
        <v>653</v>
      </c>
      <c r="AM2" s="6" t="s">
        <v>690</v>
      </c>
      <c r="AN2" s="6" t="s">
        <v>651</v>
      </c>
      <c r="AO2" s="6" t="s">
        <v>654</v>
      </c>
      <c r="AP2" s="6" t="s">
        <v>693</v>
      </c>
      <c r="AQ2" s="6" t="s">
        <v>652</v>
      </c>
      <c r="AR2" s="6" t="s">
        <v>655</v>
      </c>
      <c r="AS2" s="6" t="s">
        <v>767</v>
      </c>
      <c r="AT2" s="6" t="s">
        <v>769</v>
      </c>
      <c r="AU2" s="6" t="s">
        <v>768</v>
      </c>
      <c r="AV2" s="6" t="s">
        <v>762</v>
      </c>
      <c r="AW2" s="6" t="s">
        <v>623</v>
      </c>
      <c r="AX2" s="6" t="s">
        <v>742</v>
      </c>
      <c r="AY2" s="6" t="s">
        <v>743</v>
      </c>
      <c r="AZ2" s="6" t="s">
        <v>744</v>
      </c>
      <c r="BA2" s="6" t="s">
        <v>745</v>
      </c>
      <c r="BB2" s="6" t="s">
        <v>746</v>
      </c>
      <c r="BC2" s="6" t="s">
        <v>622</v>
      </c>
      <c r="BD2" s="6" t="s">
        <v>617</v>
      </c>
      <c r="BE2" s="6" t="s">
        <v>620</v>
      </c>
      <c r="BF2" s="6" t="s">
        <v>621</v>
      </c>
      <c r="BG2" s="6" t="s">
        <v>618</v>
      </c>
      <c r="BH2" s="6" t="s">
        <v>619</v>
      </c>
      <c r="BI2" s="6" t="s">
        <v>616</v>
      </c>
      <c r="BJ2" s="6" t="s">
        <v>686</v>
      </c>
      <c r="BK2" s="6" t="s">
        <v>338</v>
      </c>
      <c r="BL2" s="1" t="s">
        <v>1589</v>
      </c>
      <c r="BM2" s="6" t="s">
        <v>1590</v>
      </c>
      <c r="BN2" s="1" t="s">
        <v>1591</v>
      </c>
      <c r="BO2" s="6" t="s">
        <v>202</v>
      </c>
      <c r="BP2" s="6" t="s">
        <v>207</v>
      </c>
      <c r="BQ2" s="6" t="s">
        <v>685</v>
      </c>
      <c r="BR2" s="6" t="s">
        <v>684</v>
      </c>
      <c r="BS2" s="6" t="s">
        <v>648</v>
      </c>
      <c r="BT2" s="6" t="s">
        <v>209</v>
      </c>
      <c r="BU2" s="6" t="s">
        <v>1592</v>
      </c>
      <c r="BV2" s="6" t="s">
        <v>184</v>
      </c>
      <c r="BW2" s="6" t="s">
        <v>637</v>
      </c>
      <c r="BX2" s="6" t="s">
        <v>638</v>
      </c>
      <c r="BY2" s="6" t="s">
        <v>758</v>
      </c>
      <c r="BZ2" s="6" t="s">
        <v>759</v>
      </c>
      <c r="CA2" s="6" t="s">
        <v>755</v>
      </c>
      <c r="CB2" s="6" t="s">
        <v>754</v>
      </c>
      <c r="CC2" s="6" t="s">
        <v>757</v>
      </c>
      <c r="CD2" s="6" t="s">
        <v>756</v>
      </c>
      <c r="CE2" s="6" t="s">
        <v>675</v>
      </c>
      <c r="CF2" s="6" t="s">
        <v>1593</v>
      </c>
      <c r="CG2" s="6" t="s">
        <v>738</v>
      </c>
      <c r="CH2" s="6" t="s">
        <v>763</v>
      </c>
      <c r="CI2" s="6" t="s">
        <v>717</v>
      </c>
      <c r="CJ2" s="6" t="s">
        <v>715</v>
      </c>
      <c r="CK2" s="6" t="s">
        <v>719</v>
      </c>
      <c r="CL2" s="6" t="s">
        <v>731</v>
      </c>
      <c r="CM2" s="6" t="s">
        <v>716</v>
      </c>
      <c r="CN2" s="6" t="s">
        <v>730</v>
      </c>
      <c r="CO2" s="6" t="s">
        <v>724</v>
      </c>
      <c r="CP2" s="6" t="s">
        <v>154</v>
      </c>
      <c r="CQ2" s="6" t="s">
        <v>770</v>
      </c>
      <c r="CR2" s="6" t="s">
        <v>772</v>
      </c>
      <c r="CS2" s="6" t="s">
        <v>771</v>
      </c>
      <c r="CT2" s="6" t="s">
        <v>748</v>
      </c>
      <c r="CU2" s="6" t="s">
        <v>765</v>
      </c>
      <c r="CV2" s="6" t="s">
        <v>699</v>
      </c>
      <c r="CW2" s="6" t="s">
        <v>700</v>
      </c>
      <c r="CX2" s="6" t="s">
        <v>1594</v>
      </c>
      <c r="CY2" s="6" t="s">
        <v>664</v>
      </c>
      <c r="CZ2" s="6" t="s">
        <v>665</v>
      </c>
      <c r="DA2" s="6" t="s">
        <v>666</v>
      </c>
      <c r="DB2" s="6" t="s">
        <v>152</v>
      </c>
      <c r="DC2" s="6" t="s">
        <v>1595</v>
      </c>
      <c r="DD2" s="6" t="s">
        <v>170</v>
      </c>
      <c r="DE2" s="6" t="s">
        <v>671</v>
      </c>
      <c r="DF2" s="6" t="s">
        <v>687</v>
      </c>
      <c r="DG2" s="6" t="s">
        <v>688</v>
      </c>
      <c r="DH2" s="6" t="s">
        <v>641</v>
      </c>
      <c r="DI2" s="6" t="s">
        <v>632</v>
      </c>
      <c r="DJ2" s="6" t="s">
        <v>734</v>
      </c>
      <c r="DK2" s="6" t="s">
        <v>1596</v>
      </c>
      <c r="DL2" s="1" t="s">
        <v>760</v>
      </c>
      <c r="DM2" s="6" t="s">
        <v>761</v>
      </c>
      <c r="DN2" s="6" t="s">
        <v>658</v>
      </c>
      <c r="DO2" s="6" t="s">
        <v>1597</v>
      </c>
      <c r="DP2" s="6" t="s">
        <v>660</v>
      </c>
      <c r="DQ2" s="6" t="s">
        <v>677</v>
      </c>
      <c r="DR2" s="6" t="s">
        <v>628</v>
      </c>
      <c r="DS2" s="6" t="s">
        <v>635</v>
      </c>
      <c r="DT2" s="6" t="s">
        <v>636</v>
      </c>
      <c r="DU2" s="6" t="s">
        <v>412</v>
      </c>
      <c r="DV2" s="6" t="s">
        <v>644</v>
      </c>
      <c r="DW2" s="6" t="s">
        <v>676</v>
      </c>
      <c r="DX2" s="6" t="s">
        <v>708</v>
      </c>
      <c r="DY2" s="6" t="s">
        <v>737</v>
      </c>
      <c r="DZ2" s="6" t="s">
        <v>1598</v>
      </c>
      <c r="EA2" s="6" t="s">
        <v>1599</v>
      </c>
      <c r="EB2" s="6" t="s">
        <v>720</v>
      </c>
      <c r="EC2" s="6" t="s">
        <v>721</v>
      </c>
      <c r="ED2" s="6" t="s">
        <v>674</v>
      </c>
      <c r="EE2" s="6" t="s">
        <v>722</v>
      </c>
      <c r="EF2" s="6" t="s">
        <v>707</v>
      </c>
      <c r="EG2" s="6" t="s">
        <v>703</v>
      </c>
      <c r="EH2" s="6" t="s">
        <v>706</v>
      </c>
      <c r="EI2" s="6" t="s">
        <v>704</v>
      </c>
      <c r="EJ2" s="6" t="s">
        <v>702</v>
      </c>
      <c r="EK2" s="6" t="s">
        <v>705</v>
      </c>
      <c r="EL2" s="6" t="s">
        <v>640</v>
      </c>
      <c r="EM2" s="6" t="s">
        <v>689</v>
      </c>
      <c r="EN2" s="6" t="s">
        <v>630</v>
      </c>
      <c r="EO2" s="6" t="s">
        <v>739</v>
      </c>
      <c r="EP2" s="6" t="s">
        <v>741</v>
      </c>
      <c r="EQ2" s="6" t="s">
        <v>740</v>
      </c>
      <c r="ER2" s="6" t="s">
        <v>736</v>
      </c>
      <c r="ES2" s="6" t="s">
        <v>747</v>
      </c>
      <c r="ET2" s="6" t="s">
        <v>634</v>
      </c>
      <c r="EU2" s="6" t="s">
        <v>749</v>
      </c>
      <c r="EV2" s="6" t="s">
        <v>381</v>
      </c>
      <c r="EW2" s="6" t="s">
        <v>714</v>
      </c>
      <c r="EX2" s="6" t="s">
        <v>726</v>
      </c>
      <c r="EY2" s="6" t="s">
        <v>210</v>
      </c>
      <c r="EZ2" s="6" t="s">
        <v>727</v>
      </c>
      <c r="FA2" s="6" t="s">
        <v>718</v>
      </c>
      <c r="FB2" s="6" t="s">
        <v>723</v>
      </c>
      <c r="FC2" s="6" t="s">
        <v>725</v>
      </c>
      <c r="FD2" s="6" t="s">
        <v>729</v>
      </c>
      <c r="FE2" s="6" t="s">
        <v>211</v>
      </c>
      <c r="FF2" s="6" t="s">
        <v>728</v>
      </c>
      <c r="FG2" s="6" t="s">
        <v>712</v>
      </c>
      <c r="FH2" s="6" t="s">
        <v>713</v>
      </c>
      <c r="FI2" s="6" t="s">
        <v>711</v>
      </c>
      <c r="FJ2" s="6" t="s">
        <v>709</v>
      </c>
      <c r="FK2" s="6" t="s">
        <v>682</v>
      </c>
      <c r="FL2" s="6" t="s">
        <v>683</v>
      </c>
      <c r="FM2" s="6" t="s">
        <v>691</v>
      </c>
      <c r="FN2" s="6" t="s">
        <v>681</v>
      </c>
      <c r="FO2" s="6" t="s">
        <v>642</v>
      </c>
      <c r="FP2" s="6" t="s">
        <v>710</v>
      </c>
      <c r="FQ2" s="6" t="s">
        <v>766</v>
      </c>
      <c r="FR2" s="6" t="s">
        <v>750</v>
      </c>
      <c r="FS2" s="6" t="s">
        <v>694</v>
      </c>
      <c r="FT2" s="6" t="s">
        <v>679</v>
      </c>
      <c r="FU2" s="6" t="s">
        <v>680</v>
      </c>
      <c r="FV2" s="6" t="s">
        <v>692</v>
      </c>
      <c r="FW2" s="6" t="s">
        <v>678</v>
      </c>
      <c r="FX2" s="6" t="s">
        <v>701</v>
      </c>
      <c r="FY2" s="1" t="s">
        <v>299</v>
      </c>
      <c r="FZ2" s="1" t="s">
        <v>298</v>
      </c>
      <c r="GA2" s="6" t="s">
        <v>629</v>
      </c>
      <c r="GB2" s="6" t="s">
        <v>340</v>
      </c>
      <c r="GC2" s="6" t="s">
        <v>335</v>
      </c>
      <c r="GD2" s="6" t="s">
        <v>667</v>
      </c>
      <c r="GE2" s="6" t="s">
        <v>1600</v>
      </c>
      <c r="GF2" s="6" t="s">
        <v>624</v>
      </c>
      <c r="GG2" s="6" t="s">
        <v>155</v>
      </c>
      <c r="GH2" s="6" t="s">
        <v>499</v>
      </c>
      <c r="GI2" s="6" t="s">
        <v>607</v>
      </c>
      <c r="GJ2" s="6" t="s">
        <v>669</v>
      </c>
      <c r="GK2" s="6" t="s">
        <v>633</v>
      </c>
      <c r="GL2" s="6" t="s">
        <v>732</v>
      </c>
      <c r="GM2" s="6" t="s">
        <v>1601</v>
      </c>
      <c r="GN2" s="6" t="s">
        <v>195</v>
      </c>
      <c r="GO2" s="6" t="s">
        <v>661</v>
      </c>
      <c r="GP2" s="6" t="s">
        <v>662</v>
      </c>
      <c r="GQ2" s="6" t="s">
        <v>663</v>
      </c>
      <c r="GR2" s="6" t="s">
        <v>647</v>
      </c>
      <c r="GS2" s="6" t="s">
        <v>645</v>
      </c>
      <c r="GT2" s="6" t="s">
        <v>646</v>
      </c>
      <c r="GU2" s="6" t="s">
        <v>733</v>
      </c>
      <c r="GV2" s="6" t="s">
        <v>753</v>
      </c>
      <c r="GW2" s="6" t="s">
        <v>735</v>
      </c>
      <c r="GX2" s="6" t="s">
        <v>670</v>
      </c>
      <c r="GY2" s="6" t="s">
        <v>773</v>
      </c>
      <c r="GZ2" s="6" t="s">
        <v>775</v>
      </c>
      <c r="HA2" s="6" t="s">
        <v>774</v>
      </c>
      <c r="HB2" s="6" t="s">
        <v>764</v>
      </c>
      <c r="HC2" s="6" t="s">
        <v>639</v>
      </c>
      <c r="HD2" s="6" t="s">
        <v>698</v>
      </c>
      <c r="HE2" s="6" t="s">
        <v>631</v>
      </c>
    </row>
    <row r="3" spans="1:214" ht="50" x14ac:dyDescent="0.25">
      <c r="A3" s="6" t="s">
        <v>543</v>
      </c>
      <c r="B3" s="6" t="s">
        <v>87</v>
      </c>
      <c r="C3" s="2" t="s">
        <v>905</v>
      </c>
      <c r="D3" s="6" t="s">
        <v>778</v>
      </c>
      <c r="E3" s="6" t="s">
        <v>778</v>
      </c>
      <c r="F3" s="6" t="s">
        <v>778</v>
      </c>
      <c r="G3" s="6" t="s">
        <v>778</v>
      </c>
      <c r="H3" s="6" t="s">
        <v>778</v>
      </c>
      <c r="BD3" s="6" t="s">
        <v>778</v>
      </c>
      <c r="BE3" s="6" t="s">
        <v>778</v>
      </c>
      <c r="BF3" s="6" t="s">
        <v>778</v>
      </c>
      <c r="BG3" s="6" t="s">
        <v>778</v>
      </c>
      <c r="BH3" s="6" t="s">
        <v>778</v>
      </c>
      <c r="BI3" s="6" t="s">
        <v>778</v>
      </c>
      <c r="HF3" s="6">
        <f>SUM(D3:HE3)</f>
        <v>0</v>
      </c>
    </row>
    <row r="4" spans="1:214" ht="50" x14ac:dyDescent="0.25">
      <c r="A4" s="6" t="s">
        <v>543</v>
      </c>
      <c r="B4" s="6" t="s">
        <v>87</v>
      </c>
      <c r="C4" s="6" t="s">
        <v>906</v>
      </c>
      <c r="D4" s="6" t="s">
        <v>778</v>
      </c>
      <c r="E4" s="6" t="s">
        <v>778</v>
      </c>
      <c r="F4" s="6" t="s">
        <v>778</v>
      </c>
      <c r="G4" s="6" t="s">
        <v>778</v>
      </c>
      <c r="H4" s="6" t="s">
        <v>778</v>
      </c>
      <c r="AW4" s="6" t="s">
        <v>778</v>
      </c>
      <c r="BC4" s="6" t="s">
        <v>778</v>
      </c>
      <c r="GF4" s="6" t="s">
        <v>778</v>
      </c>
    </row>
    <row r="5" spans="1:214" ht="50" x14ac:dyDescent="0.25">
      <c r="A5" s="6" t="s">
        <v>543</v>
      </c>
      <c r="B5" s="6" t="s">
        <v>87</v>
      </c>
      <c r="C5" s="6" t="s">
        <v>907</v>
      </c>
      <c r="D5" s="6" t="s">
        <v>778</v>
      </c>
      <c r="E5" s="6" t="s">
        <v>778</v>
      </c>
      <c r="F5" s="6" t="s">
        <v>778</v>
      </c>
      <c r="G5" s="6" t="s">
        <v>778</v>
      </c>
      <c r="H5" s="6" t="s">
        <v>778</v>
      </c>
      <c r="S5" s="6" t="s">
        <v>778</v>
      </c>
      <c r="Z5" s="6" t="s">
        <v>778</v>
      </c>
      <c r="AW5" s="6" t="s">
        <v>778</v>
      </c>
      <c r="GF5" s="6" t="s">
        <v>778</v>
      </c>
      <c r="HF5" s="6">
        <f>SUM(D5:HE5)</f>
        <v>0</v>
      </c>
    </row>
    <row r="6" spans="1:214" ht="50" x14ac:dyDescent="0.25">
      <c r="A6" s="6" t="s">
        <v>543</v>
      </c>
      <c r="B6" s="6" t="s">
        <v>87</v>
      </c>
      <c r="C6" s="6" t="s">
        <v>908</v>
      </c>
      <c r="D6" s="6" t="s">
        <v>778</v>
      </c>
      <c r="E6" s="6" t="s">
        <v>778</v>
      </c>
      <c r="F6" s="6" t="s">
        <v>778</v>
      </c>
      <c r="G6" s="6" t="s">
        <v>778</v>
      </c>
      <c r="H6" s="6" t="s">
        <v>778</v>
      </c>
      <c r="AW6" s="6" t="s">
        <v>778</v>
      </c>
      <c r="BC6" s="6" t="s">
        <v>778</v>
      </c>
      <c r="BU6" s="6" t="s">
        <v>778</v>
      </c>
      <c r="GF6" s="6" t="s">
        <v>778</v>
      </c>
      <c r="HF6" s="6">
        <f t="shared" ref="HF6:HF7" si="0">SUM(D6:HE6)</f>
        <v>0</v>
      </c>
    </row>
    <row r="7" spans="1:214" ht="50" x14ac:dyDescent="0.25">
      <c r="A7" s="6" t="s">
        <v>543</v>
      </c>
      <c r="B7" s="6" t="s">
        <v>87</v>
      </c>
      <c r="C7" s="6" t="s">
        <v>909</v>
      </c>
      <c r="D7" s="6" t="s">
        <v>778</v>
      </c>
      <c r="E7" s="6" t="s">
        <v>778</v>
      </c>
      <c r="F7" s="6" t="s">
        <v>778</v>
      </c>
      <c r="G7" s="6" t="s">
        <v>778</v>
      </c>
      <c r="H7" s="6" t="s">
        <v>778</v>
      </c>
      <c r="I7" s="6" t="s">
        <v>778</v>
      </c>
      <c r="J7" s="6" t="s">
        <v>778</v>
      </c>
      <c r="AW7" s="6" t="s">
        <v>778</v>
      </c>
      <c r="BC7" s="6" t="s">
        <v>778</v>
      </c>
      <c r="GF7" s="6" t="s">
        <v>778</v>
      </c>
      <c r="HF7" s="6">
        <f t="shared" si="0"/>
        <v>0</v>
      </c>
    </row>
    <row r="8" spans="1:214" ht="50" x14ac:dyDescent="0.25">
      <c r="A8" s="6" t="s">
        <v>543</v>
      </c>
      <c r="B8" s="6" t="s">
        <v>87</v>
      </c>
      <c r="C8" s="6" t="s">
        <v>910</v>
      </c>
      <c r="D8" s="6" t="s">
        <v>778</v>
      </c>
      <c r="E8" s="6" t="s">
        <v>778</v>
      </c>
      <c r="F8" s="6" t="s">
        <v>778</v>
      </c>
      <c r="G8" s="6" t="s">
        <v>778</v>
      </c>
      <c r="H8" s="6" t="s">
        <v>778</v>
      </c>
      <c r="AW8" s="6" t="s">
        <v>778</v>
      </c>
      <c r="BC8" s="6" t="s">
        <v>778</v>
      </c>
      <c r="DD8" s="6" t="s">
        <v>778</v>
      </c>
      <c r="GF8" s="6" t="s">
        <v>778</v>
      </c>
      <c r="HF8" s="6">
        <f>SUM(D8:HE8)</f>
        <v>0</v>
      </c>
    </row>
    <row r="9" spans="1:214" ht="62.5" x14ac:dyDescent="0.25">
      <c r="A9" s="6" t="s">
        <v>543</v>
      </c>
      <c r="B9" s="6" t="s">
        <v>87</v>
      </c>
      <c r="C9" s="6" t="s">
        <v>912</v>
      </c>
      <c r="D9" s="6" t="s">
        <v>778</v>
      </c>
      <c r="E9" s="6" t="s">
        <v>778</v>
      </c>
      <c r="F9" s="6" t="s">
        <v>778</v>
      </c>
      <c r="G9" s="6" t="s">
        <v>778</v>
      </c>
      <c r="H9" s="6" t="s">
        <v>778</v>
      </c>
      <c r="AW9" s="6" t="s">
        <v>778</v>
      </c>
      <c r="DR9" s="6" t="s">
        <v>778</v>
      </c>
      <c r="GF9" s="6" t="s">
        <v>778</v>
      </c>
      <c r="HF9" s="6">
        <f>SUM(D9:HE9)</f>
        <v>0</v>
      </c>
    </row>
    <row r="10" spans="1:214" ht="50" x14ac:dyDescent="0.25">
      <c r="A10" s="6" t="s">
        <v>543</v>
      </c>
      <c r="B10" s="6" t="s">
        <v>87</v>
      </c>
      <c r="C10" s="6" t="s">
        <v>913</v>
      </c>
      <c r="D10" s="6" t="s">
        <v>778</v>
      </c>
      <c r="E10" s="6" t="s">
        <v>778</v>
      </c>
      <c r="F10" s="6" t="s">
        <v>778</v>
      </c>
      <c r="G10" s="6" t="s">
        <v>778</v>
      </c>
      <c r="H10" s="6" t="s">
        <v>778</v>
      </c>
      <c r="EN10" s="6" t="s">
        <v>778</v>
      </c>
      <c r="GA10" s="6" t="s">
        <v>778</v>
      </c>
      <c r="HF10" s="6">
        <f>SUM(D10:HE10)</f>
        <v>0</v>
      </c>
    </row>
    <row r="11" spans="1:214" ht="100" x14ac:dyDescent="0.25">
      <c r="A11" s="6" t="s">
        <v>543</v>
      </c>
      <c r="B11" s="6" t="s">
        <v>65</v>
      </c>
      <c r="C11" s="6" t="s">
        <v>914</v>
      </c>
      <c r="D11" s="6" t="s">
        <v>778</v>
      </c>
      <c r="E11" s="6" t="s">
        <v>778</v>
      </c>
      <c r="F11" s="6" t="s">
        <v>778</v>
      </c>
      <c r="G11" s="6" t="s">
        <v>778</v>
      </c>
      <c r="H11" s="6" t="s">
        <v>778</v>
      </c>
      <c r="I11" s="6" t="s">
        <v>778</v>
      </c>
      <c r="J11" s="6" t="s">
        <v>778</v>
      </c>
      <c r="BT11" s="6" t="s">
        <v>778</v>
      </c>
      <c r="BV11" s="6" t="s">
        <v>778</v>
      </c>
      <c r="BW11" s="6" t="s">
        <v>778</v>
      </c>
      <c r="BX11" s="6" t="s">
        <v>778</v>
      </c>
      <c r="DH11" s="6" t="s">
        <v>778</v>
      </c>
      <c r="DI11" s="6" t="s">
        <v>778</v>
      </c>
      <c r="DS11" s="6" t="s">
        <v>778</v>
      </c>
      <c r="DT11" s="6" t="s">
        <v>778</v>
      </c>
      <c r="EL11" s="6" t="s">
        <v>778</v>
      </c>
      <c r="ET11" s="6" t="s">
        <v>778</v>
      </c>
      <c r="FO11" s="6" t="s">
        <v>778</v>
      </c>
      <c r="GK11" s="6" t="s">
        <v>778</v>
      </c>
      <c r="HC11" s="6" t="s">
        <v>778</v>
      </c>
      <c r="HE11" s="6" t="s">
        <v>778</v>
      </c>
      <c r="HF11" s="6">
        <f>SUM(D11:HE11)</f>
        <v>0</v>
      </c>
    </row>
    <row r="12" spans="1:214" ht="87.5" x14ac:dyDescent="0.25">
      <c r="A12" s="6" t="s">
        <v>543</v>
      </c>
      <c r="B12" s="6" t="s">
        <v>65</v>
      </c>
      <c r="C12" s="6" t="s">
        <v>915</v>
      </c>
      <c r="D12" s="6" t="s">
        <v>778</v>
      </c>
      <c r="E12" s="6" t="s">
        <v>778</v>
      </c>
      <c r="F12" s="6" t="s">
        <v>778</v>
      </c>
      <c r="G12" s="6" t="s">
        <v>778</v>
      </c>
      <c r="H12" s="6" t="s">
        <v>778</v>
      </c>
      <c r="O12" s="6" t="s">
        <v>778</v>
      </c>
      <c r="P12" s="6" t="s">
        <v>778</v>
      </c>
      <c r="Y12" s="6" t="s">
        <v>778</v>
      </c>
      <c r="AH12" s="6" t="s">
        <v>778</v>
      </c>
      <c r="AJ12" s="6" t="s">
        <v>778</v>
      </c>
      <c r="AK12" s="6" t="s">
        <v>778</v>
      </c>
      <c r="AN12" s="6" t="s">
        <v>778</v>
      </c>
      <c r="AQ12" s="6" t="s">
        <v>778</v>
      </c>
      <c r="BS12" s="6" t="s">
        <v>778</v>
      </c>
      <c r="BV12" s="6" t="s">
        <v>778</v>
      </c>
      <c r="BW12" s="6" t="s">
        <v>778</v>
      </c>
      <c r="BX12" s="6" t="s">
        <v>778</v>
      </c>
      <c r="DH12" s="6" t="s">
        <v>778</v>
      </c>
      <c r="DV12" s="6" t="s">
        <v>778</v>
      </c>
      <c r="EL12" s="6" t="s">
        <v>778</v>
      </c>
      <c r="GC12" s="6" t="s">
        <v>778</v>
      </c>
      <c r="GR12" s="6" t="s">
        <v>778</v>
      </c>
      <c r="GS12" s="6" t="s">
        <v>778</v>
      </c>
      <c r="GT12" s="6" t="s">
        <v>778</v>
      </c>
      <c r="GU12" s="6" t="s">
        <v>778</v>
      </c>
      <c r="HC12" s="6" t="s">
        <v>778</v>
      </c>
      <c r="HE12" s="6" t="s">
        <v>778</v>
      </c>
      <c r="HF12" s="6">
        <f>SUM(D12:HE12)</f>
        <v>0</v>
      </c>
    </row>
    <row r="13" spans="1:214" ht="125" x14ac:dyDescent="0.25">
      <c r="A13" s="6" t="s">
        <v>543</v>
      </c>
      <c r="B13" s="6" t="s">
        <v>65</v>
      </c>
      <c r="C13" s="6" t="s">
        <v>916</v>
      </c>
      <c r="D13" s="6" t="s">
        <v>778</v>
      </c>
      <c r="E13" s="6" t="s">
        <v>778</v>
      </c>
      <c r="F13" s="6" t="s">
        <v>778</v>
      </c>
      <c r="G13" s="6" t="s">
        <v>778</v>
      </c>
      <c r="H13" s="6" t="s">
        <v>778</v>
      </c>
      <c r="O13" s="6" t="s">
        <v>778</v>
      </c>
      <c r="AH13" s="6" t="s">
        <v>778</v>
      </c>
      <c r="AJ13" s="6" t="s">
        <v>778</v>
      </c>
      <c r="AK13" s="6" t="s">
        <v>778</v>
      </c>
      <c r="AL13" s="6" t="s">
        <v>778</v>
      </c>
      <c r="AN13" s="6" t="s">
        <v>778</v>
      </c>
      <c r="AO13" s="6" t="s">
        <v>778</v>
      </c>
      <c r="AQ13" s="6" t="s">
        <v>778</v>
      </c>
      <c r="AR13" s="6" t="s">
        <v>778</v>
      </c>
      <c r="BW13" s="6" t="s">
        <v>778</v>
      </c>
      <c r="BX13" s="6" t="s">
        <v>778</v>
      </c>
      <c r="GC13" s="6" t="s">
        <v>778</v>
      </c>
      <c r="HE13" s="6" t="s">
        <v>778</v>
      </c>
    </row>
    <row r="14" spans="1:214" ht="112.5" x14ac:dyDescent="0.25">
      <c r="A14" s="6" t="s">
        <v>543</v>
      </c>
      <c r="B14" s="6" t="s">
        <v>65</v>
      </c>
      <c r="C14" s="6" t="s">
        <v>917</v>
      </c>
      <c r="D14" s="6" t="s">
        <v>778</v>
      </c>
      <c r="E14" s="6" t="s">
        <v>778</v>
      </c>
      <c r="F14" s="6" t="s">
        <v>778</v>
      </c>
      <c r="G14" s="6" t="s">
        <v>778</v>
      </c>
      <c r="H14" s="6" t="s">
        <v>778</v>
      </c>
      <c r="I14" s="6" t="s">
        <v>778</v>
      </c>
      <c r="J14" s="6" t="s">
        <v>778</v>
      </c>
      <c r="O14" s="6" t="s">
        <v>778</v>
      </c>
      <c r="P14" s="6" t="s">
        <v>778</v>
      </c>
      <c r="Q14" s="6" t="s">
        <v>778</v>
      </c>
      <c r="AH14" s="6" t="s">
        <v>778</v>
      </c>
      <c r="AJ14" s="6" t="s">
        <v>778</v>
      </c>
      <c r="AK14" s="6" t="s">
        <v>778</v>
      </c>
      <c r="AN14" s="6" t="s">
        <v>778</v>
      </c>
      <c r="AQ14" s="6" t="s">
        <v>778</v>
      </c>
      <c r="BL14" s="6" t="s">
        <v>778</v>
      </c>
      <c r="BO14" s="6" t="s">
        <v>778</v>
      </c>
      <c r="BP14" s="6" t="s">
        <v>778</v>
      </c>
      <c r="BS14" s="6" t="s">
        <v>778</v>
      </c>
      <c r="BT14" s="6" t="s">
        <v>778</v>
      </c>
      <c r="BV14" s="6" t="s">
        <v>778</v>
      </c>
      <c r="BW14" s="6" t="s">
        <v>778</v>
      </c>
      <c r="BX14" s="6" t="s">
        <v>778</v>
      </c>
      <c r="CP14" s="6" t="s">
        <v>778</v>
      </c>
      <c r="DC14" s="6" t="s">
        <v>778</v>
      </c>
      <c r="DH14" s="6" t="s">
        <v>778</v>
      </c>
      <c r="DV14" s="6" t="s">
        <v>778</v>
      </c>
      <c r="EL14" s="6" t="s">
        <v>778</v>
      </c>
      <c r="ET14" s="6" t="s">
        <v>778</v>
      </c>
      <c r="EV14" s="6" t="s">
        <v>778</v>
      </c>
      <c r="GC14" s="6" t="s">
        <v>778</v>
      </c>
      <c r="GG14" s="6" t="s">
        <v>778</v>
      </c>
      <c r="GM14" s="6" t="s">
        <v>778</v>
      </c>
      <c r="GN14" s="6" t="s">
        <v>778</v>
      </c>
      <c r="GR14" s="6" t="s">
        <v>778</v>
      </c>
      <c r="GS14" s="6" t="s">
        <v>778</v>
      </c>
      <c r="GT14" s="6" t="s">
        <v>778</v>
      </c>
      <c r="HC14" s="6" t="s">
        <v>778</v>
      </c>
      <c r="HE14" s="6" t="s">
        <v>778</v>
      </c>
      <c r="HF14" s="6">
        <f>SUM(D14:HE14)</f>
        <v>0</v>
      </c>
    </row>
    <row r="15" spans="1:214" ht="101.5" x14ac:dyDescent="0.35">
      <c r="A15" s="6" t="s">
        <v>543</v>
      </c>
      <c r="B15" s="6" t="s">
        <v>65</v>
      </c>
      <c r="C15" s="1" t="s">
        <v>918</v>
      </c>
      <c r="D15" s="6" t="s">
        <v>778</v>
      </c>
      <c r="E15" s="6" t="s">
        <v>778</v>
      </c>
      <c r="F15" s="6" t="s">
        <v>778</v>
      </c>
      <c r="G15" s="6" t="s">
        <v>778</v>
      </c>
      <c r="H15" s="6" t="s">
        <v>778</v>
      </c>
      <c r="DN15" s="6" t="s">
        <v>778</v>
      </c>
      <c r="DO15" s="6" t="s">
        <v>778</v>
      </c>
      <c r="DP15" s="6" t="s">
        <v>778</v>
      </c>
      <c r="GO15" s="6" t="s">
        <v>778</v>
      </c>
      <c r="GP15" s="6" t="s">
        <v>778</v>
      </c>
      <c r="GQ15" s="6" t="s">
        <v>778</v>
      </c>
      <c r="HF15" s="6">
        <f>SUM(D15:HE15)</f>
        <v>0</v>
      </c>
    </row>
    <row r="16" spans="1:214" ht="87.5" x14ac:dyDescent="0.25">
      <c r="A16" s="6" t="s">
        <v>543</v>
      </c>
      <c r="B16" s="6" t="s">
        <v>65</v>
      </c>
      <c r="C16" s="6" t="s">
        <v>919</v>
      </c>
      <c r="D16" s="6" t="s">
        <v>778</v>
      </c>
      <c r="E16" s="6" t="s">
        <v>778</v>
      </c>
      <c r="F16" s="6" t="s">
        <v>778</v>
      </c>
      <c r="G16" s="6" t="s">
        <v>778</v>
      </c>
      <c r="H16" s="6" t="s">
        <v>778</v>
      </c>
      <c r="X16" s="6" t="s">
        <v>778</v>
      </c>
      <c r="BV16" s="6" t="s">
        <v>778</v>
      </c>
      <c r="CY16" s="6" t="s">
        <v>778</v>
      </c>
      <c r="CZ16" s="6" t="s">
        <v>778</v>
      </c>
      <c r="GD16" s="6" t="s">
        <v>778</v>
      </c>
      <c r="GN16" s="6" t="s">
        <v>778</v>
      </c>
    </row>
    <row r="17" spans="1:214" ht="87.5" x14ac:dyDescent="0.25">
      <c r="A17" s="6" t="s">
        <v>543</v>
      </c>
      <c r="B17" s="6" t="s">
        <v>65</v>
      </c>
      <c r="C17" s="6" t="s">
        <v>920</v>
      </c>
      <c r="D17" s="6" t="s">
        <v>778</v>
      </c>
      <c r="E17" s="6" t="s">
        <v>778</v>
      </c>
      <c r="F17" s="6" t="s">
        <v>778</v>
      </c>
      <c r="G17" s="6" t="s">
        <v>778</v>
      </c>
      <c r="H17" s="6" t="s">
        <v>778</v>
      </c>
      <c r="X17" s="6" t="s">
        <v>778</v>
      </c>
      <c r="BV17" s="6" t="s">
        <v>778</v>
      </c>
      <c r="CZ17" s="6" t="s">
        <v>778</v>
      </c>
      <c r="DA17" s="6" t="s">
        <v>778</v>
      </c>
      <c r="GD17" s="6" t="s">
        <v>778</v>
      </c>
      <c r="GN17" s="6" t="s">
        <v>778</v>
      </c>
    </row>
    <row r="18" spans="1:214" ht="100" x14ac:dyDescent="0.25">
      <c r="A18" s="6" t="s">
        <v>543</v>
      </c>
      <c r="B18" s="6" t="s">
        <v>65</v>
      </c>
      <c r="C18" s="6" t="s">
        <v>921</v>
      </c>
      <c r="D18" s="6" t="s">
        <v>778</v>
      </c>
      <c r="E18" s="6" t="s">
        <v>778</v>
      </c>
      <c r="F18" s="6" t="s">
        <v>778</v>
      </c>
      <c r="G18" s="6" t="s">
        <v>778</v>
      </c>
      <c r="H18" s="6" t="s">
        <v>778</v>
      </c>
      <c r="I18" s="6" t="s">
        <v>778</v>
      </c>
      <c r="J18" s="6" t="s">
        <v>778</v>
      </c>
      <c r="AE18" s="6" t="s">
        <v>778</v>
      </c>
      <c r="AF18" s="6" t="s">
        <v>778</v>
      </c>
      <c r="AN18" s="6" t="s">
        <v>778</v>
      </c>
      <c r="DE18" s="6" t="s">
        <v>778</v>
      </c>
      <c r="ED18" s="6" t="s">
        <v>778</v>
      </c>
      <c r="GD18" s="6" t="s">
        <v>778</v>
      </c>
      <c r="GJ18" s="6" t="s">
        <v>778</v>
      </c>
      <c r="GN18" s="6" t="s">
        <v>778</v>
      </c>
      <c r="GX18" s="6" t="s">
        <v>778</v>
      </c>
      <c r="HE18" s="6" t="s">
        <v>778</v>
      </c>
      <c r="HF18" s="6">
        <f>SUM(D18:HE18)</f>
        <v>0</v>
      </c>
    </row>
    <row r="19" spans="1:214" ht="112.5" x14ac:dyDescent="0.25">
      <c r="A19" s="6" t="s">
        <v>543</v>
      </c>
      <c r="B19" s="6" t="s">
        <v>65</v>
      </c>
      <c r="C19" s="6" t="s">
        <v>922</v>
      </c>
      <c r="D19" s="6" t="s">
        <v>778</v>
      </c>
      <c r="E19" s="6" t="s">
        <v>778</v>
      </c>
      <c r="F19" s="6" t="s">
        <v>778</v>
      </c>
      <c r="G19" s="6" t="s">
        <v>778</v>
      </c>
      <c r="H19" s="6" t="s">
        <v>778</v>
      </c>
      <c r="X19" s="6" t="s">
        <v>778</v>
      </c>
      <c r="AA19" s="6" t="s">
        <v>778</v>
      </c>
      <c r="DB19" s="6" t="s">
        <v>778</v>
      </c>
      <c r="GD19" s="6" t="s">
        <v>778</v>
      </c>
      <c r="GJ19" s="6" t="s">
        <v>778</v>
      </c>
      <c r="GN19" s="6" t="s">
        <v>778</v>
      </c>
      <c r="HE19" s="6" t="s">
        <v>778</v>
      </c>
    </row>
    <row r="20" spans="1:214" ht="112.5" x14ac:dyDescent="0.25">
      <c r="A20" s="6" t="s">
        <v>543</v>
      </c>
      <c r="B20" s="6" t="s">
        <v>65</v>
      </c>
      <c r="C20" s="6" t="s">
        <v>923</v>
      </c>
      <c r="D20" s="6" t="s">
        <v>778</v>
      </c>
      <c r="E20" s="6" t="s">
        <v>778</v>
      </c>
      <c r="F20" s="6" t="s">
        <v>778</v>
      </c>
      <c r="G20" s="6" t="s">
        <v>778</v>
      </c>
      <c r="H20" s="6" t="s">
        <v>778</v>
      </c>
      <c r="X20" s="6" t="s">
        <v>778</v>
      </c>
      <c r="AA20" s="6" t="s">
        <v>778</v>
      </c>
      <c r="AN20" s="6" t="s">
        <v>778</v>
      </c>
      <c r="BO20" s="6" t="s">
        <v>778</v>
      </c>
      <c r="BT20" s="6" t="s">
        <v>778</v>
      </c>
      <c r="BV20" s="6" t="s">
        <v>778</v>
      </c>
      <c r="CE20" s="6" t="s">
        <v>778</v>
      </c>
      <c r="EV20" s="6" t="s">
        <v>778</v>
      </c>
      <c r="GD20" s="6" t="s">
        <v>778</v>
      </c>
      <c r="GJ20" s="6" t="s">
        <v>778</v>
      </c>
      <c r="GN20" s="6" t="s">
        <v>778</v>
      </c>
      <c r="HE20" s="6" t="s">
        <v>778</v>
      </c>
    </row>
    <row r="21" spans="1:214" ht="112.5" x14ac:dyDescent="0.25">
      <c r="A21" s="6" t="s">
        <v>543</v>
      </c>
      <c r="B21" s="6" t="s">
        <v>68</v>
      </c>
      <c r="C21" s="6" t="s">
        <v>924</v>
      </c>
      <c r="D21" s="6" t="s">
        <v>778</v>
      </c>
      <c r="E21" s="6" t="s">
        <v>778</v>
      </c>
      <c r="F21" s="6" t="s">
        <v>778</v>
      </c>
      <c r="G21" s="6" t="s">
        <v>778</v>
      </c>
      <c r="H21" s="6" t="s">
        <v>778</v>
      </c>
      <c r="I21" s="6" t="s">
        <v>778</v>
      </c>
      <c r="J21" s="6" t="s">
        <v>778</v>
      </c>
      <c r="DB21" s="6" t="s">
        <v>778</v>
      </c>
      <c r="DQ21" s="6" t="s">
        <v>778</v>
      </c>
      <c r="DW21" s="6" t="s">
        <v>778</v>
      </c>
    </row>
    <row r="22" spans="1:214" ht="100" x14ac:dyDescent="0.25">
      <c r="A22" s="6" t="s">
        <v>543</v>
      </c>
      <c r="B22" s="6" t="s">
        <v>68</v>
      </c>
      <c r="C22" s="6" t="s">
        <v>925</v>
      </c>
      <c r="D22" s="6" t="s">
        <v>778</v>
      </c>
      <c r="E22" s="6" t="s">
        <v>778</v>
      </c>
      <c r="F22" s="6" t="s">
        <v>778</v>
      </c>
      <c r="G22" s="6" t="s">
        <v>778</v>
      </c>
      <c r="H22" s="6" t="s">
        <v>778</v>
      </c>
      <c r="BJ22" s="6" t="s">
        <v>778</v>
      </c>
      <c r="BQ22" s="6" t="s">
        <v>778</v>
      </c>
      <c r="BR22" s="6" t="s">
        <v>778</v>
      </c>
      <c r="DF22" s="6" t="s">
        <v>778</v>
      </c>
      <c r="DG22" s="6" t="s">
        <v>778</v>
      </c>
      <c r="DW22" s="6" t="s">
        <v>778</v>
      </c>
      <c r="FK22" s="6" t="s">
        <v>778</v>
      </c>
      <c r="FL22" s="6" t="s">
        <v>778</v>
      </c>
      <c r="FN22" s="6" t="s">
        <v>778</v>
      </c>
      <c r="FT22" s="6" t="s">
        <v>778</v>
      </c>
      <c r="FU22" s="6" t="s">
        <v>778</v>
      </c>
      <c r="FW22" s="6" t="s">
        <v>778</v>
      </c>
      <c r="GN22" s="6" t="s">
        <v>778</v>
      </c>
    </row>
    <row r="23" spans="1:214" ht="101.5" x14ac:dyDescent="0.35">
      <c r="A23" s="6" t="s">
        <v>543</v>
      </c>
      <c r="B23" s="6" t="s">
        <v>68</v>
      </c>
      <c r="C23" s="1" t="s">
        <v>926</v>
      </c>
      <c r="D23" s="6" t="s">
        <v>778</v>
      </c>
      <c r="E23" s="6" t="s">
        <v>778</v>
      </c>
      <c r="F23" s="6" t="s">
        <v>778</v>
      </c>
      <c r="G23" s="6" t="s">
        <v>778</v>
      </c>
      <c r="H23" s="6" t="s">
        <v>778</v>
      </c>
      <c r="AK23" s="6" t="s">
        <v>778</v>
      </c>
      <c r="AM23" s="6" t="s">
        <v>778</v>
      </c>
      <c r="AN23" s="6" t="s">
        <v>778</v>
      </c>
      <c r="AP23" s="6" t="s">
        <v>778</v>
      </c>
      <c r="AQ23" s="6" t="s">
        <v>778</v>
      </c>
      <c r="EM23" s="6" t="s">
        <v>778</v>
      </c>
      <c r="FM23" s="6" t="s">
        <v>778</v>
      </c>
      <c r="FV23" s="6" t="s">
        <v>778</v>
      </c>
      <c r="GN23" s="6" t="s">
        <v>778</v>
      </c>
    </row>
    <row r="24" spans="1:214" ht="100" x14ac:dyDescent="0.25">
      <c r="A24" s="6" t="s">
        <v>543</v>
      </c>
      <c r="B24" s="6" t="s">
        <v>68</v>
      </c>
      <c r="C24" s="6" t="s">
        <v>927</v>
      </c>
      <c r="D24" s="6" t="s">
        <v>778</v>
      </c>
      <c r="E24" s="6" t="s">
        <v>778</v>
      </c>
      <c r="F24" s="6" t="s">
        <v>778</v>
      </c>
      <c r="G24" s="6" t="s">
        <v>778</v>
      </c>
      <c r="H24" s="6" t="s">
        <v>778</v>
      </c>
      <c r="AA24" s="6" t="s">
        <v>778</v>
      </c>
      <c r="AI24" s="6" t="s">
        <v>778</v>
      </c>
      <c r="AK24" s="6" t="s">
        <v>778</v>
      </c>
      <c r="AM24" s="6" t="s">
        <v>778</v>
      </c>
      <c r="AN24" s="6" t="s">
        <v>778</v>
      </c>
      <c r="AP24" s="6" t="s">
        <v>778</v>
      </c>
      <c r="AQ24" s="6" t="s">
        <v>778</v>
      </c>
      <c r="FS24" s="6" t="s">
        <v>778</v>
      </c>
    </row>
    <row r="25" spans="1:214" ht="112.5" x14ac:dyDescent="0.25">
      <c r="A25" s="6" t="s">
        <v>543</v>
      </c>
      <c r="B25" s="6" t="s">
        <v>68</v>
      </c>
      <c r="C25" s="6" t="s">
        <v>928</v>
      </c>
      <c r="D25" s="6" t="s">
        <v>778</v>
      </c>
      <c r="E25" s="6" t="s">
        <v>778</v>
      </c>
      <c r="F25" s="6" t="s">
        <v>778</v>
      </c>
      <c r="G25" s="6" t="s">
        <v>778</v>
      </c>
      <c r="H25" s="6" t="s">
        <v>778</v>
      </c>
      <c r="AB25" s="6" t="s">
        <v>778</v>
      </c>
      <c r="AC25" s="6" t="s">
        <v>778</v>
      </c>
      <c r="CV25" s="6" t="s">
        <v>778</v>
      </c>
      <c r="CW25" s="6" t="s">
        <v>778</v>
      </c>
      <c r="DB25" s="6" t="s">
        <v>778</v>
      </c>
      <c r="DW25" s="6" t="s">
        <v>778</v>
      </c>
      <c r="HD25" s="6" t="s">
        <v>778</v>
      </c>
    </row>
    <row r="26" spans="1:214" ht="87.5" x14ac:dyDescent="0.25">
      <c r="A26" s="6" t="s">
        <v>543</v>
      </c>
      <c r="B26" s="6" t="s">
        <v>68</v>
      </c>
      <c r="C26" s="6" t="s">
        <v>929</v>
      </c>
      <c r="D26" s="6" t="s">
        <v>778</v>
      </c>
      <c r="E26" s="6" t="s">
        <v>778</v>
      </c>
      <c r="F26" s="6" t="s">
        <v>778</v>
      </c>
      <c r="G26" s="6" t="s">
        <v>778</v>
      </c>
      <c r="H26" s="6" t="s">
        <v>778</v>
      </c>
      <c r="AI26" s="6" t="s">
        <v>778</v>
      </c>
      <c r="AK26" s="6" t="s">
        <v>778</v>
      </c>
      <c r="AM26" s="6" t="s">
        <v>778</v>
      </c>
      <c r="AN26" s="6" t="s">
        <v>778</v>
      </c>
      <c r="AP26" s="6" t="s">
        <v>778</v>
      </c>
      <c r="AQ26" s="6" t="s">
        <v>778</v>
      </c>
      <c r="EF26" s="6" t="s">
        <v>778</v>
      </c>
      <c r="EG26" s="6" t="s">
        <v>778</v>
      </c>
      <c r="EH26" s="6" t="s">
        <v>778</v>
      </c>
      <c r="EI26" s="6" t="s">
        <v>778</v>
      </c>
      <c r="EJ26" s="6" t="s">
        <v>778</v>
      </c>
      <c r="EK26" s="6" t="s">
        <v>778</v>
      </c>
      <c r="FS26" s="6" t="s">
        <v>778</v>
      </c>
      <c r="FX26" s="6" t="s">
        <v>778</v>
      </c>
      <c r="GN26" s="6" t="s">
        <v>778</v>
      </c>
    </row>
    <row r="27" spans="1:214" ht="112.5" x14ac:dyDescent="0.25">
      <c r="A27" s="6" t="s">
        <v>543</v>
      </c>
      <c r="B27" s="6" t="s">
        <v>68</v>
      </c>
      <c r="C27" s="2" t="s">
        <v>930</v>
      </c>
      <c r="D27" s="6" t="s">
        <v>778</v>
      </c>
      <c r="E27" s="6" t="s">
        <v>778</v>
      </c>
      <c r="F27" s="6" t="s">
        <v>778</v>
      </c>
      <c r="G27" s="6" t="s">
        <v>778</v>
      </c>
      <c r="H27" s="6" t="s">
        <v>778</v>
      </c>
      <c r="DX27" s="6" t="s">
        <v>778</v>
      </c>
      <c r="FG27" s="6" t="s">
        <v>778</v>
      </c>
      <c r="FH27" s="6" t="s">
        <v>778</v>
      </c>
      <c r="FI27" s="6" t="s">
        <v>778</v>
      </c>
      <c r="FJ27" s="6" t="s">
        <v>778</v>
      </c>
      <c r="FP27" s="6" t="s">
        <v>778</v>
      </c>
      <c r="GN27" s="6" t="s">
        <v>778</v>
      </c>
    </row>
    <row r="28" spans="1:214" ht="50" x14ac:dyDescent="0.25">
      <c r="A28" s="6" t="s">
        <v>543</v>
      </c>
      <c r="B28" s="6" t="s">
        <v>99</v>
      </c>
      <c r="C28" s="6" t="s">
        <v>931</v>
      </c>
      <c r="D28" s="6" t="s">
        <v>778</v>
      </c>
      <c r="E28" s="6" t="s">
        <v>778</v>
      </c>
      <c r="F28" s="6" t="s">
        <v>778</v>
      </c>
      <c r="G28" s="6" t="s">
        <v>778</v>
      </c>
      <c r="H28" s="6" t="s">
        <v>778</v>
      </c>
      <c r="V28" s="6" t="s">
        <v>778</v>
      </c>
      <c r="W28" s="6" t="s">
        <v>778</v>
      </c>
      <c r="CI28" s="6" t="s">
        <v>778</v>
      </c>
      <c r="EB28" s="6" t="s">
        <v>778</v>
      </c>
      <c r="EC28" s="6" t="s">
        <v>778</v>
      </c>
      <c r="EE28" s="6" t="s">
        <v>778</v>
      </c>
      <c r="EW28" s="6" t="s">
        <v>778</v>
      </c>
    </row>
    <row r="29" spans="1:214" ht="50" x14ac:dyDescent="0.25">
      <c r="A29" s="6" t="s">
        <v>543</v>
      </c>
      <c r="B29" s="6" t="s">
        <v>99</v>
      </c>
      <c r="C29" s="6" t="s">
        <v>932</v>
      </c>
      <c r="D29" s="6" t="s">
        <v>778</v>
      </c>
      <c r="E29" s="6" t="s">
        <v>778</v>
      </c>
      <c r="F29" s="6" t="s">
        <v>778</v>
      </c>
      <c r="G29" s="6" t="s">
        <v>778</v>
      </c>
      <c r="H29" s="6" t="s">
        <v>778</v>
      </c>
      <c r="I29" s="6" t="s">
        <v>778</v>
      </c>
      <c r="J29" s="6" t="s">
        <v>778</v>
      </c>
      <c r="K29" s="6" t="s">
        <v>778</v>
      </c>
      <c r="L29" s="6" t="s">
        <v>778</v>
      </c>
      <c r="M29" s="6" t="s">
        <v>778</v>
      </c>
      <c r="BM29" s="6" t="s">
        <v>778</v>
      </c>
      <c r="BN29" s="6" t="s">
        <v>778</v>
      </c>
      <c r="CI29" s="6" t="s">
        <v>778</v>
      </c>
      <c r="EB29" s="6" t="s">
        <v>778</v>
      </c>
      <c r="EC29" s="6" t="s">
        <v>778</v>
      </c>
      <c r="EE29" s="6" t="s">
        <v>778</v>
      </c>
      <c r="EW29" s="6" t="s">
        <v>778</v>
      </c>
    </row>
    <row r="30" spans="1:214" ht="50" x14ac:dyDescent="0.25">
      <c r="A30" s="6" t="s">
        <v>543</v>
      </c>
      <c r="B30" s="6" t="s">
        <v>99</v>
      </c>
      <c r="C30" s="6" t="s">
        <v>933</v>
      </c>
      <c r="D30" s="6" t="s">
        <v>778</v>
      </c>
      <c r="E30" s="6" t="s">
        <v>778</v>
      </c>
      <c r="F30" s="6" t="s">
        <v>778</v>
      </c>
      <c r="G30" s="6" t="s">
        <v>778</v>
      </c>
      <c r="H30" s="6" t="s">
        <v>778</v>
      </c>
      <c r="I30" s="6" t="s">
        <v>778</v>
      </c>
      <c r="J30" s="6" t="s">
        <v>778</v>
      </c>
      <c r="K30" s="6" t="s">
        <v>778</v>
      </c>
      <c r="L30" s="6" t="s">
        <v>778</v>
      </c>
      <c r="M30" s="6" t="s">
        <v>778</v>
      </c>
      <c r="CI30" s="6" t="s">
        <v>778</v>
      </c>
      <c r="EB30" s="6" t="s">
        <v>778</v>
      </c>
      <c r="EC30" s="6" t="s">
        <v>778</v>
      </c>
      <c r="EE30" s="6" t="s">
        <v>778</v>
      </c>
      <c r="EW30" s="6" t="s">
        <v>778</v>
      </c>
    </row>
    <row r="31" spans="1:214" ht="51" x14ac:dyDescent="0.35">
      <c r="A31" s="6" t="s">
        <v>543</v>
      </c>
      <c r="B31" s="6" t="s">
        <v>99</v>
      </c>
      <c r="C31" s="1" t="s">
        <v>934</v>
      </c>
      <c r="D31" s="6" t="s">
        <v>778</v>
      </c>
      <c r="E31" s="6" t="s">
        <v>778</v>
      </c>
      <c r="F31" s="6" t="s">
        <v>778</v>
      </c>
      <c r="G31" s="6" t="s">
        <v>778</v>
      </c>
      <c r="H31" s="6" t="s">
        <v>778</v>
      </c>
      <c r="I31" s="6" t="s">
        <v>778</v>
      </c>
      <c r="J31" s="6" t="s">
        <v>778</v>
      </c>
      <c r="K31" s="6" t="s">
        <v>778</v>
      </c>
      <c r="L31" s="6" t="s">
        <v>778</v>
      </c>
      <c r="M31" s="6" t="s">
        <v>778</v>
      </c>
      <c r="CI31" s="6" t="s">
        <v>778</v>
      </c>
      <c r="CJ31" s="6" t="s">
        <v>778</v>
      </c>
      <c r="CK31" s="6" t="s">
        <v>778</v>
      </c>
      <c r="CM31" s="6" t="s">
        <v>778</v>
      </c>
      <c r="EW31" s="6" t="s">
        <v>778</v>
      </c>
      <c r="EY31" s="6" t="s">
        <v>778</v>
      </c>
      <c r="FA31" s="6" t="s">
        <v>778</v>
      </c>
      <c r="FE31" s="6" t="s">
        <v>778</v>
      </c>
    </row>
    <row r="32" spans="1:214" ht="50" x14ac:dyDescent="0.25">
      <c r="A32" s="6" t="s">
        <v>543</v>
      </c>
      <c r="B32" s="6" t="s">
        <v>99</v>
      </c>
      <c r="C32" s="6" t="s">
        <v>935</v>
      </c>
      <c r="D32" s="6" t="s">
        <v>778</v>
      </c>
      <c r="E32" s="6" t="s">
        <v>778</v>
      </c>
      <c r="F32" s="6" t="s">
        <v>778</v>
      </c>
      <c r="G32" s="6" t="s">
        <v>778</v>
      </c>
      <c r="H32" s="6" t="s">
        <v>778</v>
      </c>
      <c r="BM32" s="6" t="s">
        <v>778</v>
      </c>
      <c r="BN32" s="6" t="s">
        <v>778</v>
      </c>
      <c r="BT32" s="6" t="s">
        <v>778</v>
      </c>
      <c r="BU32" s="6" t="s">
        <v>778</v>
      </c>
      <c r="CI32" s="6" t="s">
        <v>778</v>
      </c>
      <c r="EB32" s="6" t="s">
        <v>778</v>
      </c>
      <c r="EC32" s="6" t="s">
        <v>778</v>
      </c>
      <c r="EE32" s="6" t="s">
        <v>778</v>
      </c>
      <c r="EW32" s="6" t="s">
        <v>778</v>
      </c>
    </row>
    <row r="33" spans="1:214" ht="50" x14ac:dyDescent="0.25">
      <c r="A33" s="6" t="s">
        <v>543</v>
      </c>
      <c r="B33" s="6" t="s">
        <v>99</v>
      </c>
      <c r="C33" s="6" t="s">
        <v>936</v>
      </c>
      <c r="D33" s="6" t="s">
        <v>778</v>
      </c>
      <c r="E33" s="6" t="s">
        <v>778</v>
      </c>
      <c r="F33" s="6" t="s">
        <v>778</v>
      </c>
      <c r="G33" s="6" t="s">
        <v>778</v>
      </c>
      <c r="H33" s="6" t="s">
        <v>778</v>
      </c>
      <c r="I33" s="6" t="s">
        <v>778</v>
      </c>
      <c r="J33" s="6" t="s">
        <v>778</v>
      </c>
      <c r="BM33" s="6" t="s">
        <v>778</v>
      </c>
      <c r="BT33" s="6" t="s">
        <v>778</v>
      </c>
      <c r="BU33" s="6" t="s">
        <v>778</v>
      </c>
      <c r="CI33" s="6" t="s">
        <v>778</v>
      </c>
      <c r="EB33" s="6" t="s">
        <v>778</v>
      </c>
      <c r="EC33" s="6" t="s">
        <v>778</v>
      </c>
      <c r="EE33" s="6" t="s">
        <v>778</v>
      </c>
      <c r="EW33" s="6" t="s">
        <v>778</v>
      </c>
    </row>
    <row r="34" spans="1:214" ht="50" x14ac:dyDescent="0.25">
      <c r="A34" s="6" t="s">
        <v>543</v>
      </c>
      <c r="B34" s="6" t="s">
        <v>99</v>
      </c>
      <c r="C34" s="6" t="s">
        <v>937</v>
      </c>
      <c r="D34" s="6" t="s">
        <v>778</v>
      </c>
      <c r="E34" s="6" t="s">
        <v>778</v>
      </c>
      <c r="F34" s="6" t="s">
        <v>778</v>
      </c>
      <c r="G34" s="6" t="s">
        <v>778</v>
      </c>
      <c r="H34" s="6" t="s">
        <v>778</v>
      </c>
      <c r="I34" s="6" t="s">
        <v>778</v>
      </c>
      <c r="J34" s="6" t="s">
        <v>778</v>
      </c>
      <c r="K34" s="6" t="s">
        <v>778</v>
      </c>
      <c r="L34" s="6" t="s">
        <v>778</v>
      </c>
      <c r="M34" s="6" t="s">
        <v>778</v>
      </c>
      <c r="BU34" s="6" t="s">
        <v>778</v>
      </c>
      <c r="CI34" s="6" t="s">
        <v>778</v>
      </c>
      <c r="EB34" s="6" t="s">
        <v>778</v>
      </c>
      <c r="EC34" s="6" t="s">
        <v>778</v>
      </c>
      <c r="EE34" s="6" t="s">
        <v>778</v>
      </c>
      <c r="EW34" s="6" t="s">
        <v>778</v>
      </c>
    </row>
    <row r="35" spans="1:214" ht="50" x14ac:dyDescent="0.25">
      <c r="A35" s="6" t="s">
        <v>543</v>
      </c>
      <c r="B35" s="6" t="s">
        <v>99</v>
      </c>
      <c r="C35" s="6" t="s">
        <v>938</v>
      </c>
      <c r="D35" s="6" t="s">
        <v>778</v>
      </c>
      <c r="E35" s="6" t="s">
        <v>778</v>
      </c>
      <c r="F35" s="6" t="s">
        <v>778</v>
      </c>
      <c r="G35" s="6" t="s">
        <v>778</v>
      </c>
      <c r="H35" s="6" t="s">
        <v>778</v>
      </c>
      <c r="CO35" s="6" t="s">
        <v>778</v>
      </c>
      <c r="EX35" s="6" t="s">
        <v>778</v>
      </c>
      <c r="EY35" s="6" t="s">
        <v>778</v>
      </c>
      <c r="EZ35" s="6" t="s">
        <v>778</v>
      </c>
      <c r="FB35" s="6" t="s">
        <v>778</v>
      </c>
      <c r="FC35" s="6" t="s">
        <v>778</v>
      </c>
    </row>
    <row r="36" spans="1:214" ht="51" x14ac:dyDescent="0.35">
      <c r="A36" s="6" t="s">
        <v>543</v>
      </c>
      <c r="B36" s="6" t="s">
        <v>99</v>
      </c>
      <c r="C36" s="1" t="s">
        <v>939</v>
      </c>
      <c r="D36" s="6" t="s">
        <v>778</v>
      </c>
      <c r="E36" s="6" t="s">
        <v>778</v>
      </c>
      <c r="F36" s="6" t="s">
        <v>778</v>
      </c>
      <c r="G36" s="6" t="s">
        <v>778</v>
      </c>
      <c r="H36" s="6" t="s">
        <v>778</v>
      </c>
      <c r="N36" s="6" t="s">
        <v>778</v>
      </c>
      <c r="CI36" s="6" t="s">
        <v>778</v>
      </c>
      <c r="EB36" s="6" t="s">
        <v>778</v>
      </c>
      <c r="EC36" s="6" t="s">
        <v>778</v>
      </c>
      <c r="EE36" s="6" t="s">
        <v>778</v>
      </c>
      <c r="EW36" s="6" t="s">
        <v>778</v>
      </c>
      <c r="GI36" s="6" t="s">
        <v>778</v>
      </c>
    </row>
    <row r="37" spans="1:214" ht="50" x14ac:dyDescent="0.25">
      <c r="A37" s="6" t="s">
        <v>543</v>
      </c>
      <c r="B37" s="6" t="s">
        <v>99</v>
      </c>
      <c r="C37" s="6" t="s">
        <v>940</v>
      </c>
      <c r="D37" s="6" t="s">
        <v>778</v>
      </c>
      <c r="E37" s="6" t="s">
        <v>778</v>
      </c>
      <c r="F37" s="6" t="s">
        <v>778</v>
      </c>
      <c r="G37" s="6" t="s">
        <v>778</v>
      </c>
      <c r="H37" s="6" t="s">
        <v>778</v>
      </c>
      <c r="N37" s="6" t="s">
        <v>778</v>
      </c>
      <c r="CK37" s="6" t="s">
        <v>778</v>
      </c>
      <c r="CL37" s="6" t="s">
        <v>778</v>
      </c>
      <c r="CN37" s="6" t="s">
        <v>778</v>
      </c>
      <c r="FA37" s="6" t="s">
        <v>778</v>
      </c>
      <c r="FD37" s="6" t="s">
        <v>778</v>
      </c>
      <c r="FF37" s="6" t="s">
        <v>778</v>
      </c>
    </row>
    <row r="38" spans="1:214" ht="50" x14ac:dyDescent="0.25">
      <c r="A38" s="6" t="s">
        <v>543</v>
      </c>
      <c r="B38" s="6" t="s">
        <v>99</v>
      </c>
      <c r="C38" s="6" t="s">
        <v>941</v>
      </c>
      <c r="D38" s="6" t="s">
        <v>778</v>
      </c>
      <c r="E38" s="6" t="s">
        <v>778</v>
      </c>
      <c r="F38" s="6" t="s">
        <v>778</v>
      </c>
      <c r="G38" s="6" t="s">
        <v>778</v>
      </c>
      <c r="H38" s="6" t="s">
        <v>778</v>
      </c>
      <c r="I38" s="6" t="s">
        <v>778</v>
      </c>
      <c r="J38" s="6" t="s">
        <v>778</v>
      </c>
      <c r="K38" s="6" t="s">
        <v>778</v>
      </c>
      <c r="L38" s="6" t="s">
        <v>778</v>
      </c>
      <c r="M38" s="6" t="s">
        <v>778</v>
      </c>
      <c r="CI38" s="6" t="s">
        <v>778</v>
      </c>
      <c r="EB38" s="6" t="s">
        <v>778</v>
      </c>
      <c r="EC38" s="6" t="s">
        <v>778</v>
      </c>
      <c r="EE38" s="6" t="s">
        <v>778</v>
      </c>
      <c r="EW38" s="6" t="s">
        <v>778</v>
      </c>
      <c r="GL38" s="6" t="s">
        <v>778</v>
      </c>
    </row>
    <row r="39" spans="1:214" ht="50" x14ac:dyDescent="0.25">
      <c r="A39" s="6" t="s">
        <v>543</v>
      </c>
      <c r="B39" s="6" t="s">
        <v>99</v>
      </c>
      <c r="C39" s="6" t="s">
        <v>942</v>
      </c>
      <c r="D39" s="6" t="s">
        <v>778</v>
      </c>
      <c r="E39" s="6" t="s">
        <v>778</v>
      </c>
      <c r="F39" s="6" t="s">
        <v>778</v>
      </c>
      <c r="G39" s="6" t="s">
        <v>778</v>
      </c>
      <c r="H39" s="6" t="s">
        <v>778</v>
      </c>
      <c r="DJ39" s="6" t="s">
        <v>778</v>
      </c>
      <c r="FY39" s="6" t="s">
        <v>778</v>
      </c>
      <c r="FZ39" s="6" t="s">
        <v>778</v>
      </c>
      <c r="GU39" s="6" t="s">
        <v>778</v>
      </c>
    </row>
    <row r="40" spans="1:214" ht="62.5" x14ac:dyDescent="0.25">
      <c r="A40" s="6" t="s">
        <v>543</v>
      </c>
      <c r="B40" s="6" t="s">
        <v>99</v>
      </c>
      <c r="C40" s="6" t="s">
        <v>943</v>
      </c>
      <c r="D40" s="6" t="s">
        <v>778</v>
      </c>
      <c r="E40" s="6" t="s">
        <v>778</v>
      </c>
      <c r="F40" s="6" t="s">
        <v>778</v>
      </c>
      <c r="G40" s="6" t="s">
        <v>778</v>
      </c>
      <c r="H40" s="6" t="s">
        <v>778</v>
      </c>
      <c r="EB40" s="6" t="s">
        <v>778</v>
      </c>
      <c r="ER40" s="6" t="s">
        <v>778</v>
      </c>
      <c r="EW40" s="6" t="s">
        <v>778</v>
      </c>
      <c r="GI40" s="6" t="s">
        <v>778</v>
      </c>
      <c r="GW40" s="6" t="s">
        <v>778</v>
      </c>
    </row>
    <row r="41" spans="1:214" ht="37.5" x14ac:dyDescent="0.25">
      <c r="A41" s="6" t="s">
        <v>543</v>
      </c>
      <c r="B41" s="6" t="s">
        <v>60</v>
      </c>
      <c r="C41" s="6" t="s">
        <v>944</v>
      </c>
      <c r="D41" s="6" t="s">
        <v>778</v>
      </c>
      <c r="E41" s="6" t="s">
        <v>778</v>
      </c>
      <c r="F41" s="6" t="s">
        <v>778</v>
      </c>
      <c r="G41" s="6" t="s">
        <v>778</v>
      </c>
      <c r="H41" s="6" t="s">
        <v>778</v>
      </c>
      <c r="AX41" s="6" t="s">
        <v>778</v>
      </c>
      <c r="AY41" s="6" t="s">
        <v>778</v>
      </c>
      <c r="AZ41" s="6" t="s">
        <v>778</v>
      </c>
      <c r="BA41" s="6" t="s">
        <v>778</v>
      </c>
      <c r="BB41" s="6" t="s">
        <v>778</v>
      </c>
      <c r="ES41" s="6">
        <f>IF(ISERROR(HLOOKUP(ES2,[3]headline_stats_summary!$A$1:$K$1,1,FALSE)),0,1)</f>
        <v>1</v>
      </c>
    </row>
    <row r="42" spans="1:214" ht="62.5" x14ac:dyDescent="0.25">
      <c r="A42" s="6" t="s">
        <v>543</v>
      </c>
      <c r="B42" s="6" t="s">
        <v>60</v>
      </c>
      <c r="C42" s="6" t="s">
        <v>945</v>
      </c>
      <c r="D42" s="6" t="s">
        <v>778</v>
      </c>
      <c r="E42" s="6" t="s">
        <v>778</v>
      </c>
      <c r="F42" s="6" t="s">
        <v>778</v>
      </c>
      <c r="G42" s="6" t="s">
        <v>778</v>
      </c>
      <c r="H42" s="6" t="s">
        <v>778</v>
      </c>
      <c r="R42" s="6" t="s">
        <v>778</v>
      </c>
      <c r="CG42" s="6" t="s">
        <v>778</v>
      </c>
      <c r="DD42" s="6" t="s">
        <v>778</v>
      </c>
      <c r="DU42" s="6" t="s">
        <v>778</v>
      </c>
      <c r="DY42" s="6" t="s">
        <v>778</v>
      </c>
      <c r="EO42" s="6" t="s">
        <v>778</v>
      </c>
    </row>
    <row r="43" spans="1:214" ht="37.5" x14ac:dyDescent="0.25">
      <c r="A43" s="6" t="s">
        <v>543</v>
      </c>
      <c r="B43" s="6" t="s">
        <v>60</v>
      </c>
      <c r="C43" s="6" t="s">
        <v>946</v>
      </c>
      <c r="D43" s="6" t="s">
        <v>778</v>
      </c>
      <c r="E43" s="6" t="s">
        <v>778</v>
      </c>
      <c r="F43" s="6" t="s">
        <v>778</v>
      </c>
      <c r="G43" s="6" t="s">
        <v>778</v>
      </c>
      <c r="H43" s="6" t="s">
        <v>778</v>
      </c>
      <c r="AG43" s="6" t="s">
        <v>778</v>
      </c>
      <c r="CG43" s="6" t="s">
        <v>778</v>
      </c>
      <c r="DD43" s="6" t="s">
        <v>778</v>
      </c>
      <c r="DY43" s="6" t="s">
        <v>778</v>
      </c>
      <c r="EO43" s="6" t="s">
        <v>778</v>
      </c>
    </row>
    <row r="44" spans="1:214" ht="37.5" x14ac:dyDescent="0.25">
      <c r="A44" s="6" t="s">
        <v>543</v>
      </c>
      <c r="B44" s="6" t="s">
        <v>60</v>
      </c>
      <c r="C44" s="6" t="s">
        <v>947</v>
      </c>
      <c r="D44" s="6" t="s">
        <v>778</v>
      </c>
      <c r="E44" s="6" t="s">
        <v>778</v>
      </c>
      <c r="F44" s="6" t="s">
        <v>778</v>
      </c>
      <c r="G44" s="6" t="s">
        <v>778</v>
      </c>
      <c r="H44" s="6" t="s">
        <v>778</v>
      </c>
      <c r="BO44" s="6" t="s">
        <v>778</v>
      </c>
      <c r="CG44" s="6" t="s">
        <v>778</v>
      </c>
      <c r="DD44" s="6" t="s">
        <v>778</v>
      </c>
      <c r="DY44" s="6" t="s">
        <v>778</v>
      </c>
      <c r="EO44" s="6" t="s">
        <v>778</v>
      </c>
      <c r="HF44" s="6">
        <f>SUM(A44:HE44)</f>
        <v>0</v>
      </c>
    </row>
    <row r="45" spans="1:214" ht="62.5" x14ac:dyDescent="0.25">
      <c r="A45" s="6" t="s">
        <v>543</v>
      </c>
      <c r="B45" s="6" t="s">
        <v>60</v>
      </c>
      <c r="C45" s="6" t="s">
        <v>948</v>
      </c>
      <c r="D45" s="6" t="s">
        <v>778</v>
      </c>
      <c r="E45" s="6" t="s">
        <v>778</v>
      </c>
      <c r="F45" s="6" t="s">
        <v>778</v>
      </c>
      <c r="G45" s="6" t="s">
        <v>778</v>
      </c>
      <c r="H45" s="6" t="s">
        <v>778</v>
      </c>
      <c r="CG45" s="6" t="s">
        <v>778</v>
      </c>
      <c r="CT45" s="6" t="s">
        <v>778</v>
      </c>
      <c r="DD45" s="6" t="s">
        <v>778</v>
      </c>
      <c r="DY45" s="6" t="s">
        <v>778</v>
      </c>
      <c r="EO45" s="6" t="s">
        <v>778</v>
      </c>
      <c r="HF45" s="6">
        <f t="shared" ref="HF45:HF76" si="1">SUM(D45:HE45)</f>
        <v>0</v>
      </c>
    </row>
    <row r="46" spans="1:214" ht="50" x14ac:dyDescent="0.25">
      <c r="A46" s="6" t="s">
        <v>543</v>
      </c>
      <c r="B46" s="6" t="s">
        <v>60</v>
      </c>
      <c r="C46" s="6" t="s">
        <v>949</v>
      </c>
      <c r="D46" s="6" t="s">
        <v>778</v>
      </c>
      <c r="E46" s="6" t="s">
        <v>778</v>
      </c>
      <c r="F46" s="6" t="s">
        <v>778</v>
      </c>
      <c r="G46" s="6" t="s">
        <v>778</v>
      </c>
      <c r="H46" s="6" t="s">
        <v>778</v>
      </c>
      <c r="CG46" s="6" t="s">
        <v>778</v>
      </c>
      <c r="DD46" s="6" t="s">
        <v>778</v>
      </c>
      <c r="DU46" s="6" t="s">
        <v>778</v>
      </c>
      <c r="DY46" s="6" t="s">
        <v>778</v>
      </c>
      <c r="EO46" s="6" t="s">
        <v>778</v>
      </c>
      <c r="HF46" s="6">
        <f t="shared" si="1"/>
        <v>0</v>
      </c>
    </row>
    <row r="47" spans="1:214" ht="62.5" x14ac:dyDescent="0.25">
      <c r="A47" s="6" t="s">
        <v>543</v>
      </c>
      <c r="B47" s="6" t="s">
        <v>60</v>
      </c>
      <c r="C47" s="6" t="s">
        <v>950</v>
      </c>
      <c r="D47" s="6" t="s">
        <v>778</v>
      </c>
      <c r="E47" s="6" t="s">
        <v>778</v>
      </c>
      <c r="F47" s="6" t="s">
        <v>778</v>
      </c>
      <c r="G47" s="6" t="s">
        <v>778</v>
      </c>
      <c r="H47" s="6" t="s">
        <v>778</v>
      </c>
      <c r="CG47" s="6" t="s">
        <v>778</v>
      </c>
      <c r="DD47" s="6" t="s">
        <v>778</v>
      </c>
      <c r="DU47" s="6" t="s">
        <v>778</v>
      </c>
      <c r="DY47" s="6" t="s">
        <v>778</v>
      </c>
      <c r="EO47" s="6" t="s">
        <v>778</v>
      </c>
      <c r="EU47" s="6" t="s">
        <v>778</v>
      </c>
      <c r="HF47" s="6">
        <f t="shared" si="1"/>
        <v>0</v>
      </c>
    </row>
    <row r="48" spans="1:214" ht="62.5" x14ac:dyDescent="0.25">
      <c r="A48" s="6" t="s">
        <v>543</v>
      </c>
      <c r="B48" s="6" t="s">
        <v>60</v>
      </c>
      <c r="C48" s="6" t="s">
        <v>951</v>
      </c>
      <c r="D48" s="6" t="s">
        <v>778</v>
      </c>
      <c r="E48" s="6" t="s">
        <v>778</v>
      </c>
      <c r="F48" s="6" t="s">
        <v>778</v>
      </c>
      <c r="G48" s="6" t="s">
        <v>778</v>
      </c>
      <c r="H48" s="6" t="s">
        <v>778</v>
      </c>
      <c r="CG48" s="6" t="s">
        <v>778</v>
      </c>
      <c r="DD48" s="6" t="s">
        <v>778</v>
      </c>
      <c r="DY48" s="6" t="s">
        <v>778</v>
      </c>
      <c r="EO48" s="6" t="s">
        <v>778</v>
      </c>
      <c r="FR48" s="6" t="s">
        <v>778</v>
      </c>
      <c r="HF48" s="6">
        <f t="shared" si="1"/>
        <v>0</v>
      </c>
    </row>
    <row r="49" spans="1:214" ht="50" x14ac:dyDescent="0.25">
      <c r="A49" s="6" t="s">
        <v>543</v>
      </c>
      <c r="B49" s="6" t="s">
        <v>60</v>
      </c>
      <c r="C49" s="6" t="s">
        <v>952</v>
      </c>
      <c r="D49" s="6" t="s">
        <v>778</v>
      </c>
      <c r="E49" s="6" t="s">
        <v>778</v>
      </c>
      <c r="F49" s="6" t="s">
        <v>778</v>
      </c>
      <c r="G49" s="6" t="s">
        <v>778</v>
      </c>
      <c r="H49" s="6" t="s">
        <v>778</v>
      </c>
      <c r="I49" s="6" t="s">
        <v>778</v>
      </c>
      <c r="J49" s="6" t="s">
        <v>778</v>
      </c>
      <c r="CG49" s="6" t="s">
        <v>778</v>
      </c>
      <c r="DD49" s="6" t="s">
        <v>778</v>
      </c>
      <c r="DY49" s="6" t="s">
        <v>778</v>
      </c>
      <c r="EO49" s="6" t="s">
        <v>778</v>
      </c>
      <c r="HF49" s="6">
        <f t="shared" si="1"/>
        <v>0</v>
      </c>
    </row>
    <row r="50" spans="1:214" ht="37.5" x14ac:dyDescent="0.25">
      <c r="A50" s="6" t="s">
        <v>543</v>
      </c>
      <c r="B50" s="6" t="s">
        <v>60</v>
      </c>
      <c r="C50" s="6" t="s">
        <v>953</v>
      </c>
      <c r="D50" s="6" t="s">
        <v>778</v>
      </c>
      <c r="E50" s="6" t="s">
        <v>778</v>
      </c>
      <c r="F50" s="6" t="s">
        <v>778</v>
      </c>
      <c r="G50" s="6" t="s">
        <v>778</v>
      </c>
      <c r="H50" s="6" t="s">
        <v>778</v>
      </c>
      <c r="BV50" s="6" t="s">
        <v>778</v>
      </c>
      <c r="CG50" s="6" t="s">
        <v>778</v>
      </c>
      <c r="DD50" s="6" t="s">
        <v>778</v>
      </c>
      <c r="DY50" s="6" t="s">
        <v>778</v>
      </c>
      <c r="EO50" s="6" t="s">
        <v>778</v>
      </c>
      <c r="HF50" s="6">
        <f t="shared" si="1"/>
        <v>0</v>
      </c>
    </row>
    <row r="51" spans="1:214" ht="75" x14ac:dyDescent="0.25">
      <c r="A51" s="6" t="s">
        <v>543</v>
      </c>
      <c r="B51" s="6" t="s">
        <v>60</v>
      </c>
      <c r="C51" s="6" t="s">
        <v>954</v>
      </c>
      <c r="D51" s="6" t="s">
        <v>778</v>
      </c>
      <c r="E51" s="6" t="s">
        <v>778</v>
      </c>
      <c r="F51" s="6" t="s">
        <v>778</v>
      </c>
      <c r="G51" s="6" t="s">
        <v>778</v>
      </c>
      <c r="H51" s="6" t="s">
        <v>778</v>
      </c>
      <c r="T51" s="6" t="s">
        <v>778</v>
      </c>
      <c r="CG51" s="6" t="s">
        <v>778</v>
      </c>
      <c r="DD51" s="6" t="s">
        <v>778</v>
      </c>
      <c r="DY51" s="6" t="s">
        <v>778</v>
      </c>
      <c r="EO51" s="6" t="s">
        <v>778</v>
      </c>
      <c r="HF51" s="6">
        <f t="shared" si="1"/>
        <v>0</v>
      </c>
    </row>
    <row r="52" spans="1:214" ht="75" x14ac:dyDescent="0.25">
      <c r="A52" s="6" t="s">
        <v>543</v>
      </c>
      <c r="B52" s="6" t="s">
        <v>60</v>
      </c>
      <c r="C52" s="6" t="s">
        <v>955</v>
      </c>
      <c r="D52" s="6" t="s">
        <v>778</v>
      </c>
      <c r="E52" s="6" t="s">
        <v>778</v>
      </c>
      <c r="F52" s="6" t="s">
        <v>778</v>
      </c>
      <c r="G52" s="6" t="s">
        <v>778</v>
      </c>
      <c r="H52" s="6" t="s">
        <v>778</v>
      </c>
      <c r="U52" s="6" t="s">
        <v>778</v>
      </c>
      <c r="CG52" s="6" t="s">
        <v>778</v>
      </c>
      <c r="DD52" s="6" t="s">
        <v>778</v>
      </c>
      <c r="DY52" s="6" t="s">
        <v>778</v>
      </c>
      <c r="EO52" s="6" t="s">
        <v>778</v>
      </c>
      <c r="HF52" s="6">
        <f t="shared" si="1"/>
        <v>0</v>
      </c>
    </row>
    <row r="53" spans="1:214" ht="100" x14ac:dyDescent="0.25">
      <c r="A53" s="6" t="s">
        <v>543</v>
      </c>
      <c r="B53" s="6" t="s">
        <v>60</v>
      </c>
      <c r="C53" s="6" t="s">
        <v>956</v>
      </c>
      <c r="D53" s="6" t="s">
        <v>778</v>
      </c>
      <c r="E53" s="6" t="s">
        <v>778</v>
      </c>
      <c r="F53" s="6" t="s">
        <v>778</v>
      </c>
      <c r="G53" s="6" t="s">
        <v>778</v>
      </c>
      <c r="H53" s="6" t="s">
        <v>778</v>
      </c>
      <c r="CG53" s="6" t="s">
        <v>778</v>
      </c>
      <c r="DD53" s="6" t="s">
        <v>778</v>
      </c>
      <c r="DY53" s="6" t="s">
        <v>778</v>
      </c>
      <c r="EO53" s="6" t="s">
        <v>778</v>
      </c>
      <c r="GV53" s="6" t="s">
        <v>778</v>
      </c>
      <c r="HF53" s="6">
        <f t="shared" si="1"/>
        <v>0</v>
      </c>
    </row>
    <row r="54" spans="1:214" ht="50" x14ac:dyDescent="0.25">
      <c r="A54" s="6" t="s">
        <v>543</v>
      </c>
      <c r="B54" s="6" t="s">
        <v>60</v>
      </c>
      <c r="C54" s="6" t="s">
        <v>957</v>
      </c>
      <c r="D54" s="6" t="s">
        <v>778</v>
      </c>
      <c r="E54" s="6" t="s">
        <v>778</v>
      </c>
      <c r="F54" s="6" t="s">
        <v>778</v>
      </c>
      <c r="G54" s="6" t="s">
        <v>778</v>
      </c>
      <c r="H54" s="6" t="s">
        <v>778</v>
      </c>
      <c r="CF54" s="6" t="s">
        <v>778</v>
      </c>
      <c r="DD54" s="6" t="s">
        <v>778</v>
      </c>
      <c r="DY54" s="6" t="s">
        <v>778</v>
      </c>
      <c r="EO54" s="6" t="s">
        <v>778</v>
      </c>
      <c r="HF54" s="6">
        <f t="shared" si="1"/>
        <v>0</v>
      </c>
    </row>
    <row r="55" spans="1:214" ht="62.5" x14ac:dyDescent="0.25">
      <c r="A55" s="6" t="s">
        <v>543</v>
      </c>
      <c r="B55" s="6" t="s">
        <v>60</v>
      </c>
      <c r="C55" s="6" t="s">
        <v>958</v>
      </c>
      <c r="D55" s="6" t="s">
        <v>778</v>
      </c>
      <c r="E55" s="6" t="s">
        <v>778</v>
      </c>
      <c r="F55" s="6" t="s">
        <v>778</v>
      </c>
      <c r="G55" s="6" t="s">
        <v>778</v>
      </c>
      <c r="H55" s="6" t="s">
        <v>778</v>
      </c>
      <c r="R55" s="6" t="s">
        <v>778</v>
      </c>
      <c r="CG55" s="6" t="s">
        <v>778</v>
      </c>
      <c r="DD55" s="6" t="s">
        <v>778</v>
      </c>
      <c r="DU55" s="6" t="s">
        <v>778</v>
      </c>
      <c r="DZ55" s="6" t="s">
        <v>778</v>
      </c>
      <c r="EA55" s="6" t="s">
        <v>778</v>
      </c>
      <c r="EP55" s="6" t="s">
        <v>778</v>
      </c>
      <c r="EQ55" s="6" t="s">
        <v>778</v>
      </c>
      <c r="HF55" s="6">
        <f t="shared" si="1"/>
        <v>0</v>
      </c>
    </row>
    <row r="56" spans="1:214" ht="50" x14ac:dyDescent="0.25">
      <c r="A56" s="6" t="s">
        <v>543</v>
      </c>
      <c r="B56" s="6" t="s">
        <v>60</v>
      </c>
      <c r="C56" s="6" t="s">
        <v>959</v>
      </c>
      <c r="D56" s="6" t="s">
        <v>778</v>
      </c>
      <c r="E56" s="6" t="s">
        <v>778</v>
      </c>
      <c r="F56" s="6" t="s">
        <v>778</v>
      </c>
      <c r="G56" s="6" t="s">
        <v>778</v>
      </c>
      <c r="H56" s="6" t="s">
        <v>778</v>
      </c>
      <c r="AG56" s="6" t="s">
        <v>778</v>
      </c>
      <c r="CG56" s="6" t="s">
        <v>778</v>
      </c>
      <c r="DD56" s="6" t="s">
        <v>778</v>
      </c>
      <c r="DZ56" s="6" t="s">
        <v>778</v>
      </c>
      <c r="EA56" s="6" t="s">
        <v>778</v>
      </c>
      <c r="EP56" s="6" t="s">
        <v>778</v>
      </c>
      <c r="EQ56" s="6" t="s">
        <v>778</v>
      </c>
      <c r="HF56" s="6">
        <f t="shared" si="1"/>
        <v>0</v>
      </c>
    </row>
    <row r="57" spans="1:214" ht="50" x14ac:dyDescent="0.25">
      <c r="A57" s="6" t="s">
        <v>543</v>
      </c>
      <c r="B57" s="6" t="s">
        <v>60</v>
      </c>
      <c r="C57" s="6" t="s">
        <v>960</v>
      </c>
      <c r="D57" s="6" t="s">
        <v>778</v>
      </c>
      <c r="E57" s="6" t="s">
        <v>778</v>
      </c>
      <c r="F57" s="6" t="s">
        <v>778</v>
      </c>
      <c r="G57" s="6" t="s">
        <v>778</v>
      </c>
      <c r="H57" s="6" t="s">
        <v>778</v>
      </c>
      <c r="BK57" s="6" t="s">
        <v>778</v>
      </c>
      <c r="CG57" s="6" t="s">
        <v>778</v>
      </c>
      <c r="DD57" s="6" t="s">
        <v>778</v>
      </c>
      <c r="DZ57" s="6" t="s">
        <v>778</v>
      </c>
      <c r="EA57" s="6" t="s">
        <v>778</v>
      </c>
      <c r="EP57" s="6" t="s">
        <v>778</v>
      </c>
      <c r="EQ57" s="6" t="s">
        <v>778</v>
      </c>
      <c r="HF57" s="6">
        <f t="shared" si="1"/>
        <v>0</v>
      </c>
    </row>
    <row r="58" spans="1:214" ht="50" x14ac:dyDescent="0.25">
      <c r="A58" s="6" t="s">
        <v>543</v>
      </c>
      <c r="B58" s="6" t="s">
        <v>60</v>
      </c>
      <c r="C58" s="6" t="s">
        <v>961</v>
      </c>
      <c r="D58" s="6" t="s">
        <v>778</v>
      </c>
      <c r="E58" s="6" t="s">
        <v>778</v>
      </c>
      <c r="F58" s="6" t="s">
        <v>778</v>
      </c>
      <c r="G58" s="6" t="s">
        <v>778</v>
      </c>
      <c r="H58" s="6" t="s">
        <v>778</v>
      </c>
      <c r="BO58" s="6" t="s">
        <v>778</v>
      </c>
      <c r="CG58" s="6" t="s">
        <v>778</v>
      </c>
      <c r="DD58" s="6" t="s">
        <v>778</v>
      </c>
      <c r="DZ58" s="6" t="s">
        <v>778</v>
      </c>
      <c r="EA58" s="6" t="s">
        <v>778</v>
      </c>
      <c r="EP58" s="6" t="s">
        <v>778</v>
      </c>
      <c r="EQ58" s="6" t="s">
        <v>778</v>
      </c>
      <c r="HF58" s="6">
        <f t="shared" si="1"/>
        <v>0</v>
      </c>
    </row>
    <row r="59" spans="1:214" ht="75" x14ac:dyDescent="0.25">
      <c r="A59" s="6" t="s">
        <v>543</v>
      </c>
      <c r="B59" s="6" t="s">
        <v>60</v>
      </c>
      <c r="C59" s="6" t="s">
        <v>962</v>
      </c>
      <c r="D59" s="6" t="s">
        <v>778</v>
      </c>
      <c r="E59" s="6" t="s">
        <v>778</v>
      </c>
      <c r="F59" s="6" t="s">
        <v>778</v>
      </c>
      <c r="G59" s="6" t="s">
        <v>778</v>
      </c>
      <c r="H59" s="6" t="s">
        <v>778</v>
      </c>
      <c r="CG59" s="6" t="s">
        <v>778</v>
      </c>
      <c r="CT59" s="6" t="s">
        <v>778</v>
      </c>
      <c r="DD59" s="6" t="s">
        <v>778</v>
      </c>
      <c r="DZ59" s="6" t="s">
        <v>778</v>
      </c>
      <c r="EA59" s="6" t="s">
        <v>778</v>
      </c>
      <c r="EP59" s="6" t="s">
        <v>778</v>
      </c>
      <c r="EQ59" s="6" t="s">
        <v>778</v>
      </c>
      <c r="HF59" s="6">
        <f t="shared" si="1"/>
        <v>0</v>
      </c>
    </row>
    <row r="60" spans="1:214" ht="62.5" x14ac:dyDescent="0.25">
      <c r="A60" s="6" t="s">
        <v>543</v>
      </c>
      <c r="B60" s="6" t="s">
        <v>60</v>
      </c>
      <c r="C60" s="6" t="s">
        <v>963</v>
      </c>
      <c r="D60" s="6" t="s">
        <v>778</v>
      </c>
      <c r="E60" s="6" t="s">
        <v>778</v>
      </c>
      <c r="F60" s="6" t="s">
        <v>778</v>
      </c>
      <c r="G60" s="6" t="s">
        <v>778</v>
      </c>
      <c r="H60" s="6" t="s">
        <v>778</v>
      </c>
      <c r="CG60" s="6" t="s">
        <v>778</v>
      </c>
      <c r="DD60" s="6" t="s">
        <v>778</v>
      </c>
      <c r="DU60" s="6" t="s">
        <v>778</v>
      </c>
      <c r="DZ60" s="6" t="s">
        <v>778</v>
      </c>
      <c r="EA60" s="6" t="s">
        <v>778</v>
      </c>
      <c r="EP60" s="6" t="s">
        <v>778</v>
      </c>
      <c r="EQ60" s="6" t="s">
        <v>778</v>
      </c>
      <c r="HF60" s="6">
        <f t="shared" si="1"/>
        <v>0</v>
      </c>
    </row>
    <row r="61" spans="1:214" ht="75" x14ac:dyDescent="0.25">
      <c r="A61" s="6" t="s">
        <v>543</v>
      </c>
      <c r="B61" s="6" t="s">
        <v>60</v>
      </c>
      <c r="C61" s="6" t="s">
        <v>964</v>
      </c>
      <c r="D61" s="6" t="s">
        <v>778</v>
      </c>
      <c r="E61" s="6" t="s">
        <v>778</v>
      </c>
      <c r="F61" s="6" t="s">
        <v>778</v>
      </c>
      <c r="G61" s="6" t="s">
        <v>778</v>
      </c>
      <c r="H61" s="6" t="s">
        <v>778</v>
      </c>
      <c r="CG61" s="6" t="s">
        <v>778</v>
      </c>
      <c r="DD61" s="6" t="s">
        <v>778</v>
      </c>
      <c r="DU61" s="6" t="s">
        <v>778</v>
      </c>
      <c r="DZ61" s="6" t="s">
        <v>778</v>
      </c>
      <c r="EA61" s="6" t="s">
        <v>778</v>
      </c>
      <c r="EP61" s="6" t="s">
        <v>778</v>
      </c>
      <c r="EQ61" s="6" t="s">
        <v>778</v>
      </c>
      <c r="EU61" s="6" t="s">
        <v>778</v>
      </c>
      <c r="HF61" s="6">
        <f t="shared" si="1"/>
        <v>0</v>
      </c>
    </row>
    <row r="62" spans="1:214" ht="50" x14ac:dyDescent="0.25">
      <c r="A62" s="6" t="s">
        <v>543</v>
      </c>
      <c r="B62" s="6" t="s">
        <v>60</v>
      </c>
      <c r="C62" s="6" t="s">
        <v>965</v>
      </c>
      <c r="D62" s="6" t="s">
        <v>778</v>
      </c>
      <c r="E62" s="6" t="s">
        <v>778</v>
      </c>
      <c r="F62" s="6" t="s">
        <v>778</v>
      </c>
      <c r="G62" s="6" t="s">
        <v>778</v>
      </c>
      <c r="H62" s="6" t="s">
        <v>778</v>
      </c>
      <c r="CG62" s="6" t="s">
        <v>778</v>
      </c>
      <c r="DD62" s="6" t="s">
        <v>778</v>
      </c>
      <c r="DZ62" s="6" t="s">
        <v>778</v>
      </c>
      <c r="EA62" s="6" t="s">
        <v>778</v>
      </c>
      <c r="EP62" s="6" t="s">
        <v>778</v>
      </c>
      <c r="EQ62" s="6" t="s">
        <v>778</v>
      </c>
      <c r="FR62" s="6" t="s">
        <v>778</v>
      </c>
      <c r="HF62" s="6">
        <f t="shared" si="1"/>
        <v>0</v>
      </c>
    </row>
    <row r="63" spans="1:214" ht="62.5" x14ac:dyDescent="0.25">
      <c r="A63" s="6" t="s">
        <v>543</v>
      </c>
      <c r="B63" s="6" t="s">
        <v>60</v>
      </c>
      <c r="C63" s="6" t="s">
        <v>966</v>
      </c>
      <c r="D63" s="6" t="s">
        <v>778</v>
      </c>
      <c r="E63" s="6" t="s">
        <v>778</v>
      </c>
      <c r="F63" s="6" t="s">
        <v>778</v>
      </c>
      <c r="G63" s="6" t="s">
        <v>778</v>
      </c>
      <c r="H63" s="6" t="s">
        <v>778</v>
      </c>
      <c r="CG63" s="6" t="s">
        <v>778</v>
      </c>
      <c r="DD63" s="6" t="s">
        <v>778</v>
      </c>
      <c r="DZ63" s="6" t="s">
        <v>778</v>
      </c>
      <c r="EA63" s="6" t="s">
        <v>778</v>
      </c>
      <c r="EP63" s="6" t="s">
        <v>778</v>
      </c>
      <c r="EQ63" s="6" t="s">
        <v>778</v>
      </c>
      <c r="GB63" s="6" t="s">
        <v>778</v>
      </c>
      <c r="HF63" s="6">
        <f t="shared" si="1"/>
        <v>0</v>
      </c>
    </row>
    <row r="64" spans="1:214" ht="50" x14ac:dyDescent="0.25">
      <c r="A64" s="6" t="s">
        <v>543</v>
      </c>
      <c r="B64" s="6" t="s">
        <v>60</v>
      </c>
      <c r="C64" s="6" t="s">
        <v>967</v>
      </c>
      <c r="D64" s="6" t="s">
        <v>778</v>
      </c>
      <c r="E64" s="6" t="s">
        <v>778</v>
      </c>
      <c r="F64" s="6" t="s">
        <v>778</v>
      </c>
      <c r="G64" s="6" t="s">
        <v>778</v>
      </c>
      <c r="H64" s="6" t="s">
        <v>778</v>
      </c>
      <c r="I64" s="6" t="s">
        <v>778</v>
      </c>
      <c r="J64" s="6" t="s">
        <v>778</v>
      </c>
      <c r="CG64" s="6" t="s">
        <v>778</v>
      </c>
      <c r="DD64" s="6" t="s">
        <v>778</v>
      </c>
      <c r="DZ64" s="6" t="s">
        <v>778</v>
      </c>
      <c r="EA64" s="6" t="s">
        <v>778</v>
      </c>
      <c r="EP64" s="6" t="s">
        <v>778</v>
      </c>
      <c r="EQ64" s="6" t="s">
        <v>778</v>
      </c>
      <c r="HF64" s="6">
        <f t="shared" si="1"/>
        <v>0</v>
      </c>
    </row>
    <row r="65" spans="1:214" ht="50" x14ac:dyDescent="0.25">
      <c r="A65" s="6" t="s">
        <v>543</v>
      </c>
      <c r="B65" s="6" t="s">
        <v>60</v>
      </c>
      <c r="C65" s="6" t="s">
        <v>968</v>
      </c>
      <c r="D65" s="6" t="s">
        <v>778</v>
      </c>
      <c r="E65" s="6" t="s">
        <v>778</v>
      </c>
      <c r="F65" s="6" t="s">
        <v>778</v>
      </c>
      <c r="G65" s="6" t="s">
        <v>778</v>
      </c>
      <c r="H65" s="6" t="s">
        <v>778</v>
      </c>
      <c r="BV65" s="6" t="s">
        <v>778</v>
      </c>
      <c r="CG65" s="6" t="s">
        <v>778</v>
      </c>
      <c r="DD65" s="6" t="s">
        <v>778</v>
      </c>
      <c r="DZ65" s="6" t="s">
        <v>778</v>
      </c>
      <c r="EA65" s="6" t="s">
        <v>778</v>
      </c>
      <c r="EP65" s="6" t="s">
        <v>778</v>
      </c>
      <c r="EQ65" s="6" t="s">
        <v>778</v>
      </c>
      <c r="HF65" s="6">
        <f t="shared" si="1"/>
        <v>0</v>
      </c>
    </row>
    <row r="66" spans="1:214" ht="75" x14ac:dyDescent="0.25">
      <c r="A66" s="6" t="s">
        <v>543</v>
      </c>
      <c r="B66" s="6" t="s">
        <v>60</v>
      </c>
      <c r="C66" s="6" t="s">
        <v>969</v>
      </c>
      <c r="D66" s="6" t="s">
        <v>778</v>
      </c>
      <c r="E66" s="6" t="s">
        <v>778</v>
      </c>
      <c r="F66" s="6" t="s">
        <v>778</v>
      </c>
      <c r="G66" s="6" t="s">
        <v>778</v>
      </c>
      <c r="H66" s="6" t="s">
        <v>778</v>
      </c>
      <c r="T66" s="6" t="s">
        <v>778</v>
      </c>
      <c r="CG66" s="6" t="s">
        <v>778</v>
      </c>
      <c r="DD66" s="6" t="s">
        <v>778</v>
      </c>
      <c r="DZ66" s="6" t="s">
        <v>778</v>
      </c>
      <c r="EA66" s="6" t="s">
        <v>778</v>
      </c>
      <c r="EP66" s="6" t="s">
        <v>778</v>
      </c>
      <c r="EQ66" s="6" t="s">
        <v>778</v>
      </c>
      <c r="HF66" s="6">
        <f t="shared" si="1"/>
        <v>0</v>
      </c>
    </row>
    <row r="67" spans="1:214" ht="75" x14ac:dyDescent="0.25">
      <c r="A67" s="6" t="s">
        <v>543</v>
      </c>
      <c r="B67" s="6" t="s">
        <v>60</v>
      </c>
      <c r="C67" s="6" t="s">
        <v>970</v>
      </c>
      <c r="D67" s="6" t="s">
        <v>778</v>
      </c>
      <c r="E67" s="6" t="s">
        <v>778</v>
      </c>
      <c r="F67" s="6" t="s">
        <v>778</v>
      </c>
      <c r="G67" s="6" t="s">
        <v>778</v>
      </c>
      <c r="H67" s="6" t="s">
        <v>778</v>
      </c>
      <c r="U67" s="6" t="s">
        <v>778</v>
      </c>
      <c r="CG67" s="6" t="s">
        <v>778</v>
      </c>
      <c r="DD67" s="6" t="s">
        <v>778</v>
      </c>
      <c r="DZ67" s="6" t="s">
        <v>778</v>
      </c>
      <c r="EA67" s="6" t="s">
        <v>778</v>
      </c>
      <c r="EP67" s="6" t="s">
        <v>778</v>
      </c>
      <c r="EQ67" s="6" t="s">
        <v>778</v>
      </c>
      <c r="HF67" s="6">
        <f t="shared" si="1"/>
        <v>0</v>
      </c>
    </row>
    <row r="68" spans="1:214" ht="87.5" x14ac:dyDescent="0.25">
      <c r="A68" s="6" t="s">
        <v>543</v>
      </c>
      <c r="B68" s="6" t="s">
        <v>60</v>
      </c>
      <c r="C68" s="6" t="s">
        <v>971</v>
      </c>
      <c r="D68" s="6" t="s">
        <v>778</v>
      </c>
      <c r="E68" s="6" t="s">
        <v>778</v>
      </c>
      <c r="F68" s="6" t="s">
        <v>778</v>
      </c>
      <c r="G68" s="6" t="s">
        <v>778</v>
      </c>
      <c r="H68" s="6" t="s">
        <v>778</v>
      </c>
      <c r="CG68" s="6" t="s">
        <v>778</v>
      </c>
      <c r="DD68" s="6" t="s">
        <v>778</v>
      </c>
      <c r="DZ68" s="6" t="s">
        <v>778</v>
      </c>
      <c r="EA68" s="6" t="s">
        <v>778</v>
      </c>
      <c r="EP68" s="6" t="s">
        <v>778</v>
      </c>
      <c r="EQ68" s="6" t="s">
        <v>778</v>
      </c>
      <c r="GV68" s="6" t="s">
        <v>778</v>
      </c>
      <c r="HF68" s="6">
        <f t="shared" si="1"/>
        <v>0</v>
      </c>
    </row>
    <row r="69" spans="1:214" ht="50" x14ac:dyDescent="0.25">
      <c r="A69" s="6" t="s">
        <v>543</v>
      </c>
      <c r="B69" s="6" t="s">
        <v>60</v>
      </c>
      <c r="C69" s="6" t="s">
        <v>972</v>
      </c>
      <c r="D69" s="6" t="s">
        <v>778</v>
      </c>
      <c r="E69" s="6" t="s">
        <v>778</v>
      </c>
      <c r="F69" s="6" t="s">
        <v>778</v>
      </c>
      <c r="G69" s="6" t="s">
        <v>778</v>
      </c>
      <c r="H69" s="6" t="s">
        <v>778</v>
      </c>
      <c r="CF69" s="6" t="s">
        <v>778</v>
      </c>
      <c r="DD69" s="6" t="s">
        <v>778</v>
      </c>
      <c r="DZ69" s="6" t="s">
        <v>778</v>
      </c>
      <c r="EA69" s="6" t="s">
        <v>778</v>
      </c>
      <c r="EP69" s="6" t="s">
        <v>778</v>
      </c>
      <c r="EQ69" s="6" t="s">
        <v>778</v>
      </c>
      <c r="HF69" s="6">
        <f t="shared" si="1"/>
        <v>0</v>
      </c>
    </row>
    <row r="70" spans="1:214" ht="37.5" x14ac:dyDescent="0.25">
      <c r="A70" s="6" t="s">
        <v>543</v>
      </c>
      <c r="B70" s="6" t="s">
        <v>973</v>
      </c>
      <c r="C70" s="6" t="s">
        <v>974</v>
      </c>
      <c r="D70" s="6" t="s">
        <v>778</v>
      </c>
      <c r="E70" s="6" t="s">
        <v>778</v>
      </c>
      <c r="F70" s="6" t="s">
        <v>778</v>
      </c>
      <c r="G70" s="6" t="s">
        <v>778</v>
      </c>
      <c r="H70" s="6" t="s">
        <v>778</v>
      </c>
      <c r="AG70" s="6" t="s">
        <v>778</v>
      </c>
      <c r="AV70" s="6" t="s">
        <v>778</v>
      </c>
      <c r="CC70" s="6" t="s">
        <v>778</v>
      </c>
      <c r="CH70" s="6" t="s">
        <v>778</v>
      </c>
      <c r="CU70" s="6" t="s">
        <v>778</v>
      </c>
      <c r="HB70" s="6" t="s">
        <v>778</v>
      </c>
      <c r="HF70" s="6">
        <f t="shared" si="1"/>
        <v>0</v>
      </c>
    </row>
    <row r="71" spans="1:214" ht="37.5" x14ac:dyDescent="0.25">
      <c r="A71" s="6" t="s">
        <v>543</v>
      </c>
      <c r="B71" s="6" t="s">
        <v>973</v>
      </c>
      <c r="C71" s="6" t="s">
        <v>975</v>
      </c>
      <c r="D71" s="6" t="s">
        <v>778</v>
      </c>
      <c r="E71" s="6" t="s">
        <v>778</v>
      </c>
      <c r="F71" s="6" t="s">
        <v>778</v>
      </c>
      <c r="G71" s="6" t="s">
        <v>778</v>
      </c>
      <c r="H71" s="6" t="s">
        <v>778</v>
      </c>
      <c r="AV71" s="6" t="s">
        <v>778</v>
      </c>
      <c r="BO71" s="6" t="s">
        <v>778</v>
      </c>
      <c r="CC71" s="6" t="s">
        <v>778</v>
      </c>
      <c r="CH71" s="6" t="s">
        <v>778</v>
      </c>
      <c r="CU71" s="6" t="s">
        <v>778</v>
      </c>
      <c r="HB71" s="6" t="s">
        <v>778</v>
      </c>
      <c r="HF71" s="6">
        <f t="shared" si="1"/>
        <v>0</v>
      </c>
    </row>
    <row r="72" spans="1:214" ht="37.5" x14ac:dyDescent="0.25">
      <c r="A72" s="6" t="s">
        <v>543</v>
      </c>
      <c r="B72" s="6" t="s">
        <v>973</v>
      </c>
      <c r="C72" s="6" t="s">
        <v>976</v>
      </c>
      <c r="D72" s="6" t="s">
        <v>778</v>
      </c>
      <c r="E72" s="6" t="s">
        <v>778</v>
      </c>
      <c r="F72" s="6" t="s">
        <v>778</v>
      </c>
      <c r="G72" s="6" t="s">
        <v>778</v>
      </c>
      <c r="H72" s="6" t="s">
        <v>778</v>
      </c>
      <c r="AV72" s="6" t="s">
        <v>778</v>
      </c>
      <c r="CA72" s="6" t="s">
        <v>778</v>
      </c>
      <c r="CB72" s="6" t="s">
        <v>778</v>
      </c>
      <c r="CH72" s="6" t="s">
        <v>778</v>
      </c>
      <c r="CU72" s="6" t="s">
        <v>778</v>
      </c>
      <c r="DK72" s="6" t="s">
        <v>778</v>
      </c>
      <c r="HB72" s="6" t="s">
        <v>778</v>
      </c>
      <c r="HF72" s="6">
        <f t="shared" si="1"/>
        <v>0</v>
      </c>
    </row>
    <row r="73" spans="1:214" ht="37.5" x14ac:dyDescent="0.25">
      <c r="A73" s="6" t="s">
        <v>543</v>
      </c>
      <c r="B73" s="6" t="s">
        <v>973</v>
      </c>
      <c r="C73" s="6" t="s">
        <v>977</v>
      </c>
      <c r="D73" s="6" t="s">
        <v>778</v>
      </c>
      <c r="E73" s="6" t="s">
        <v>778</v>
      </c>
      <c r="F73" s="6" t="s">
        <v>778</v>
      </c>
      <c r="G73" s="6" t="s">
        <v>778</v>
      </c>
      <c r="H73" s="6" t="s">
        <v>778</v>
      </c>
      <c r="AD73" s="6" t="s">
        <v>778</v>
      </c>
      <c r="AV73" s="6" t="s">
        <v>778</v>
      </c>
      <c r="CC73" s="6" t="s">
        <v>778</v>
      </c>
      <c r="CH73" s="6" t="s">
        <v>778</v>
      </c>
      <c r="CU73" s="6" t="s">
        <v>778</v>
      </c>
      <c r="HB73" s="6" t="s">
        <v>778</v>
      </c>
      <c r="HF73" s="6">
        <f t="shared" si="1"/>
        <v>0</v>
      </c>
    </row>
    <row r="74" spans="1:214" ht="37.5" x14ac:dyDescent="0.25">
      <c r="A74" s="6" t="s">
        <v>543</v>
      </c>
      <c r="B74" s="6" t="s">
        <v>973</v>
      </c>
      <c r="C74" s="6" t="s">
        <v>978</v>
      </c>
      <c r="D74" s="6" t="s">
        <v>778</v>
      </c>
      <c r="E74" s="6" t="s">
        <v>778</v>
      </c>
      <c r="F74" s="6" t="s">
        <v>778</v>
      </c>
      <c r="G74" s="6" t="s">
        <v>778</v>
      </c>
      <c r="H74" s="6" t="s">
        <v>778</v>
      </c>
      <c r="AV74" s="6" t="s">
        <v>778</v>
      </c>
      <c r="CA74" s="6" t="s">
        <v>778</v>
      </c>
      <c r="CB74" s="6" t="s">
        <v>778</v>
      </c>
      <c r="CC74" s="6" t="s">
        <v>778</v>
      </c>
      <c r="CH74" s="6" t="s">
        <v>778</v>
      </c>
      <c r="CU74" s="6" t="s">
        <v>778</v>
      </c>
      <c r="HB74" s="6" t="s">
        <v>778</v>
      </c>
      <c r="HF74" s="6">
        <f t="shared" si="1"/>
        <v>0</v>
      </c>
    </row>
    <row r="75" spans="1:214" ht="37.5" x14ac:dyDescent="0.25">
      <c r="A75" s="6" t="s">
        <v>543</v>
      </c>
      <c r="B75" s="6" t="s">
        <v>973</v>
      </c>
      <c r="C75" s="6" t="s">
        <v>979</v>
      </c>
      <c r="D75" s="6" t="s">
        <v>778</v>
      </c>
      <c r="E75" s="6" t="s">
        <v>778</v>
      </c>
      <c r="F75" s="6" t="s">
        <v>778</v>
      </c>
      <c r="G75" s="6" t="s">
        <v>778</v>
      </c>
      <c r="H75" s="6" t="s">
        <v>778</v>
      </c>
      <c r="CA75" s="6" t="s">
        <v>778</v>
      </c>
      <c r="CB75" s="6" t="s">
        <v>778</v>
      </c>
      <c r="CC75" s="6" t="s">
        <v>778</v>
      </c>
      <c r="DK75" s="6" t="s">
        <v>778</v>
      </c>
      <c r="GH75" s="6" t="s">
        <v>778</v>
      </c>
      <c r="HF75" s="6">
        <f t="shared" si="1"/>
        <v>0</v>
      </c>
    </row>
    <row r="76" spans="1:214" ht="37.5" x14ac:dyDescent="0.25">
      <c r="A76" s="6" t="s">
        <v>543</v>
      </c>
      <c r="B76" s="6" t="s">
        <v>973</v>
      </c>
      <c r="C76" s="6" t="s">
        <v>980</v>
      </c>
      <c r="D76" s="6" t="s">
        <v>778</v>
      </c>
      <c r="E76" s="6" t="s">
        <v>778</v>
      </c>
      <c r="F76" s="6" t="s">
        <v>778</v>
      </c>
      <c r="G76" s="6" t="s">
        <v>778</v>
      </c>
      <c r="H76" s="6" t="s">
        <v>778</v>
      </c>
      <c r="BU76" s="6" t="s">
        <v>778</v>
      </c>
      <c r="CC76" s="6" t="s">
        <v>778</v>
      </c>
      <c r="CX76" s="6" t="s">
        <v>778</v>
      </c>
      <c r="DK76" s="6" t="s">
        <v>778</v>
      </c>
      <c r="GH76" s="6" t="s">
        <v>778</v>
      </c>
      <c r="HF76" s="6">
        <f t="shared" si="1"/>
        <v>0</v>
      </c>
    </row>
    <row r="77" spans="1:214" ht="37.5" x14ac:dyDescent="0.25">
      <c r="A77" s="6" t="s">
        <v>543</v>
      </c>
      <c r="B77" s="6" t="s">
        <v>973</v>
      </c>
      <c r="C77" s="6" t="s">
        <v>981</v>
      </c>
      <c r="D77" s="6" t="s">
        <v>778</v>
      </c>
      <c r="E77" s="6" t="s">
        <v>778</v>
      </c>
      <c r="F77" s="6" t="s">
        <v>778</v>
      </c>
      <c r="G77" s="6" t="s">
        <v>778</v>
      </c>
      <c r="H77" s="6" t="s">
        <v>778</v>
      </c>
      <c r="R77" s="6" t="s">
        <v>778</v>
      </c>
      <c r="BY77" s="6" t="s">
        <v>778</v>
      </c>
      <c r="BZ77" s="6" t="s">
        <v>778</v>
      </c>
      <c r="DL77" s="6" t="s">
        <v>778</v>
      </c>
      <c r="DM77" s="6" t="s">
        <v>778</v>
      </c>
      <c r="HF77" s="6">
        <f t="shared" ref="HF77:HF81" si="2">SUM(D77:HE77)</f>
        <v>0</v>
      </c>
    </row>
    <row r="78" spans="1:214" ht="37.5" x14ac:dyDescent="0.25">
      <c r="A78" s="6" t="s">
        <v>543</v>
      </c>
      <c r="B78" s="6" t="s">
        <v>973</v>
      </c>
      <c r="C78" s="6" t="s">
        <v>982</v>
      </c>
      <c r="D78" s="6" t="s">
        <v>778</v>
      </c>
      <c r="E78" s="6" t="s">
        <v>778</v>
      </c>
      <c r="F78" s="6" t="s">
        <v>778</v>
      </c>
      <c r="G78" s="6" t="s">
        <v>778</v>
      </c>
      <c r="H78" s="6" t="s">
        <v>778</v>
      </c>
      <c r="R78" s="6" t="s">
        <v>778</v>
      </c>
      <c r="AV78" s="6" t="s">
        <v>778</v>
      </c>
      <c r="CD78" s="6" t="s">
        <v>778</v>
      </c>
      <c r="CH78" s="6" t="s">
        <v>778</v>
      </c>
      <c r="CU78" s="6" t="s">
        <v>778</v>
      </c>
      <c r="HB78" s="6" t="s">
        <v>778</v>
      </c>
      <c r="HF78" s="6">
        <f t="shared" si="2"/>
        <v>0</v>
      </c>
    </row>
    <row r="79" spans="1:214" ht="37.5" x14ac:dyDescent="0.25">
      <c r="A79" s="6" t="s">
        <v>543</v>
      </c>
      <c r="B79" s="6" t="s">
        <v>973</v>
      </c>
      <c r="C79" s="6" t="s">
        <v>983</v>
      </c>
      <c r="D79" s="6" t="s">
        <v>778</v>
      </c>
      <c r="E79" s="6" t="s">
        <v>778</v>
      </c>
      <c r="F79" s="6" t="s">
        <v>778</v>
      </c>
      <c r="G79" s="6" t="s">
        <v>778</v>
      </c>
      <c r="H79" s="6" t="s">
        <v>778</v>
      </c>
      <c r="CA79" s="6" t="s">
        <v>778</v>
      </c>
      <c r="CB79" s="6" t="s">
        <v>778</v>
      </c>
      <c r="CD79" s="6" t="s">
        <v>778</v>
      </c>
      <c r="FQ79" s="6" t="s">
        <v>778</v>
      </c>
      <c r="HF79" s="6">
        <f t="shared" si="2"/>
        <v>0</v>
      </c>
    </row>
    <row r="80" spans="1:214" ht="37.5" x14ac:dyDescent="0.25">
      <c r="A80" s="6" t="s">
        <v>543</v>
      </c>
      <c r="B80" s="6" t="s">
        <v>973</v>
      </c>
      <c r="C80" s="6" t="s">
        <v>984</v>
      </c>
      <c r="D80" s="6" t="s">
        <v>778</v>
      </c>
      <c r="E80" s="6" t="s">
        <v>778</v>
      </c>
      <c r="F80" s="6" t="s">
        <v>778</v>
      </c>
      <c r="G80" s="6" t="s">
        <v>778</v>
      </c>
      <c r="H80" s="6" t="s">
        <v>778</v>
      </c>
      <c r="R80" s="6" t="s">
        <v>778</v>
      </c>
      <c r="AS80" s="6" t="s">
        <v>778</v>
      </c>
      <c r="AT80" s="6" t="s">
        <v>778</v>
      </c>
      <c r="AU80" s="6" t="s">
        <v>778</v>
      </c>
      <c r="CD80" s="6" t="s">
        <v>778</v>
      </c>
      <c r="CQ80" s="6" t="s">
        <v>778</v>
      </c>
      <c r="CR80" s="6" t="s">
        <v>778</v>
      </c>
      <c r="CS80" s="6" t="s">
        <v>778</v>
      </c>
      <c r="GE80" s="6" t="s">
        <v>778</v>
      </c>
      <c r="GY80" s="6" t="s">
        <v>778</v>
      </c>
      <c r="GZ80" s="6" t="s">
        <v>778</v>
      </c>
      <c r="HA80" s="6" t="s">
        <v>778</v>
      </c>
      <c r="HF80" s="6">
        <f t="shared" si="2"/>
        <v>0</v>
      </c>
    </row>
    <row r="81" spans="1:214" ht="37.5" x14ac:dyDescent="0.25">
      <c r="A81" s="6" t="s">
        <v>543</v>
      </c>
      <c r="B81" s="6" t="s">
        <v>973</v>
      </c>
      <c r="C81" s="6" t="s">
        <v>985</v>
      </c>
      <c r="D81" s="6" t="s">
        <v>778</v>
      </c>
      <c r="E81" s="6" t="s">
        <v>778</v>
      </c>
      <c r="F81" s="6" t="s">
        <v>778</v>
      </c>
      <c r="G81" s="6" t="s">
        <v>778</v>
      </c>
      <c r="H81" s="6" t="s">
        <v>778</v>
      </c>
      <c r="R81" s="6" t="s">
        <v>778</v>
      </c>
      <c r="BU81" s="6" t="s">
        <v>778</v>
      </c>
      <c r="CD81" s="6" t="s">
        <v>778</v>
      </c>
      <c r="DK81" s="6" t="s">
        <v>778</v>
      </c>
      <c r="HF81" s="6">
        <f t="shared" si="2"/>
        <v>0</v>
      </c>
    </row>
    <row r="82" spans="1:214" x14ac:dyDescent="0.25">
      <c r="A82" s="6" t="s">
        <v>543</v>
      </c>
    </row>
    <row r="83" spans="1:214" x14ac:dyDescent="0.25">
      <c r="A83" s="6" t="s">
        <v>543</v>
      </c>
    </row>
    <row r="84" spans="1:214" x14ac:dyDescent="0.25">
      <c r="A84" s="6" t="s">
        <v>543</v>
      </c>
    </row>
    <row r="85" spans="1:214" x14ac:dyDescent="0.25">
      <c r="A85" s="6" t="s">
        <v>543</v>
      </c>
    </row>
    <row r="86" spans="1:214" x14ac:dyDescent="0.25">
      <c r="A86" s="6" t="s">
        <v>543</v>
      </c>
    </row>
    <row r="87" spans="1:214" x14ac:dyDescent="0.25">
      <c r="A87" s="6" t="s">
        <v>543</v>
      </c>
    </row>
    <row r="88" spans="1:214" x14ac:dyDescent="0.25">
      <c r="A88" s="6" t="s">
        <v>543</v>
      </c>
    </row>
    <row r="89" spans="1:214" x14ac:dyDescent="0.25">
      <c r="A89" s="6" t="s">
        <v>543</v>
      </c>
    </row>
    <row r="90" spans="1:214" x14ac:dyDescent="0.25">
      <c r="A90" s="6" t="s">
        <v>543</v>
      </c>
    </row>
    <row r="91" spans="1:214" x14ac:dyDescent="0.25">
      <c r="A91" s="6" t="s">
        <v>543</v>
      </c>
    </row>
    <row r="92" spans="1:214" x14ac:dyDescent="0.25">
      <c r="A92" s="6" t="s">
        <v>543</v>
      </c>
    </row>
    <row r="93" spans="1:214" x14ac:dyDescent="0.25">
      <c r="A93" s="6" t="s">
        <v>543</v>
      </c>
    </row>
    <row r="94" spans="1:214" x14ac:dyDescent="0.25">
      <c r="A94" s="6" t="s">
        <v>543</v>
      </c>
    </row>
    <row r="95" spans="1:214" x14ac:dyDescent="0.25">
      <c r="A95" s="6" t="s">
        <v>543</v>
      </c>
    </row>
    <row r="96" spans="1:214" x14ac:dyDescent="0.25">
      <c r="A96" s="6" t="s">
        <v>543</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BE4C8-41DD-4ED4-9BB6-00B4E09F08E3}">
  <sheetPr codeName="Sheet10"/>
  <dimension ref="A2:B206"/>
  <sheetViews>
    <sheetView topLeftCell="A170" zoomScale="102" workbookViewId="0">
      <selection activeCell="A2" sqref="A2:B206"/>
    </sheetView>
  </sheetViews>
  <sheetFormatPr defaultRowHeight="14.5" x14ac:dyDescent="0.35"/>
  <cols>
    <col min="1" max="1" width="37.1796875" customWidth="1"/>
    <col min="2" max="2" width="55.453125" customWidth="1"/>
  </cols>
  <sheetData>
    <row r="2" spans="1:2" x14ac:dyDescent="0.35">
      <c r="A2" t="s">
        <v>609</v>
      </c>
      <c r="B2" t="s">
        <v>1602</v>
      </c>
    </row>
    <row r="3" spans="1:2" x14ac:dyDescent="0.35">
      <c r="A3" t="s">
        <v>643</v>
      </c>
      <c r="B3" t="s">
        <v>1603</v>
      </c>
    </row>
    <row r="4" spans="1:2" x14ac:dyDescent="0.35">
      <c r="A4" t="s">
        <v>183</v>
      </c>
      <c r="B4" t="s">
        <v>1604</v>
      </c>
    </row>
    <row r="5" spans="1:2" x14ac:dyDescent="0.35">
      <c r="A5" t="s">
        <v>179</v>
      </c>
      <c r="B5" t="s">
        <v>1291</v>
      </c>
    </row>
    <row r="6" spans="1:2" x14ac:dyDescent="0.35">
      <c r="A6" t="s">
        <v>625</v>
      </c>
      <c r="B6" t="s">
        <v>1605</v>
      </c>
    </row>
    <row r="7" spans="1:2" x14ac:dyDescent="0.35">
      <c r="A7" t="s">
        <v>1606</v>
      </c>
      <c r="B7" t="s">
        <v>1607</v>
      </c>
    </row>
    <row r="8" spans="1:2" x14ac:dyDescent="0.35">
      <c r="A8" t="s">
        <v>751</v>
      </c>
      <c r="B8" t="s">
        <v>1608</v>
      </c>
    </row>
    <row r="9" spans="1:2" x14ac:dyDescent="0.35">
      <c r="A9" t="s">
        <v>752</v>
      </c>
      <c r="B9" t="s">
        <v>1609</v>
      </c>
    </row>
    <row r="10" spans="1:2" x14ac:dyDescent="0.35">
      <c r="A10" t="s">
        <v>167</v>
      </c>
      <c r="B10" t="s">
        <v>1316</v>
      </c>
    </row>
    <row r="11" spans="1:2" x14ac:dyDescent="0.35">
      <c r="A11" t="s">
        <v>668</v>
      </c>
      <c r="B11" t="s">
        <v>1610</v>
      </c>
    </row>
    <row r="12" spans="1:2" x14ac:dyDescent="0.35">
      <c r="A12" t="s">
        <v>656</v>
      </c>
      <c r="B12" t="s">
        <v>1611</v>
      </c>
    </row>
    <row r="13" spans="1:2" x14ac:dyDescent="0.35">
      <c r="A13" t="s">
        <v>626</v>
      </c>
      <c r="B13" t="s">
        <v>1612</v>
      </c>
    </row>
    <row r="14" spans="1:2" x14ac:dyDescent="0.35">
      <c r="A14" t="s">
        <v>153</v>
      </c>
      <c r="B14" t="s">
        <v>1613</v>
      </c>
    </row>
    <row r="15" spans="1:2" x14ac:dyDescent="0.35">
      <c r="A15" t="s">
        <v>697</v>
      </c>
      <c r="B15" t="s">
        <v>1614</v>
      </c>
    </row>
    <row r="16" spans="1:2" x14ac:dyDescent="0.35">
      <c r="A16" t="s">
        <v>696</v>
      </c>
      <c r="B16" t="s">
        <v>1615</v>
      </c>
    </row>
    <row r="17" spans="1:2" x14ac:dyDescent="0.35">
      <c r="A17" t="s">
        <v>586</v>
      </c>
      <c r="B17" t="s">
        <v>1616</v>
      </c>
    </row>
    <row r="18" spans="1:2" x14ac:dyDescent="0.35">
      <c r="A18" t="s">
        <v>672</v>
      </c>
      <c r="B18" t="s">
        <v>1617</v>
      </c>
    </row>
    <row r="19" spans="1:2" x14ac:dyDescent="0.35">
      <c r="A19" t="s">
        <v>673</v>
      </c>
      <c r="B19" t="s">
        <v>1618</v>
      </c>
    </row>
    <row r="20" spans="1:2" x14ac:dyDescent="0.35">
      <c r="A20" t="s">
        <v>199</v>
      </c>
      <c r="B20" t="s">
        <v>1619</v>
      </c>
    </row>
    <row r="21" spans="1:2" x14ac:dyDescent="0.35">
      <c r="A21" t="s">
        <v>657</v>
      </c>
      <c r="B21" t="s">
        <v>1620</v>
      </c>
    </row>
    <row r="22" spans="1:2" x14ac:dyDescent="0.35">
      <c r="A22" t="s">
        <v>695</v>
      </c>
      <c r="B22" t="s">
        <v>1621</v>
      </c>
    </row>
    <row r="23" spans="1:2" x14ac:dyDescent="0.35">
      <c r="A23" t="s">
        <v>649</v>
      </c>
      <c r="B23" t="s">
        <v>1607</v>
      </c>
    </row>
    <row r="24" spans="1:2" x14ac:dyDescent="0.35">
      <c r="A24" t="s">
        <v>650</v>
      </c>
      <c r="B24" t="s">
        <v>1622</v>
      </c>
    </row>
    <row r="25" spans="1:2" x14ac:dyDescent="0.35">
      <c r="A25" t="s">
        <v>653</v>
      </c>
      <c r="B25" t="s">
        <v>1623</v>
      </c>
    </row>
    <row r="26" spans="1:2" x14ac:dyDescent="0.35">
      <c r="A26" t="s">
        <v>690</v>
      </c>
      <c r="B26" t="s">
        <v>1624</v>
      </c>
    </row>
    <row r="27" spans="1:2" x14ac:dyDescent="0.35">
      <c r="A27" t="s">
        <v>651</v>
      </c>
      <c r="B27" t="s">
        <v>1625</v>
      </c>
    </row>
    <row r="28" spans="1:2" x14ac:dyDescent="0.35">
      <c r="A28" t="s">
        <v>654</v>
      </c>
      <c r="B28" t="s">
        <v>1626</v>
      </c>
    </row>
    <row r="29" spans="1:2" x14ac:dyDescent="0.35">
      <c r="A29" t="s">
        <v>693</v>
      </c>
      <c r="B29" t="s">
        <v>1627</v>
      </c>
    </row>
    <row r="30" spans="1:2" x14ac:dyDescent="0.35">
      <c r="A30" t="s">
        <v>652</v>
      </c>
      <c r="B30" t="s">
        <v>1628</v>
      </c>
    </row>
    <row r="31" spans="1:2" x14ac:dyDescent="0.35">
      <c r="A31" t="s">
        <v>655</v>
      </c>
      <c r="B31" t="s">
        <v>1629</v>
      </c>
    </row>
    <row r="32" spans="1:2" x14ac:dyDescent="0.35">
      <c r="A32" t="s">
        <v>767</v>
      </c>
      <c r="B32" t="s">
        <v>1630</v>
      </c>
    </row>
    <row r="33" spans="1:2" x14ac:dyDescent="0.35">
      <c r="A33" t="s">
        <v>769</v>
      </c>
      <c r="B33" t="s">
        <v>1631</v>
      </c>
    </row>
    <row r="34" spans="1:2" x14ac:dyDescent="0.35">
      <c r="A34" t="s">
        <v>768</v>
      </c>
      <c r="B34" t="s">
        <v>1632</v>
      </c>
    </row>
    <row r="35" spans="1:2" x14ac:dyDescent="0.35">
      <c r="A35" t="s">
        <v>762</v>
      </c>
      <c r="B35" t="s">
        <v>1630</v>
      </c>
    </row>
    <row r="36" spans="1:2" x14ac:dyDescent="0.35">
      <c r="A36" t="s">
        <v>762</v>
      </c>
      <c r="B36" t="s">
        <v>1633</v>
      </c>
    </row>
    <row r="37" spans="1:2" x14ac:dyDescent="0.35">
      <c r="A37" t="s">
        <v>623</v>
      </c>
      <c r="B37" t="s">
        <v>1634</v>
      </c>
    </row>
    <row r="38" spans="1:2" x14ac:dyDescent="0.35">
      <c r="A38" t="s">
        <v>742</v>
      </c>
      <c r="B38" t="s">
        <v>1635</v>
      </c>
    </row>
    <row r="39" spans="1:2" x14ac:dyDescent="0.35">
      <c r="A39" t="s">
        <v>743</v>
      </c>
      <c r="B39" t="s">
        <v>1636</v>
      </c>
    </row>
    <row r="40" spans="1:2" x14ac:dyDescent="0.35">
      <c r="A40" t="s">
        <v>1637</v>
      </c>
      <c r="B40" t="s">
        <v>1638</v>
      </c>
    </row>
    <row r="41" spans="1:2" x14ac:dyDescent="0.35">
      <c r="A41" t="s">
        <v>745</v>
      </c>
      <c r="B41" t="s">
        <v>1639</v>
      </c>
    </row>
    <row r="42" spans="1:2" x14ac:dyDescent="0.35">
      <c r="A42" t="s">
        <v>746</v>
      </c>
      <c r="B42" t="s">
        <v>1640</v>
      </c>
    </row>
    <row r="43" spans="1:2" x14ac:dyDescent="0.35">
      <c r="A43" t="s">
        <v>622</v>
      </c>
      <c r="B43" t="s">
        <v>1605</v>
      </c>
    </row>
    <row r="44" spans="1:2" x14ac:dyDescent="0.35">
      <c r="A44" t="s">
        <v>617</v>
      </c>
      <c r="B44" t="s">
        <v>1641</v>
      </c>
    </row>
    <row r="45" spans="1:2" x14ac:dyDescent="0.35">
      <c r="A45" t="s">
        <v>620</v>
      </c>
      <c r="B45" t="s">
        <v>1642</v>
      </c>
    </row>
    <row r="46" spans="1:2" x14ac:dyDescent="0.35">
      <c r="A46" t="s">
        <v>621</v>
      </c>
      <c r="B46" t="s">
        <v>1643</v>
      </c>
    </row>
    <row r="47" spans="1:2" x14ac:dyDescent="0.35">
      <c r="A47" t="s">
        <v>618</v>
      </c>
      <c r="B47" t="s">
        <v>1644</v>
      </c>
    </row>
    <row r="48" spans="1:2" x14ac:dyDescent="0.35">
      <c r="A48" t="s">
        <v>619</v>
      </c>
      <c r="B48" t="s">
        <v>1645</v>
      </c>
    </row>
    <row r="49" spans="1:2" x14ac:dyDescent="0.35">
      <c r="A49" t="s">
        <v>1646</v>
      </c>
      <c r="B49" t="s">
        <v>1647</v>
      </c>
    </row>
    <row r="50" spans="1:2" x14ac:dyDescent="0.35">
      <c r="A50" t="s">
        <v>686</v>
      </c>
      <c r="B50" t="s">
        <v>1648</v>
      </c>
    </row>
    <row r="51" spans="1:2" x14ac:dyDescent="0.35">
      <c r="A51" t="s">
        <v>338</v>
      </c>
      <c r="B51" t="s">
        <v>1649</v>
      </c>
    </row>
    <row r="52" spans="1:2" x14ac:dyDescent="0.35">
      <c r="A52" t="s">
        <v>1590</v>
      </c>
      <c r="B52" t="s">
        <v>1650</v>
      </c>
    </row>
    <row r="53" spans="1:2" x14ac:dyDescent="0.35">
      <c r="A53" t="s">
        <v>202</v>
      </c>
      <c r="B53" t="s">
        <v>1529</v>
      </c>
    </row>
    <row r="54" spans="1:2" x14ac:dyDescent="0.35">
      <c r="A54" t="s">
        <v>207</v>
      </c>
      <c r="B54" t="s">
        <v>1651</v>
      </c>
    </row>
    <row r="55" spans="1:2" x14ac:dyDescent="0.35">
      <c r="A55" t="s">
        <v>685</v>
      </c>
      <c r="B55" t="s">
        <v>1652</v>
      </c>
    </row>
    <row r="56" spans="1:2" x14ac:dyDescent="0.35">
      <c r="A56" t="s">
        <v>684</v>
      </c>
      <c r="B56" t="s">
        <v>1653</v>
      </c>
    </row>
    <row r="57" spans="1:2" x14ac:dyDescent="0.35">
      <c r="A57" t="s">
        <v>1654</v>
      </c>
      <c r="B57" t="s">
        <v>1655</v>
      </c>
    </row>
    <row r="58" spans="1:2" x14ac:dyDescent="0.35">
      <c r="A58" t="s">
        <v>209</v>
      </c>
      <c r="B58" t="s">
        <v>1656</v>
      </c>
    </row>
    <row r="59" spans="1:2" x14ac:dyDescent="0.35">
      <c r="A59" t="s">
        <v>1592</v>
      </c>
      <c r="B59" t="s">
        <v>1592</v>
      </c>
    </row>
    <row r="60" spans="1:2" x14ac:dyDescent="0.35">
      <c r="A60" t="s">
        <v>1527</v>
      </c>
      <c r="B60" t="s">
        <v>1657</v>
      </c>
    </row>
    <row r="61" spans="1:2" x14ac:dyDescent="0.35">
      <c r="A61" t="s">
        <v>637</v>
      </c>
      <c r="B61" t="s">
        <v>1610</v>
      </c>
    </row>
    <row r="62" spans="1:2" x14ac:dyDescent="0.35">
      <c r="A62" t="s">
        <v>638</v>
      </c>
      <c r="B62" t="s">
        <v>1658</v>
      </c>
    </row>
    <row r="63" spans="1:2" x14ac:dyDescent="0.35">
      <c r="A63" t="s">
        <v>758</v>
      </c>
      <c r="B63" t="s">
        <v>758</v>
      </c>
    </row>
    <row r="64" spans="1:2" x14ac:dyDescent="0.35">
      <c r="A64" t="s">
        <v>759</v>
      </c>
      <c r="B64" t="s">
        <v>759</v>
      </c>
    </row>
    <row r="65" spans="1:2" x14ac:dyDescent="0.35">
      <c r="A65" t="s">
        <v>755</v>
      </c>
      <c r="B65" t="s">
        <v>1659</v>
      </c>
    </row>
    <row r="66" spans="1:2" x14ac:dyDescent="0.35">
      <c r="A66" t="s">
        <v>1660</v>
      </c>
      <c r="B66" t="s">
        <v>1661</v>
      </c>
    </row>
    <row r="67" spans="1:2" x14ac:dyDescent="0.35">
      <c r="A67" t="s">
        <v>757</v>
      </c>
      <c r="B67" t="s">
        <v>1662</v>
      </c>
    </row>
    <row r="68" spans="1:2" x14ac:dyDescent="0.35">
      <c r="A68" t="s">
        <v>756</v>
      </c>
      <c r="B68" t="s">
        <v>1663</v>
      </c>
    </row>
    <row r="69" spans="1:2" x14ac:dyDescent="0.35">
      <c r="A69" t="s">
        <v>675</v>
      </c>
      <c r="B69" t="s">
        <v>1664</v>
      </c>
    </row>
    <row r="70" spans="1:2" x14ac:dyDescent="0.35">
      <c r="A70" t="s">
        <v>1593</v>
      </c>
      <c r="B70" t="s">
        <v>1665</v>
      </c>
    </row>
    <row r="71" spans="1:2" x14ac:dyDescent="0.35">
      <c r="A71" t="s">
        <v>738</v>
      </c>
      <c r="B71" t="s">
        <v>1665</v>
      </c>
    </row>
    <row r="72" spans="1:2" x14ac:dyDescent="0.35">
      <c r="A72" t="s">
        <v>763</v>
      </c>
      <c r="B72" t="s">
        <v>759</v>
      </c>
    </row>
    <row r="73" spans="1:2" x14ac:dyDescent="0.35">
      <c r="A73" t="s">
        <v>763</v>
      </c>
      <c r="B73" t="s">
        <v>1666</v>
      </c>
    </row>
    <row r="74" spans="1:2" x14ac:dyDescent="0.35">
      <c r="A74" t="s">
        <v>717</v>
      </c>
      <c r="B74" t="s">
        <v>1667</v>
      </c>
    </row>
    <row r="75" spans="1:2" x14ac:dyDescent="0.35">
      <c r="A75" t="s">
        <v>715</v>
      </c>
      <c r="B75" t="s">
        <v>1668</v>
      </c>
    </row>
    <row r="76" spans="1:2" x14ac:dyDescent="0.35">
      <c r="A76" t="s">
        <v>719</v>
      </c>
      <c r="B76" t="s">
        <v>1669</v>
      </c>
    </row>
    <row r="77" spans="1:2" x14ac:dyDescent="0.35">
      <c r="A77" t="s">
        <v>731</v>
      </c>
      <c r="B77" t="s">
        <v>1670</v>
      </c>
    </row>
    <row r="78" spans="1:2" x14ac:dyDescent="0.35">
      <c r="A78" t="s">
        <v>716</v>
      </c>
      <c r="B78" t="s">
        <v>1671</v>
      </c>
    </row>
    <row r="79" spans="1:2" x14ac:dyDescent="0.35">
      <c r="A79" t="s">
        <v>730</v>
      </c>
      <c r="B79" t="s">
        <v>1672</v>
      </c>
    </row>
    <row r="80" spans="1:2" x14ac:dyDescent="0.35">
      <c r="A80" t="s">
        <v>724</v>
      </c>
      <c r="B80" t="s">
        <v>1673</v>
      </c>
    </row>
    <row r="81" spans="1:2" x14ac:dyDescent="0.35">
      <c r="A81" t="s">
        <v>154</v>
      </c>
      <c r="B81" t="s">
        <v>1674</v>
      </c>
    </row>
    <row r="82" spans="1:2" x14ac:dyDescent="0.35">
      <c r="A82" t="s">
        <v>770</v>
      </c>
      <c r="B82" t="s">
        <v>1666</v>
      </c>
    </row>
    <row r="83" spans="1:2" x14ac:dyDescent="0.35">
      <c r="A83" t="s">
        <v>772</v>
      </c>
      <c r="B83" t="s">
        <v>1675</v>
      </c>
    </row>
    <row r="84" spans="1:2" x14ac:dyDescent="0.35">
      <c r="A84" t="s">
        <v>771</v>
      </c>
      <c r="B84" t="s">
        <v>1676</v>
      </c>
    </row>
    <row r="85" spans="1:2" x14ac:dyDescent="0.35">
      <c r="A85" t="s">
        <v>1677</v>
      </c>
      <c r="B85" t="s">
        <v>1678</v>
      </c>
    </row>
    <row r="86" spans="1:2" x14ac:dyDescent="0.35">
      <c r="A86" t="s">
        <v>765</v>
      </c>
      <c r="B86" t="s">
        <v>1679</v>
      </c>
    </row>
    <row r="87" spans="1:2" x14ac:dyDescent="0.35">
      <c r="A87" t="s">
        <v>699</v>
      </c>
      <c r="B87" t="s">
        <v>1680</v>
      </c>
    </row>
    <row r="88" spans="1:2" x14ac:dyDescent="0.35">
      <c r="A88" t="s">
        <v>700</v>
      </c>
      <c r="B88" t="s">
        <v>1681</v>
      </c>
    </row>
    <row r="89" spans="1:2" x14ac:dyDescent="0.35">
      <c r="A89" t="s">
        <v>1594</v>
      </c>
      <c r="B89" t="s">
        <v>1682</v>
      </c>
    </row>
    <row r="90" spans="1:2" x14ac:dyDescent="0.35">
      <c r="A90" t="s">
        <v>664</v>
      </c>
      <c r="B90" t="s">
        <v>1683</v>
      </c>
    </row>
    <row r="91" spans="1:2" x14ac:dyDescent="0.35">
      <c r="A91" t="s">
        <v>665</v>
      </c>
      <c r="B91" t="s">
        <v>1684</v>
      </c>
    </row>
    <row r="92" spans="1:2" x14ac:dyDescent="0.35">
      <c r="A92" t="s">
        <v>666</v>
      </c>
      <c r="B92" t="s">
        <v>1685</v>
      </c>
    </row>
    <row r="93" spans="1:2" x14ac:dyDescent="0.35">
      <c r="A93" t="s">
        <v>152</v>
      </c>
      <c r="B93" t="s">
        <v>1686</v>
      </c>
    </row>
    <row r="94" spans="1:2" x14ac:dyDescent="0.35">
      <c r="A94" t="s">
        <v>152</v>
      </c>
      <c r="B94" t="s">
        <v>1687</v>
      </c>
    </row>
    <row r="95" spans="1:2" x14ac:dyDescent="0.35">
      <c r="A95" t="s">
        <v>152</v>
      </c>
      <c r="B95" t="s">
        <v>1688</v>
      </c>
    </row>
    <row r="96" spans="1:2" x14ac:dyDescent="0.35">
      <c r="A96" t="s">
        <v>1595</v>
      </c>
      <c r="B96" t="s">
        <v>1689</v>
      </c>
    </row>
    <row r="97" spans="1:2" x14ac:dyDescent="0.35">
      <c r="A97" t="s">
        <v>170</v>
      </c>
      <c r="B97" t="s">
        <v>1690</v>
      </c>
    </row>
    <row r="98" spans="1:2" x14ac:dyDescent="0.35">
      <c r="A98" t="s">
        <v>170</v>
      </c>
      <c r="B98" t="s">
        <v>1691</v>
      </c>
    </row>
    <row r="99" spans="1:2" x14ac:dyDescent="0.35">
      <c r="A99" t="s">
        <v>671</v>
      </c>
      <c r="B99" t="s">
        <v>1692</v>
      </c>
    </row>
    <row r="100" spans="1:2" x14ac:dyDescent="0.35">
      <c r="A100" t="s">
        <v>687</v>
      </c>
      <c r="B100" t="s">
        <v>1693</v>
      </c>
    </row>
    <row r="101" spans="1:2" x14ac:dyDescent="0.35">
      <c r="A101" t="s">
        <v>688</v>
      </c>
      <c r="B101" t="s">
        <v>1694</v>
      </c>
    </row>
    <row r="102" spans="1:2" x14ac:dyDescent="0.35">
      <c r="A102" t="s">
        <v>641</v>
      </c>
      <c r="B102" t="s">
        <v>1695</v>
      </c>
    </row>
    <row r="103" spans="1:2" x14ac:dyDescent="0.35">
      <c r="A103" t="s">
        <v>734</v>
      </c>
      <c r="B103" t="s">
        <v>1696</v>
      </c>
    </row>
    <row r="104" spans="1:2" x14ac:dyDescent="0.35">
      <c r="A104" t="s">
        <v>1596</v>
      </c>
      <c r="B104" t="s">
        <v>1697</v>
      </c>
    </row>
    <row r="105" spans="1:2" x14ac:dyDescent="0.35">
      <c r="A105" t="s">
        <v>761</v>
      </c>
      <c r="B105" t="s">
        <v>1698</v>
      </c>
    </row>
    <row r="106" spans="1:2" x14ac:dyDescent="0.35">
      <c r="A106" t="s">
        <v>658</v>
      </c>
      <c r="B106" t="s">
        <v>1699</v>
      </c>
    </row>
    <row r="107" spans="1:2" x14ac:dyDescent="0.35">
      <c r="A107" t="s">
        <v>1597</v>
      </c>
      <c r="B107" t="s">
        <v>1700</v>
      </c>
    </row>
    <row r="108" spans="1:2" x14ac:dyDescent="0.35">
      <c r="A108" t="s">
        <v>660</v>
      </c>
      <c r="B108" t="s">
        <v>1701</v>
      </c>
    </row>
    <row r="109" spans="1:2" x14ac:dyDescent="0.35">
      <c r="A109" t="s">
        <v>677</v>
      </c>
      <c r="B109" t="s">
        <v>1702</v>
      </c>
    </row>
    <row r="110" spans="1:2" x14ac:dyDescent="0.35">
      <c r="A110" t="s">
        <v>628</v>
      </c>
      <c r="B110" t="s">
        <v>1703</v>
      </c>
    </row>
    <row r="111" spans="1:2" x14ac:dyDescent="0.35">
      <c r="A111" t="s">
        <v>635</v>
      </c>
      <c r="B111" t="s">
        <v>1704</v>
      </c>
    </row>
    <row r="112" spans="1:2" x14ac:dyDescent="0.35">
      <c r="A112" t="s">
        <v>636</v>
      </c>
      <c r="B112" t="s">
        <v>1705</v>
      </c>
    </row>
    <row r="113" spans="1:2" x14ac:dyDescent="0.35">
      <c r="A113" t="s">
        <v>1706</v>
      </c>
      <c r="B113" t="s">
        <v>1707</v>
      </c>
    </row>
    <row r="114" spans="1:2" x14ac:dyDescent="0.35">
      <c r="A114" t="s">
        <v>644</v>
      </c>
      <c r="B114" t="s">
        <v>1708</v>
      </c>
    </row>
    <row r="115" spans="1:2" x14ac:dyDescent="0.35">
      <c r="A115" t="s">
        <v>676</v>
      </c>
      <c r="B115" t="s">
        <v>1709</v>
      </c>
    </row>
    <row r="116" spans="1:2" x14ac:dyDescent="0.35">
      <c r="A116" t="s">
        <v>1710</v>
      </c>
      <c r="B116" t="s">
        <v>1711</v>
      </c>
    </row>
    <row r="117" spans="1:2" x14ac:dyDescent="0.35">
      <c r="A117" t="s">
        <v>676</v>
      </c>
      <c r="B117" t="s">
        <v>1712</v>
      </c>
    </row>
    <row r="118" spans="1:2" x14ac:dyDescent="0.35">
      <c r="A118" t="s">
        <v>708</v>
      </c>
      <c r="B118" t="s">
        <v>1713</v>
      </c>
    </row>
    <row r="119" spans="1:2" x14ac:dyDescent="0.35">
      <c r="A119" t="s">
        <v>737</v>
      </c>
      <c r="B119" t="s">
        <v>1714</v>
      </c>
    </row>
    <row r="120" spans="1:2" x14ac:dyDescent="0.35">
      <c r="A120" t="s">
        <v>1715</v>
      </c>
      <c r="B120" t="s">
        <v>1716</v>
      </c>
    </row>
    <row r="121" spans="1:2" x14ac:dyDescent="0.35">
      <c r="A121" t="s">
        <v>1599</v>
      </c>
      <c r="B121" t="s">
        <v>1717</v>
      </c>
    </row>
    <row r="122" spans="1:2" x14ac:dyDescent="0.35">
      <c r="A122" t="s">
        <v>720</v>
      </c>
      <c r="B122" t="s">
        <v>1718</v>
      </c>
    </row>
    <row r="123" spans="1:2" x14ac:dyDescent="0.35">
      <c r="A123" t="s">
        <v>721</v>
      </c>
      <c r="B123" t="s">
        <v>1719</v>
      </c>
    </row>
    <row r="124" spans="1:2" x14ac:dyDescent="0.35">
      <c r="A124" t="s">
        <v>674</v>
      </c>
      <c r="B124" t="s">
        <v>1720</v>
      </c>
    </row>
    <row r="125" spans="1:2" x14ac:dyDescent="0.35">
      <c r="A125" t="s">
        <v>722</v>
      </c>
      <c r="B125" t="s">
        <v>1721</v>
      </c>
    </row>
    <row r="126" spans="1:2" x14ac:dyDescent="0.35">
      <c r="A126" t="s">
        <v>722</v>
      </c>
      <c r="B126" t="s">
        <v>1722</v>
      </c>
    </row>
    <row r="127" spans="1:2" x14ac:dyDescent="0.35">
      <c r="A127" t="s">
        <v>707</v>
      </c>
      <c r="B127" t="s">
        <v>1723</v>
      </c>
    </row>
    <row r="128" spans="1:2" x14ac:dyDescent="0.35">
      <c r="A128" t="s">
        <v>703</v>
      </c>
      <c r="B128" t="s">
        <v>1724</v>
      </c>
    </row>
    <row r="129" spans="1:2" x14ac:dyDescent="0.35">
      <c r="A129" t="s">
        <v>706</v>
      </c>
      <c r="B129" t="s">
        <v>1725</v>
      </c>
    </row>
    <row r="130" spans="1:2" x14ac:dyDescent="0.35">
      <c r="A130" t="s">
        <v>1726</v>
      </c>
      <c r="B130" t="s">
        <v>1727</v>
      </c>
    </row>
    <row r="131" spans="1:2" x14ac:dyDescent="0.35">
      <c r="A131" t="s">
        <v>702</v>
      </c>
      <c r="B131" t="s">
        <v>1728</v>
      </c>
    </row>
    <row r="132" spans="1:2" x14ac:dyDescent="0.35">
      <c r="A132" t="s">
        <v>705</v>
      </c>
      <c r="B132" t="s">
        <v>1729</v>
      </c>
    </row>
    <row r="133" spans="1:2" x14ac:dyDescent="0.35">
      <c r="A133" t="s">
        <v>640</v>
      </c>
      <c r="B133" t="s">
        <v>1730</v>
      </c>
    </row>
    <row r="134" spans="1:2" x14ac:dyDescent="0.35">
      <c r="A134" t="s">
        <v>689</v>
      </c>
      <c r="B134" t="s">
        <v>1731</v>
      </c>
    </row>
    <row r="135" spans="1:2" x14ac:dyDescent="0.35">
      <c r="A135" t="s">
        <v>630</v>
      </c>
      <c r="B135" t="s">
        <v>1732</v>
      </c>
    </row>
    <row r="136" spans="1:2" x14ac:dyDescent="0.35">
      <c r="A136" t="s">
        <v>739</v>
      </c>
      <c r="B136" t="s">
        <v>1733</v>
      </c>
    </row>
    <row r="137" spans="1:2" x14ac:dyDescent="0.35">
      <c r="A137" t="s">
        <v>741</v>
      </c>
      <c r="B137" t="s">
        <v>1734</v>
      </c>
    </row>
    <row r="138" spans="1:2" x14ac:dyDescent="0.35">
      <c r="A138" t="s">
        <v>1735</v>
      </c>
      <c r="B138" t="s">
        <v>1736</v>
      </c>
    </row>
    <row r="139" spans="1:2" x14ac:dyDescent="0.35">
      <c r="A139" t="s">
        <v>736</v>
      </c>
      <c r="B139" t="s">
        <v>1737</v>
      </c>
    </row>
    <row r="140" spans="1:2" x14ac:dyDescent="0.35">
      <c r="A140" t="s">
        <v>747</v>
      </c>
      <c r="B140" t="s">
        <v>1738</v>
      </c>
    </row>
    <row r="141" spans="1:2" x14ac:dyDescent="0.35">
      <c r="A141" t="s">
        <v>634</v>
      </c>
      <c r="B141" t="s">
        <v>1739</v>
      </c>
    </row>
    <row r="142" spans="1:2" x14ac:dyDescent="0.35">
      <c r="A142" t="s">
        <v>749</v>
      </c>
      <c r="B142" t="s">
        <v>1740</v>
      </c>
    </row>
    <row r="143" spans="1:2" x14ac:dyDescent="0.35">
      <c r="A143" t="s">
        <v>381</v>
      </c>
      <c r="B143" t="s">
        <v>1741</v>
      </c>
    </row>
    <row r="144" spans="1:2" x14ac:dyDescent="0.35">
      <c r="A144" t="s">
        <v>381</v>
      </c>
      <c r="B144" t="s">
        <v>1741</v>
      </c>
    </row>
    <row r="145" spans="1:2" x14ac:dyDescent="0.35">
      <c r="A145" t="s">
        <v>714</v>
      </c>
      <c r="B145" t="s">
        <v>1742</v>
      </c>
    </row>
    <row r="146" spans="1:2" x14ac:dyDescent="0.35">
      <c r="A146" t="s">
        <v>726</v>
      </c>
      <c r="B146" t="s">
        <v>1743</v>
      </c>
    </row>
    <row r="147" spans="1:2" x14ac:dyDescent="0.35">
      <c r="A147" t="s">
        <v>210</v>
      </c>
      <c r="B147" t="s">
        <v>1744</v>
      </c>
    </row>
    <row r="148" spans="1:2" x14ac:dyDescent="0.35">
      <c r="A148" t="s">
        <v>727</v>
      </c>
      <c r="B148" t="s">
        <v>1745</v>
      </c>
    </row>
    <row r="149" spans="1:2" x14ac:dyDescent="0.35">
      <c r="A149" t="s">
        <v>718</v>
      </c>
      <c r="B149" t="s">
        <v>1746</v>
      </c>
    </row>
    <row r="150" spans="1:2" x14ac:dyDescent="0.35">
      <c r="A150" t="s">
        <v>723</v>
      </c>
      <c r="B150" t="s">
        <v>1747</v>
      </c>
    </row>
    <row r="151" spans="1:2" x14ac:dyDescent="0.35">
      <c r="A151" t="s">
        <v>725</v>
      </c>
      <c r="B151" t="s">
        <v>1748</v>
      </c>
    </row>
    <row r="152" spans="1:2" x14ac:dyDescent="0.35">
      <c r="A152" t="s">
        <v>729</v>
      </c>
      <c r="B152" t="s">
        <v>1749</v>
      </c>
    </row>
    <row r="153" spans="1:2" x14ac:dyDescent="0.35">
      <c r="A153" t="s">
        <v>211</v>
      </c>
      <c r="B153" t="s">
        <v>1750</v>
      </c>
    </row>
    <row r="154" spans="1:2" x14ac:dyDescent="0.35">
      <c r="A154" t="s">
        <v>728</v>
      </c>
      <c r="B154" t="s">
        <v>1751</v>
      </c>
    </row>
    <row r="155" spans="1:2" x14ac:dyDescent="0.35">
      <c r="A155" t="s">
        <v>712</v>
      </c>
      <c r="B155" t="s">
        <v>1752</v>
      </c>
    </row>
    <row r="156" spans="1:2" x14ac:dyDescent="0.35">
      <c r="A156" t="s">
        <v>713</v>
      </c>
      <c r="B156" t="s">
        <v>1753</v>
      </c>
    </row>
    <row r="157" spans="1:2" x14ac:dyDescent="0.35">
      <c r="A157" t="s">
        <v>711</v>
      </c>
      <c r="B157" t="s">
        <v>1754</v>
      </c>
    </row>
    <row r="158" spans="1:2" x14ac:dyDescent="0.35">
      <c r="A158" t="s">
        <v>709</v>
      </c>
      <c r="B158" t="s">
        <v>1755</v>
      </c>
    </row>
    <row r="159" spans="1:2" x14ac:dyDescent="0.35">
      <c r="A159" t="s">
        <v>682</v>
      </c>
      <c r="B159" t="s">
        <v>1756</v>
      </c>
    </row>
    <row r="160" spans="1:2" x14ac:dyDescent="0.35">
      <c r="A160" t="s">
        <v>683</v>
      </c>
      <c r="B160" t="s">
        <v>1757</v>
      </c>
    </row>
    <row r="161" spans="1:2" x14ac:dyDescent="0.35">
      <c r="A161" t="s">
        <v>691</v>
      </c>
      <c r="B161" t="s">
        <v>1758</v>
      </c>
    </row>
    <row r="162" spans="1:2" x14ac:dyDescent="0.35">
      <c r="A162" t="s">
        <v>681</v>
      </c>
      <c r="B162" t="s">
        <v>1759</v>
      </c>
    </row>
    <row r="163" spans="1:2" x14ac:dyDescent="0.35">
      <c r="A163" t="s">
        <v>642</v>
      </c>
      <c r="B163" t="s">
        <v>1760</v>
      </c>
    </row>
    <row r="164" spans="1:2" x14ac:dyDescent="0.35">
      <c r="A164" t="s">
        <v>710</v>
      </c>
      <c r="B164" t="s">
        <v>1761</v>
      </c>
    </row>
    <row r="165" spans="1:2" x14ac:dyDescent="0.35">
      <c r="A165" t="s">
        <v>766</v>
      </c>
      <c r="B165" t="s">
        <v>1762</v>
      </c>
    </row>
    <row r="166" spans="1:2" x14ac:dyDescent="0.35">
      <c r="A166" t="s">
        <v>750</v>
      </c>
      <c r="B166" t="s">
        <v>1763</v>
      </c>
    </row>
    <row r="167" spans="1:2" x14ac:dyDescent="0.35">
      <c r="A167" t="s">
        <v>694</v>
      </c>
      <c r="B167" t="s">
        <v>1764</v>
      </c>
    </row>
    <row r="168" spans="1:2" x14ac:dyDescent="0.35">
      <c r="A168" t="s">
        <v>679</v>
      </c>
      <c r="B168" t="s">
        <v>1765</v>
      </c>
    </row>
    <row r="169" spans="1:2" x14ac:dyDescent="0.35">
      <c r="A169" t="s">
        <v>680</v>
      </c>
      <c r="B169" t="s">
        <v>1766</v>
      </c>
    </row>
    <row r="170" spans="1:2" x14ac:dyDescent="0.35">
      <c r="A170" t="s">
        <v>692</v>
      </c>
      <c r="B170" t="s">
        <v>1767</v>
      </c>
    </row>
    <row r="171" spans="1:2" x14ac:dyDescent="0.35">
      <c r="A171" t="s">
        <v>678</v>
      </c>
      <c r="B171" t="s">
        <v>1768</v>
      </c>
    </row>
    <row r="172" spans="1:2" x14ac:dyDescent="0.35">
      <c r="A172" t="s">
        <v>701</v>
      </c>
      <c r="B172" t="s">
        <v>1769</v>
      </c>
    </row>
    <row r="173" spans="1:2" x14ac:dyDescent="0.35">
      <c r="A173" t="s">
        <v>629</v>
      </c>
      <c r="B173" t="s">
        <v>1770</v>
      </c>
    </row>
    <row r="174" spans="1:2" x14ac:dyDescent="0.35">
      <c r="A174" t="s">
        <v>340</v>
      </c>
      <c r="B174" t="s">
        <v>1771</v>
      </c>
    </row>
    <row r="175" spans="1:2" x14ac:dyDescent="0.35">
      <c r="A175" t="s">
        <v>335</v>
      </c>
      <c r="B175" t="s">
        <v>1772</v>
      </c>
    </row>
    <row r="176" spans="1:2" x14ac:dyDescent="0.35">
      <c r="A176" t="s">
        <v>667</v>
      </c>
      <c r="B176" t="s">
        <v>1772</v>
      </c>
    </row>
    <row r="177" spans="1:2" x14ac:dyDescent="0.35">
      <c r="A177" t="s">
        <v>1600</v>
      </c>
      <c r="B177" t="s">
        <v>1773</v>
      </c>
    </row>
    <row r="178" spans="1:2" x14ac:dyDescent="0.35">
      <c r="A178" t="s">
        <v>624</v>
      </c>
      <c r="B178" t="s">
        <v>1774</v>
      </c>
    </row>
    <row r="179" spans="1:2" x14ac:dyDescent="0.35">
      <c r="A179" t="s">
        <v>155</v>
      </c>
      <c r="B179" t="s">
        <v>1775</v>
      </c>
    </row>
    <row r="180" spans="1:2" x14ac:dyDescent="0.35">
      <c r="A180" t="s">
        <v>499</v>
      </c>
      <c r="B180" t="s">
        <v>1776</v>
      </c>
    </row>
    <row r="181" spans="1:2" x14ac:dyDescent="0.35">
      <c r="A181" t="s">
        <v>607</v>
      </c>
      <c r="B181" t="s">
        <v>1777</v>
      </c>
    </row>
    <row r="182" spans="1:2" x14ac:dyDescent="0.35">
      <c r="A182" t="s">
        <v>669</v>
      </c>
      <c r="B182" t="s">
        <v>1778</v>
      </c>
    </row>
    <row r="183" spans="1:2" x14ac:dyDescent="0.35">
      <c r="A183" t="s">
        <v>633</v>
      </c>
      <c r="B183" t="s">
        <v>1779</v>
      </c>
    </row>
    <row r="184" spans="1:2" x14ac:dyDescent="0.35">
      <c r="A184" t="s">
        <v>732</v>
      </c>
      <c r="B184" t="s">
        <v>1780</v>
      </c>
    </row>
    <row r="185" spans="1:2" x14ac:dyDescent="0.35">
      <c r="A185" t="s">
        <v>184</v>
      </c>
      <c r="B185" t="s">
        <v>1592</v>
      </c>
    </row>
    <row r="186" spans="1:2" x14ac:dyDescent="0.35">
      <c r="A186" t="s">
        <v>1601</v>
      </c>
      <c r="B186" t="s">
        <v>1781</v>
      </c>
    </row>
    <row r="187" spans="1:2" x14ac:dyDescent="0.35">
      <c r="A187" t="s">
        <v>195</v>
      </c>
      <c r="B187" t="s">
        <v>1782</v>
      </c>
    </row>
    <row r="188" spans="1:2" x14ac:dyDescent="0.35">
      <c r="A188" t="s">
        <v>661</v>
      </c>
      <c r="B188" t="s">
        <v>1783</v>
      </c>
    </row>
    <row r="189" spans="1:2" x14ac:dyDescent="0.35">
      <c r="A189" t="s">
        <v>662</v>
      </c>
      <c r="B189" t="s">
        <v>1784</v>
      </c>
    </row>
    <row r="190" spans="1:2" x14ac:dyDescent="0.35">
      <c r="A190" t="s">
        <v>663</v>
      </c>
      <c r="B190" t="s">
        <v>1785</v>
      </c>
    </row>
    <row r="191" spans="1:2" x14ac:dyDescent="0.35">
      <c r="A191" t="s">
        <v>647</v>
      </c>
      <c r="B191" t="s">
        <v>1786</v>
      </c>
    </row>
    <row r="192" spans="1:2" x14ac:dyDescent="0.35">
      <c r="A192" t="s">
        <v>645</v>
      </c>
      <c r="B192" t="s">
        <v>1787</v>
      </c>
    </row>
    <row r="193" spans="1:2" x14ac:dyDescent="0.35">
      <c r="A193" t="s">
        <v>646</v>
      </c>
      <c r="B193" t="s">
        <v>1788</v>
      </c>
    </row>
    <row r="194" spans="1:2" x14ac:dyDescent="0.35">
      <c r="A194" t="s">
        <v>646</v>
      </c>
      <c r="B194" t="s">
        <v>1788</v>
      </c>
    </row>
    <row r="195" spans="1:2" x14ac:dyDescent="0.35">
      <c r="A195" t="s">
        <v>733</v>
      </c>
      <c r="B195" t="s">
        <v>1789</v>
      </c>
    </row>
    <row r="196" spans="1:2" x14ac:dyDescent="0.35">
      <c r="A196" t="s">
        <v>753</v>
      </c>
      <c r="B196" t="s">
        <v>1790</v>
      </c>
    </row>
    <row r="197" spans="1:2" x14ac:dyDescent="0.35">
      <c r="A197" t="s">
        <v>735</v>
      </c>
      <c r="B197" t="s">
        <v>1791</v>
      </c>
    </row>
    <row r="198" spans="1:2" x14ac:dyDescent="0.35">
      <c r="A198" t="s">
        <v>670</v>
      </c>
      <c r="B198" t="s">
        <v>1792</v>
      </c>
    </row>
    <row r="199" spans="1:2" x14ac:dyDescent="0.35">
      <c r="A199" t="s">
        <v>773</v>
      </c>
      <c r="B199" t="s">
        <v>1793</v>
      </c>
    </row>
    <row r="200" spans="1:2" x14ac:dyDescent="0.35">
      <c r="A200" t="s">
        <v>775</v>
      </c>
      <c r="B200" t="s">
        <v>1794</v>
      </c>
    </row>
    <row r="201" spans="1:2" x14ac:dyDescent="0.35">
      <c r="A201" t="s">
        <v>774</v>
      </c>
      <c r="B201" t="s">
        <v>1795</v>
      </c>
    </row>
    <row r="202" spans="1:2" x14ac:dyDescent="0.35">
      <c r="A202" t="s">
        <v>764</v>
      </c>
      <c r="B202" t="s">
        <v>1796</v>
      </c>
    </row>
    <row r="203" spans="1:2" x14ac:dyDescent="0.35">
      <c r="A203" t="s">
        <v>764</v>
      </c>
      <c r="B203" t="s">
        <v>1793</v>
      </c>
    </row>
    <row r="204" spans="1:2" x14ac:dyDescent="0.35">
      <c r="A204" t="s">
        <v>639</v>
      </c>
      <c r="B204" t="s">
        <v>1797</v>
      </c>
    </row>
    <row r="205" spans="1:2" x14ac:dyDescent="0.35">
      <c r="A205" t="s">
        <v>698</v>
      </c>
      <c r="B205" t="s">
        <v>1798</v>
      </c>
    </row>
    <row r="206" spans="1:2" x14ac:dyDescent="0.35">
      <c r="A206" t="s">
        <v>631</v>
      </c>
      <c r="B206" t="s">
        <v>1799</v>
      </c>
    </row>
  </sheetData>
  <sortState xmlns:xlrd2="http://schemas.microsoft.com/office/spreadsheetml/2017/richdata2" ref="A2:A206">
    <sortCondition ref="A2:A206"/>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79A9C-3A31-41CE-A14D-5CC70AC4E0FF}">
  <sheetPr codeName="Sheet11"/>
  <dimension ref="A2:ADZ15"/>
  <sheetViews>
    <sheetView topLeftCell="A2" workbookViewId="0">
      <selection activeCell="K7" sqref="K7"/>
    </sheetView>
  </sheetViews>
  <sheetFormatPr defaultColWidth="8.7265625" defaultRowHeight="14.5" x14ac:dyDescent="0.35"/>
  <cols>
    <col min="1" max="1" width="9.81640625" style="1" customWidth="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3" width="8.7265625" style="1"/>
    <col min="114" max="114" width="10.1796875" style="1" customWidth="1"/>
    <col min="115" max="120" width="9.1796875" style="1" customWidth="1"/>
    <col min="121" max="134" width="8.7265625" style="1"/>
    <col min="135" max="136" width="9.81640625" style="1" customWidth="1"/>
    <col min="137" max="137" width="8.7265625" style="1"/>
    <col min="138" max="138" width="5.7265625" style="1" customWidth="1"/>
    <col min="139" max="139" width="8.7265625" style="1"/>
    <col min="140" max="140" width="5.7265625" style="1" customWidth="1"/>
    <col min="141" max="143" width="8.7265625" style="1"/>
    <col min="144" max="144" width="6.1796875" style="1" customWidth="1"/>
    <col min="145" max="145" width="8.7265625" style="1"/>
    <col min="146" max="146" width="12.26953125" style="1" customWidth="1"/>
    <col min="147" max="167" width="8.7265625" style="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ol min="181" max="182" width="5.1796875" style="1" customWidth="1"/>
    <col min="183" max="183" width="8.26953125" style="1" customWidth="1"/>
    <col min="184" max="185" width="8.7265625" style="1"/>
    <col min="186" max="186" width="9.81640625" style="1" customWidth="1"/>
    <col min="187" max="191" width="8.7265625" style="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686" width="8.7265625" style="1"/>
    <col min="687" max="687" width="9.1796875" customWidth="1"/>
    <col min="688" max="16384" width="8.7265625" style="1"/>
  </cols>
  <sheetData>
    <row r="2" spans="1:806" ht="145" x14ac:dyDescent="0.35">
      <c r="B2" s="1" t="s">
        <v>136</v>
      </c>
      <c r="C2" s="1" t="s">
        <v>137</v>
      </c>
      <c r="D2" s="1" t="s">
        <v>138</v>
      </c>
      <c r="E2" s="1" t="s">
        <v>139</v>
      </c>
      <c r="F2" s="1" t="s">
        <v>140</v>
      </c>
      <c r="G2" s="1" t="s">
        <v>141</v>
      </c>
      <c r="H2" s="1" t="s">
        <v>142</v>
      </c>
      <c r="I2" s="1" t="s">
        <v>143</v>
      </c>
      <c r="J2" s="1" t="s">
        <v>144</v>
      </c>
      <c r="K2" s="1" t="s">
        <v>145</v>
      </c>
      <c r="L2" s="1" t="s">
        <v>146</v>
      </c>
      <c r="M2" s="1" t="s">
        <v>147</v>
      </c>
      <c r="N2" s="1" t="s">
        <v>148</v>
      </c>
      <c r="O2" s="1" t="s">
        <v>149</v>
      </c>
      <c r="P2" s="1" t="s">
        <v>150</v>
      </c>
      <c r="Q2" s="1" t="s">
        <v>151</v>
      </c>
      <c r="R2" s="1" t="s">
        <v>152</v>
      </c>
      <c r="S2" s="1" t="s">
        <v>153</v>
      </c>
      <c r="T2" s="1" t="s">
        <v>154</v>
      </c>
      <c r="U2" s="1" t="s">
        <v>155</v>
      </c>
      <c r="V2" s="1" t="s">
        <v>156</v>
      </c>
      <c r="W2" s="1" t="s">
        <v>157</v>
      </c>
      <c r="X2" s="1" t="s">
        <v>158</v>
      </c>
      <c r="Y2" s="1" t="s">
        <v>159</v>
      </c>
      <c r="Z2" s="1" t="s">
        <v>160</v>
      </c>
      <c r="AA2" s="1" t="s">
        <v>161</v>
      </c>
      <c r="AB2" s="1" t="s">
        <v>162</v>
      </c>
      <c r="AC2" s="1" t="s">
        <v>163</v>
      </c>
      <c r="AD2" s="1" t="s">
        <v>164</v>
      </c>
      <c r="AE2" s="1" t="s">
        <v>165</v>
      </c>
      <c r="AF2" s="1" t="s">
        <v>166</v>
      </c>
      <c r="AG2" s="1" t="s">
        <v>167</v>
      </c>
      <c r="AH2" s="1" t="s">
        <v>168</v>
      </c>
      <c r="AI2" s="1" t="s">
        <v>169</v>
      </c>
      <c r="AJ2" s="1" t="s">
        <v>170</v>
      </c>
      <c r="AK2" s="1" t="s">
        <v>171</v>
      </c>
      <c r="AL2" s="1" t="s">
        <v>172</v>
      </c>
      <c r="AM2" s="1" t="s">
        <v>173</v>
      </c>
      <c r="AN2" s="1" t="s">
        <v>174</v>
      </c>
      <c r="AO2" s="1" t="s">
        <v>175</v>
      </c>
      <c r="AP2" s="1" t="s">
        <v>176</v>
      </c>
      <c r="AQ2" s="1" t="s">
        <v>177</v>
      </c>
      <c r="AR2" s="1" t="s">
        <v>178</v>
      </c>
      <c r="AS2" s="1" t="s">
        <v>179</v>
      </c>
      <c r="AT2" s="1" t="s">
        <v>180</v>
      </c>
      <c r="AU2" s="1" t="s">
        <v>181</v>
      </c>
      <c r="AV2" s="1" t="s">
        <v>182</v>
      </c>
      <c r="AW2" s="1" t="s">
        <v>183</v>
      </c>
      <c r="AX2" s="1" t="s">
        <v>184</v>
      </c>
      <c r="AY2" s="1" t="s">
        <v>185</v>
      </c>
      <c r="AZ2" s="1" t="s">
        <v>186</v>
      </c>
      <c r="BA2" s="1" t="s">
        <v>187</v>
      </c>
      <c r="BB2" s="1" t="s">
        <v>188</v>
      </c>
      <c r="BC2" s="1" t="s">
        <v>189</v>
      </c>
      <c r="BD2" s="1" t="s">
        <v>190</v>
      </c>
      <c r="BE2" s="1" t="s">
        <v>191</v>
      </c>
      <c r="BF2" s="1" t="s">
        <v>192</v>
      </c>
      <c r="BG2" s="1" t="s">
        <v>193</v>
      </c>
      <c r="BH2" s="1" t="s">
        <v>194</v>
      </c>
      <c r="BI2" s="1" t="s">
        <v>195</v>
      </c>
      <c r="BJ2" s="1" t="s">
        <v>196</v>
      </c>
      <c r="BK2" s="1" t="s">
        <v>197</v>
      </c>
      <c r="BL2" s="1" t="s">
        <v>198</v>
      </c>
      <c r="BM2" s="1" t="s">
        <v>199</v>
      </c>
      <c r="BN2" s="1" t="s">
        <v>200</v>
      </c>
      <c r="BO2" s="1" t="s">
        <v>201</v>
      </c>
      <c r="BP2" s="1" t="s">
        <v>202</v>
      </c>
      <c r="BQ2" s="1" t="s">
        <v>203</v>
      </c>
      <c r="BR2" s="1" t="s">
        <v>204</v>
      </c>
      <c r="BS2" s="1" t="s">
        <v>205</v>
      </c>
      <c r="BT2" s="1" t="s">
        <v>206</v>
      </c>
      <c r="BU2" s="1" t="s">
        <v>207</v>
      </c>
      <c r="BV2" s="1" t="s">
        <v>208</v>
      </c>
      <c r="BW2" s="1" t="s">
        <v>209</v>
      </c>
      <c r="BX2" s="1" t="s">
        <v>210</v>
      </c>
      <c r="BY2" s="1" t="s">
        <v>211</v>
      </c>
      <c r="BZ2" s="1" t="s">
        <v>212</v>
      </c>
      <c r="CA2" s="1" t="s">
        <v>213</v>
      </c>
      <c r="CB2" s="1" t="s">
        <v>214</v>
      </c>
      <c r="CC2" s="1" t="s">
        <v>215</v>
      </c>
      <c r="CD2" s="1" t="s">
        <v>216</v>
      </c>
      <c r="CE2" s="1" t="s">
        <v>217</v>
      </c>
      <c r="CF2" s="1" t="s">
        <v>218</v>
      </c>
      <c r="CG2" s="1" t="s">
        <v>219</v>
      </c>
      <c r="CH2" s="1" t="s">
        <v>220</v>
      </c>
      <c r="CI2" s="1" t="s">
        <v>221</v>
      </c>
      <c r="CJ2" s="1" t="s">
        <v>222</v>
      </c>
      <c r="CK2" s="1" t="s">
        <v>223</v>
      </c>
      <c r="CL2" s="1" t="s">
        <v>224</v>
      </c>
      <c r="CM2" s="1" t="s">
        <v>225</v>
      </c>
      <c r="CN2" s="1" t="s">
        <v>226</v>
      </c>
      <c r="CO2" s="1" t="s">
        <v>227</v>
      </c>
      <c r="CP2" s="1" t="s">
        <v>228</v>
      </c>
      <c r="CQ2" s="1" t="s">
        <v>229</v>
      </c>
      <c r="CR2" s="1" t="s">
        <v>230</v>
      </c>
      <c r="CS2" s="1" t="s">
        <v>231</v>
      </c>
      <c r="CT2" s="1" t="s">
        <v>232</v>
      </c>
      <c r="CU2" s="1" t="s">
        <v>233</v>
      </c>
      <c r="CV2" s="1" t="s">
        <v>234</v>
      </c>
      <c r="CW2" s="1" t="s">
        <v>235</v>
      </c>
      <c r="CX2" s="1" t="s">
        <v>236</v>
      </c>
      <c r="CY2" s="1" t="s">
        <v>237</v>
      </c>
      <c r="CZ2" s="1" t="s">
        <v>238</v>
      </c>
      <c r="DA2" s="1" t="s">
        <v>239</v>
      </c>
      <c r="DB2" s="1" t="s">
        <v>240</v>
      </c>
      <c r="DC2" s="1" t="s">
        <v>241</v>
      </c>
      <c r="DD2" s="1" t="s">
        <v>242</v>
      </c>
      <c r="DE2" s="1" t="s">
        <v>243</v>
      </c>
      <c r="DF2" s="1" t="s">
        <v>244</v>
      </c>
      <c r="DG2" s="1" t="s">
        <v>245</v>
      </c>
      <c r="DH2" s="1" t="s">
        <v>246</v>
      </c>
      <c r="DI2" s="1" t="s">
        <v>247</v>
      </c>
      <c r="DJ2" s="1" t="s">
        <v>248</v>
      </c>
      <c r="DK2" s="1" t="s">
        <v>249</v>
      </c>
      <c r="DL2" s="1" t="s">
        <v>250</v>
      </c>
      <c r="DM2" s="1" t="s">
        <v>251</v>
      </c>
      <c r="DN2" s="1" t="s">
        <v>252</v>
      </c>
      <c r="DO2" s="1" t="s">
        <v>253</v>
      </c>
      <c r="DP2" s="1" t="s">
        <v>254</v>
      </c>
      <c r="DQ2" s="1" t="s">
        <v>255</v>
      </c>
      <c r="DR2" s="1" t="s">
        <v>256</v>
      </c>
      <c r="DS2" s="1" t="s">
        <v>257</v>
      </c>
      <c r="DT2" s="1" t="s">
        <v>258</v>
      </c>
      <c r="DU2" s="1" t="s">
        <v>259</v>
      </c>
      <c r="DV2" s="1" t="s">
        <v>260</v>
      </c>
      <c r="DW2" s="1" t="s">
        <v>261</v>
      </c>
      <c r="DX2" s="1" t="s">
        <v>262</v>
      </c>
      <c r="DY2" s="1" t="s">
        <v>263</v>
      </c>
      <c r="DZ2" s="1" t="s">
        <v>264</v>
      </c>
      <c r="EA2" s="1" t="s">
        <v>265</v>
      </c>
      <c r="EB2" s="1" t="s">
        <v>266</v>
      </c>
      <c r="EC2" s="1" t="s">
        <v>267</v>
      </c>
      <c r="ED2" s="1" t="s">
        <v>268</v>
      </c>
      <c r="EE2" s="1" t="s">
        <v>269</v>
      </c>
      <c r="EF2" s="1" t="s">
        <v>270</v>
      </c>
      <c r="EG2" s="1" t="s">
        <v>271</v>
      </c>
      <c r="EH2" s="1" t="s">
        <v>272</v>
      </c>
      <c r="EI2" s="1" t="s">
        <v>273</v>
      </c>
      <c r="EJ2" s="1" t="s">
        <v>274</v>
      </c>
      <c r="EK2" s="1" t="s">
        <v>275</v>
      </c>
      <c r="EL2" s="1" t="s">
        <v>276</v>
      </c>
      <c r="EM2" s="1" t="s">
        <v>277</v>
      </c>
      <c r="EN2" s="1" t="s">
        <v>278</v>
      </c>
      <c r="EO2" s="1" t="s">
        <v>279</v>
      </c>
      <c r="EP2" s="1" t="s">
        <v>280</v>
      </c>
      <c r="EQ2" s="1" t="s">
        <v>281</v>
      </c>
      <c r="ER2" s="1" t="s">
        <v>282</v>
      </c>
      <c r="ES2" s="1" t="s">
        <v>283</v>
      </c>
      <c r="ET2" s="1" t="s">
        <v>284</v>
      </c>
      <c r="EU2" s="1" t="s">
        <v>285</v>
      </c>
      <c r="EV2" s="1" t="s">
        <v>286</v>
      </c>
      <c r="EW2" s="1" t="s">
        <v>287</v>
      </c>
      <c r="EX2" s="1" t="s">
        <v>288</v>
      </c>
      <c r="EY2" s="1" t="s">
        <v>289</v>
      </c>
      <c r="EZ2" s="1" t="s">
        <v>290</v>
      </c>
      <c r="FA2" s="1" t="s">
        <v>291</v>
      </c>
      <c r="FB2" s="1" t="s">
        <v>292</v>
      </c>
      <c r="FC2" s="1" t="s">
        <v>293</v>
      </c>
      <c r="FD2" s="1" t="s">
        <v>294</v>
      </c>
      <c r="FE2" s="1" t="s">
        <v>295</v>
      </c>
      <c r="FF2" s="1" t="s">
        <v>296</v>
      </c>
      <c r="FG2" s="1" t="s">
        <v>297</v>
      </c>
      <c r="FH2" s="1" t="s">
        <v>298</v>
      </c>
      <c r="FI2" s="1" t="s">
        <v>299</v>
      </c>
      <c r="FJ2" s="1" t="s">
        <v>300</v>
      </c>
      <c r="FK2" s="1" t="s">
        <v>301</v>
      </c>
      <c r="FL2" s="1" t="s">
        <v>302</v>
      </c>
      <c r="FM2" s="1" t="s">
        <v>303</v>
      </c>
      <c r="FN2" s="1" t="s">
        <v>304</v>
      </c>
      <c r="FO2" s="1" t="s">
        <v>305</v>
      </c>
      <c r="FP2" s="1" t="s">
        <v>306</v>
      </c>
      <c r="FQ2" s="1" t="s">
        <v>307</v>
      </c>
      <c r="FR2" s="1" t="s">
        <v>308</v>
      </c>
      <c r="FS2" s="1" t="s">
        <v>309</v>
      </c>
      <c r="FT2" s="1" t="s">
        <v>310</v>
      </c>
      <c r="FU2" s="1" t="s">
        <v>311</v>
      </c>
      <c r="FV2" s="1" t="s">
        <v>312</v>
      </c>
      <c r="FW2" s="1" t="s">
        <v>313</v>
      </c>
      <c r="FX2" s="1" t="s">
        <v>314</v>
      </c>
      <c r="FY2" s="1" t="s">
        <v>315</v>
      </c>
      <c r="FZ2" s="1" t="s">
        <v>316</v>
      </c>
      <c r="GA2" s="1" t="s">
        <v>317</v>
      </c>
      <c r="GB2" s="1" t="s">
        <v>318</v>
      </c>
      <c r="GC2" s="1" t="s">
        <v>319</v>
      </c>
      <c r="GD2" s="1" t="s">
        <v>320</v>
      </c>
      <c r="GE2" s="1" t="s">
        <v>321</v>
      </c>
      <c r="GF2" s="1" t="s">
        <v>322</v>
      </c>
      <c r="GG2" s="1" t="s">
        <v>323</v>
      </c>
      <c r="GH2" s="1" t="s">
        <v>324</v>
      </c>
      <c r="GI2" s="1" t="s">
        <v>325</v>
      </c>
      <c r="GJ2" s="1" t="s">
        <v>326</v>
      </c>
      <c r="GK2" s="1" t="s">
        <v>327</v>
      </c>
      <c r="GL2" s="1" t="s">
        <v>328</v>
      </c>
      <c r="GM2" s="1" t="s">
        <v>329</v>
      </c>
      <c r="GN2" s="1" t="s">
        <v>330</v>
      </c>
      <c r="GO2" s="1" t="s">
        <v>331</v>
      </c>
      <c r="GP2" s="1" t="s">
        <v>332</v>
      </c>
      <c r="GQ2" s="1" t="s">
        <v>333</v>
      </c>
      <c r="GR2" s="1" t="s">
        <v>334</v>
      </c>
      <c r="GS2" s="1" t="s">
        <v>335</v>
      </c>
      <c r="GT2" s="1" t="s">
        <v>336</v>
      </c>
      <c r="GU2" s="1" t="s">
        <v>337</v>
      </c>
      <c r="GV2" s="1" t="s">
        <v>338</v>
      </c>
      <c r="GW2" s="1" t="s">
        <v>339</v>
      </c>
      <c r="GX2" s="1" t="s">
        <v>340</v>
      </c>
      <c r="GY2" s="1" t="s">
        <v>341</v>
      </c>
      <c r="GZ2" s="1" t="s">
        <v>342</v>
      </c>
      <c r="HA2" s="1" t="s">
        <v>343</v>
      </c>
      <c r="HB2" s="1" t="s">
        <v>344</v>
      </c>
      <c r="HC2" s="1" t="s">
        <v>345</v>
      </c>
      <c r="HD2" s="1" t="s">
        <v>346</v>
      </c>
      <c r="HE2" s="1" t="s">
        <v>347</v>
      </c>
      <c r="HF2" s="1" t="s">
        <v>348</v>
      </c>
      <c r="HG2" s="1" t="s">
        <v>349</v>
      </c>
      <c r="HH2" s="1" t="s">
        <v>350</v>
      </c>
      <c r="HI2" s="1" t="s">
        <v>351</v>
      </c>
      <c r="HJ2" s="1" t="s">
        <v>352</v>
      </c>
      <c r="HK2" s="1" t="s">
        <v>353</v>
      </c>
      <c r="HL2" s="1" t="s">
        <v>354</v>
      </c>
      <c r="HM2" s="1" t="s">
        <v>355</v>
      </c>
      <c r="HN2" s="1" t="s">
        <v>356</v>
      </c>
      <c r="HO2" s="1" t="s">
        <v>357</v>
      </c>
      <c r="HP2" s="1" t="s">
        <v>358</v>
      </c>
      <c r="HQ2" s="1" t="s">
        <v>359</v>
      </c>
      <c r="HR2" s="1" t="s">
        <v>360</v>
      </c>
      <c r="HS2" s="1" t="s">
        <v>361</v>
      </c>
      <c r="HT2" s="1" t="s">
        <v>362</v>
      </c>
      <c r="HU2" s="1" t="s">
        <v>363</v>
      </c>
      <c r="HV2" s="1" t="s">
        <v>364</v>
      </c>
      <c r="HW2" s="1" t="s">
        <v>365</v>
      </c>
      <c r="HX2" s="1" t="s">
        <v>366</v>
      </c>
      <c r="HY2" s="1" t="s">
        <v>367</v>
      </c>
      <c r="HZ2" s="1" t="s">
        <v>368</v>
      </c>
      <c r="IA2" s="1" t="s">
        <v>369</v>
      </c>
      <c r="IB2" s="1" t="s">
        <v>370</v>
      </c>
      <c r="IC2" s="1" t="s">
        <v>371</v>
      </c>
      <c r="ID2" s="1" t="s">
        <v>372</v>
      </c>
      <c r="IE2" s="1" t="s">
        <v>373</v>
      </c>
      <c r="IF2" s="1" t="s">
        <v>374</v>
      </c>
      <c r="IG2" s="1" t="s">
        <v>375</v>
      </c>
      <c r="IH2" s="1" t="s">
        <v>376</v>
      </c>
      <c r="II2" s="1" t="s">
        <v>377</v>
      </c>
      <c r="IJ2" s="1" t="s">
        <v>378</v>
      </c>
      <c r="IK2" s="1" t="s">
        <v>379</v>
      </c>
      <c r="IL2" s="1" t="s">
        <v>380</v>
      </c>
      <c r="IM2" s="1" t="s">
        <v>381</v>
      </c>
      <c r="IN2" s="1" t="s">
        <v>382</v>
      </c>
      <c r="IO2" s="1" t="s">
        <v>383</v>
      </c>
      <c r="IP2" s="1" t="s">
        <v>384</v>
      </c>
      <c r="IQ2" s="1" t="s">
        <v>385</v>
      </c>
      <c r="IR2" s="1" t="s">
        <v>386</v>
      </c>
      <c r="IS2" s="1" t="s">
        <v>387</v>
      </c>
      <c r="IT2" s="1" t="s">
        <v>388</v>
      </c>
      <c r="IU2" s="1" t="s">
        <v>389</v>
      </c>
      <c r="IV2" s="1" t="s">
        <v>390</v>
      </c>
      <c r="IW2" s="1" t="s">
        <v>391</v>
      </c>
      <c r="IX2" s="1" t="s">
        <v>392</v>
      </c>
      <c r="IY2" s="1" t="s">
        <v>393</v>
      </c>
      <c r="IZ2" s="1" t="s">
        <v>394</v>
      </c>
      <c r="JA2" s="1" t="s">
        <v>395</v>
      </c>
      <c r="JB2" s="1" t="s">
        <v>396</v>
      </c>
      <c r="JC2" s="1" t="s">
        <v>397</v>
      </c>
      <c r="JD2" s="1" t="s">
        <v>398</v>
      </c>
      <c r="JE2" s="1" t="s">
        <v>399</v>
      </c>
      <c r="JF2" s="1" t="s">
        <v>400</v>
      </c>
      <c r="JG2" s="1" t="s">
        <v>401</v>
      </c>
      <c r="JH2" s="1" t="s">
        <v>402</v>
      </c>
      <c r="JI2" s="1" t="s">
        <v>403</v>
      </c>
      <c r="JJ2" s="1" t="s">
        <v>404</v>
      </c>
      <c r="JK2" s="1" t="s">
        <v>405</v>
      </c>
      <c r="JL2" s="1" t="s">
        <v>406</v>
      </c>
      <c r="JM2" s="1" t="s">
        <v>407</v>
      </c>
      <c r="JN2" s="1" t="s">
        <v>408</v>
      </c>
      <c r="JO2" s="1" t="s">
        <v>409</v>
      </c>
      <c r="JP2" s="1" t="s">
        <v>410</v>
      </c>
      <c r="JQ2" s="1" t="s">
        <v>411</v>
      </c>
      <c r="JR2" s="1" t="s">
        <v>412</v>
      </c>
      <c r="JS2" s="1" t="s">
        <v>413</v>
      </c>
      <c r="JT2" s="1" t="s">
        <v>414</v>
      </c>
      <c r="JU2" s="1" t="s">
        <v>415</v>
      </c>
      <c r="JV2" s="1" t="s">
        <v>416</v>
      </c>
      <c r="JW2" s="1" t="s">
        <v>417</v>
      </c>
      <c r="JX2" s="1" t="s">
        <v>418</v>
      </c>
      <c r="JY2" s="1" t="s">
        <v>419</v>
      </c>
      <c r="JZ2" s="1" t="s">
        <v>420</v>
      </c>
      <c r="KA2" s="1" t="s">
        <v>421</v>
      </c>
      <c r="KB2" s="1" t="s">
        <v>422</v>
      </c>
      <c r="KC2" s="1" t="s">
        <v>423</v>
      </c>
      <c r="KD2" s="1" t="s">
        <v>424</v>
      </c>
      <c r="KE2" s="1" t="s">
        <v>425</v>
      </c>
      <c r="KF2" s="1" t="s">
        <v>426</v>
      </c>
      <c r="KG2" s="1" t="s">
        <v>427</v>
      </c>
      <c r="KH2" s="1" t="s">
        <v>428</v>
      </c>
      <c r="KI2" s="1" t="s">
        <v>429</v>
      </c>
      <c r="KJ2" s="1" t="s">
        <v>430</v>
      </c>
      <c r="KK2" s="1" t="s">
        <v>431</v>
      </c>
      <c r="KL2" s="1" t="s">
        <v>432</v>
      </c>
      <c r="KM2" s="1" t="s">
        <v>433</v>
      </c>
      <c r="KN2" s="1" t="s">
        <v>434</v>
      </c>
      <c r="KO2" s="1" t="s">
        <v>435</v>
      </c>
      <c r="KP2" s="1" t="s">
        <v>436</v>
      </c>
      <c r="KQ2" s="1" t="s">
        <v>437</v>
      </c>
      <c r="KR2" s="1" t="s">
        <v>438</v>
      </c>
      <c r="KS2" s="1" t="s">
        <v>439</v>
      </c>
      <c r="KT2" s="1" t="s">
        <v>440</v>
      </c>
      <c r="KU2" s="1" t="s">
        <v>441</v>
      </c>
      <c r="KV2" s="1" t="s">
        <v>442</v>
      </c>
      <c r="KW2" s="1" t="s">
        <v>443</v>
      </c>
      <c r="KX2" s="1" t="s">
        <v>444</v>
      </c>
      <c r="KY2" s="1" t="s">
        <v>445</v>
      </c>
      <c r="KZ2" s="1" t="s">
        <v>446</v>
      </c>
      <c r="LA2" s="1" t="s">
        <v>447</v>
      </c>
      <c r="LB2" s="1" t="s">
        <v>448</v>
      </c>
      <c r="LC2" s="1" t="s">
        <v>449</v>
      </c>
      <c r="LD2" s="1" t="s">
        <v>450</v>
      </c>
      <c r="LE2" s="1" t="s">
        <v>451</v>
      </c>
      <c r="LF2" s="1" t="s">
        <v>452</v>
      </c>
      <c r="LG2" s="1" t="s">
        <v>453</v>
      </c>
      <c r="LH2" s="1" t="s">
        <v>454</v>
      </c>
      <c r="LI2" s="1" t="s">
        <v>455</v>
      </c>
      <c r="LJ2" s="1" t="s">
        <v>456</v>
      </c>
      <c r="LK2" s="1" t="s">
        <v>457</v>
      </c>
      <c r="LL2" s="1" t="s">
        <v>458</v>
      </c>
      <c r="LM2" s="1" t="s">
        <v>459</v>
      </c>
      <c r="LN2" s="1" t="s">
        <v>460</v>
      </c>
      <c r="LO2" s="1" t="s">
        <v>461</v>
      </c>
      <c r="LP2" s="1" t="s">
        <v>462</v>
      </c>
      <c r="LQ2" s="1" t="s">
        <v>463</v>
      </c>
      <c r="LR2" s="1" t="s">
        <v>464</v>
      </c>
      <c r="LS2" s="1" t="s">
        <v>465</v>
      </c>
      <c r="LT2" s="1" t="s">
        <v>466</v>
      </c>
      <c r="LU2" s="1" t="s">
        <v>467</v>
      </c>
      <c r="LV2" s="1" t="s">
        <v>468</v>
      </c>
      <c r="LW2" s="1" t="s">
        <v>469</v>
      </c>
      <c r="LX2" s="1" t="s">
        <v>470</v>
      </c>
      <c r="LY2" s="1" t="s">
        <v>471</v>
      </c>
      <c r="LZ2" s="1" t="s">
        <v>472</v>
      </c>
      <c r="MA2" s="1" t="s">
        <v>473</v>
      </c>
      <c r="MB2" s="1" t="s">
        <v>474</v>
      </c>
      <c r="MC2" s="1" t="s">
        <v>475</v>
      </c>
      <c r="MD2" s="1" t="s">
        <v>476</v>
      </c>
      <c r="ME2" s="1" t="s">
        <v>477</v>
      </c>
      <c r="MF2" s="1" t="s">
        <v>478</v>
      </c>
      <c r="MG2" s="1" t="s">
        <v>479</v>
      </c>
      <c r="MH2" s="1" t="s">
        <v>480</v>
      </c>
      <c r="MI2" s="1" t="s">
        <v>481</v>
      </c>
      <c r="MJ2" s="1" t="s">
        <v>482</v>
      </c>
      <c r="MK2" s="1" t="s">
        <v>483</v>
      </c>
      <c r="ML2" s="1" t="s">
        <v>484</v>
      </c>
      <c r="MM2" s="1" t="s">
        <v>485</v>
      </c>
      <c r="MN2" s="1" t="s">
        <v>486</v>
      </c>
      <c r="MO2" s="1" t="s">
        <v>487</v>
      </c>
      <c r="MP2" s="1" t="s">
        <v>488</v>
      </c>
      <c r="MQ2" s="1" t="s">
        <v>489</v>
      </c>
      <c r="MR2" s="1" t="s">
        <v>490</v>
      </c>
      <c r="MS2" s="1" t="s">
        <v>491</v>
      </c>
      <c r="MT2" s="1" t="s">
        <v>492</v>
      </c>
      <c r="MU2" s="1" t="s">
        <v>493</v>
      </c>
      <c r="MV2" s="1" t="s">
        <v>494</v>
      </c>
      <c r="MW2" s="1" t="s">
        <v>495</v>
      </c>
      <c r="MX2" s="1" t="s">
        <v>496</v>
      </c>
      <c r="MY2" s="1" t="s">
        <v>497</v>
      </c>
      <c r="MZ2" s="1" t="s">
        <v>498</v>
      </c>
      <c r="NA2" s="1" t="s">
        <v>499</v>
      </c>
      <c r="NB2" s="1" t="s">
        <v>500</v>
      </c>
      <c r="NC2" s="1" t="s">
        <v>501</v>
      </c>
      <c r="ND2" s="1" t="s">
        <v>502</v>
      </c>
      <c r="NE2" s="1" t="s">
        <v>503</v>
      </c>
      <c r="NF2" s="1" t="s">
        <v>504</v>
      </c>
      <c r="NG2" s="1" t="s">
        <v>505</v>
      </c>
      <c r="NH2" s="1" t="s">
        <v>506</v>
      </c>
      <c r="NI2" s="1" t="s">
        <v>507</v>
      </c>
      <c r="NJ2" s="1" t="s">
        <v>508</v>
      </c>
      <c r="NK2" s="1" t="s">
        <v>509</v>
      </c>
      <c r="NL2" s="1" t="s">
        <v>510</v>
      </c>
      <c r="NM2" s="1" t="s">
        <v>511</v>
      </c>
      <c r="NN2" s="1" t="s">
        <v>512</v>
      </c>
      <c r="NO2" s="1" t="s">
        <v>513</v>
      </c>
      <c r="NP2" s="1" t="s">
        <v>514</v>
      </c>
      <c r="NQ2" s="1" t="s">
        <v>515</v>
      </c>
      <c r="NR2" s="1" t="s">
        <v>516</v>
      </c>
      <c r="NS2" s="1" t="s">
        <v>517</v>
      </c>
      <c r="NT2" s="1" t="s">
        <v>518</v>
      </c>
      <c r="NU2" s="1" t="s">
        <v>519</v>
      </c>
      <c r="NV2" s="1" t="s">
        <v>520</v>
      </c>
      <c r="NW2" s="1" t="s">
        <v>521</v>
      </c>
      <c r="NX2" s="1" t="s">
        <v>522</v>
      </c>
      <c r="NY2" s="1" t="s">
        <v>523</v>
      </c>
      <c r="NZ2" s="1" t="s">
        <v>524</v>
      </c>
      <c r="OA2" s="1" t="s">
        <v>525</v>
      </c>
      <c r="OB2" s="1" t="s">
        <v>526</v>
      </c>
      <c r="OC2" s="1" t="s">
        <v>527</v>
      </c>
      <c r="OD2" s="1" t="s">
        <v>528</v>
      </c>
      <c r="OE2" s="1" t="s">
        <v>529</v>
      </c>
      <c r="OF2" s="1" t="s">
        <v>530</v>
      </c>
      <c r="OG2" s="1" t="s">
        <v>531</v>
      </c>
      <c r="OH2" s="1" t="s">
        <v>532</v>
      </c>
      <c r="OI2" s="1" t="s">
        <v>533</v>
      </c>
      <c r="OJ2" s="1" t="s">
        <v>534</v>
      </c>
      <c r="OK2" s="1" t="s">
        <v>535</v>
      </c>
      <c r="OL2" s="1" t="s">
        <v>536</v>
      </c>
      <c r="OM2" s="1" t="s">
        <v>537</v>
      </c>
      <c r="ON2" s="1" t="s">
        <v>538</v>
      </c>
      <c r="OO2" s="1" t="s">
        <v>539</v>
      </c>
      <c r="OP2" s="1" t="s">
        <v>540</v>
      </c>
      <c r="OQ2" s="1" t="s">
        <v>541</v>
      </c>
      <c r="OR2" s="1" t="s">
        <v>542</v>
      </c>
      <c r="OS2" s="1" t="s">
        <v>543</v>
      </c>
      <c r="OT2" s="1" t="s">
        <v>544</v>
      </c>
      <c r="OU2" s="1" t="s">
        <v>545</v>
      </c>
      <c r="OV2" s="1" t="s">
        <v>546</v>
      </c>
      <c r="OW2" s="1" t="s">
        <v>547</v>
      </c>
      <c r="OX2" s="1" t="s">
        <v>548</v>
      </c>
      <c r="OY2" s="1" t="s">
        <v>549</v>
      </c>
      <c r="OZ2" s="1" t="s">
        <v>550</v>
      </c>
      <c r="PA2" s="1" t="s">
        <v>551</v>
      </c>
      <c r="PB2" s="1" t="s">
        <v>552</v>
      </c>
      <c r="PC2" s="1" t="s">
        <v>553</v>
      </c>
      <c r="PD2" s="1" t="s">
        <v>554</v>
      </c>
      <c r="PE2" s="1" t="s">
        <v>555</v>
      </c>
      <c r="PF2" s="1" t="s">
        <v>556</v>
      </c>
      <c r="PG2" s="1" t="s">
        <v>557</v>
      </c>
      <c r="PH2" s="1" t="s">
        <v>558</v>
      </c>
      <c r="PI2" s="1" t="s">
        <v>559</v>
      </c>
      <c r="PJ2" s="1" t="s">
        <v>560</v>
      </c>
      <c r="PK2" s="1" t="s">
        <v>561</v>
      </c>
      <c r="PL2" s="1" t="s">
        <v>562</v>
      </c>
      <c r="PM2" s="1" t="s">
        <v>563</v>
      </c>
      <c r="PN2" s="1" t="s">
        <v>564</v>
      </c>
      <c r="PO2" s="1" t="s">
        <v>565</v>
      </c>
      <c r="PP2" s="1" t="s">
        <v>566</v>
      </c>
      <c r="PQ2" s="1" t="s">
        <v>567</v>
      </c>
      <c r="PR2" s="1" t="s">
        <v>568</v>
      </c>
      <c r="PS2" s="1" t="s">
        <v>569</v>
      </c>
      <c r="PT2" s="1" t="s">
        <v>570</v>
      </c>
      <c r="PU2" s="1" t="s">
        <v>571</v>
      </c>
      <c r="PV2" s="1" t="s">
        <v>572</v>
      </c>
      <c r="PW2" s="1" t="s">
        <v>573</v>
      </c>
      <c r="PX2" s="1" t="s">
        <v>574</v>
      </c>
      <c r="PY2" s="1" t="s">
        <v>575</v>
      </c>
      <c r="PZ2" s="1" t="s">
        <v>576</v>
      </c>
      <c r="QA2" s="1" t="s">
        <v>577</v>
      </c>
      <c r="QB2" s="1" t="s">
        <v>578</v>
      </c>
      <c r="QC2" s="1" t="s">
        <v>579</v>
      </c>
      <c r="QD2" s="1" t="s">
        <v>580</v>
      </c>
      <c r="QE2" s="1" t="s">
        <v>581</v>
      </c>
      <c r="QF2" s="1" t="s">
        <v>582</v>
      </c>
      <c r="QG2" s="1" t="s">
        <v>583</v>
      </c>
      <c r="QH2" s="1" t="s">
        <v>584</v>
      </c>
      <c r="QI2" s="1" t="s">
        <v>585</v>
      </c>
      <c r="QJ2" s="1" t="s">
        <v>586</v>
      </c>
      <c r="QK2" s="1" t="s">
        <v>587</v>
      </c>
      <c r="QL2" s="1" t="s">
        <v>588</v>
      </c>
      <c r="QM2" s="1" t="s">
        <v>589</v>
      </c>
      <c r="QN2" s="1" t="s">
        <v>590</v>
      </c>
      <c r="QO2" s="1" t="s">
        <v>591</v>
      </c>
      <c r="QP2" s="1" t="s">
        <v>592</v>
      </c>
      <c r="QQ2" s="1" t="s">
        <v>593</v>
      </c>
      <c r="QR2" s="1" t="s">
        <v>594</v>
      </c>
      <c r="QS2" s="1" t="s">
        <v>595</v>
      </c>
      <c r="QT2" s="1" t="s">
        <v>596</v>
      </c>
      <c r="QU2" s="1" t="s">
        <v>597</v>
      </c>
      <c r="QV2" s="1" t="s">
        <v>598</v>
      </c>
      <c r="QW2" s="1" t="s">
        <v>599</v>
      </c>
      <c r="QX2" s="1" t="s">
        <v>600</v>
      </c>
      <c r="QY2" s="1" t="s">
        <v>601</v>
      </c>
      <c r="QZ2" s="1" t="s">
        <v>602</v>
      </c>
      <c r="RA2" s="1" t="s">
        <v>603</v>
      </c>
      <c r="RB2" s="1" t="s">
        <v>604</v>
      </c>
      <c r="RC2" s="1" t="s">
        <v>605</v>
      </c>
      <c r="RD2" s="1" t="s">
        <v>606</v>
      </c>
      <c r="RE2" s="1" t="s">
        <v>607</v>
      </c>
      <c r="RF2" s="1" t="s">
        <v>608</v>
      </c>
      <c r="RG2" s="1" t="s">
        <v>609</v>
      </c>
      <c r="RH2" s="1" t="s">
        <v>610</v>
      </c>
      <c r="RI2" s="1" t="s">
        <v>611</v>
      </c>
      <c r="RJ2" s="1" t="s">
        <v>612</v>
      </c>
      <c r="RK2" s="1" t="s">
        <v>613</v>
      </c>
      <c r="RL2" s="1" t="s">
        <v>614</v>
      </c>
      <c r="RM2" s="1" t="s">
        <v>615</v>
      </c>
      <c r="RN2" s="1" t="s">
        <v>616</v>
      </c>
      <c r="RO2" s="1" t="s">
        <v>617</v>
      </c>
      <c r="RP2" s="1" t="s">
        <v>618</v>
      </c>
      <c r="RQ2" s="1" t="s">
        <v>619</v>
      </c>
      <c r="RR2" s="1" t="s">
        <v>620</v>
      </c>
      <c r="RS2" s="1" t="s">
        <v>621</v>
      </c>
      <c r="RT2" s="1" t="s">
        <v>622</v>
      </c>
      <c r="RU2" s="1" t="s">
        <v>623</v>
      </c>
      <c r="RV2" s="1" t="s">
        <v>624</v>
      </c>
      <c r="RW2" s="1" t="s">
        <v>625</v>
      </c>
      <c r="RX2" s="1" t="s">
        <v>626</v>
      </c>
      <c r="RY2" s="1" t="s">
        <v>627</v>
      </c>
      <c r="RZ2" s="1" t="s">
        <v>628</v>
      </c>
      <c r="SA2" s="1" t="s">
        <v>629</v>
      </c>
      <c r="SB2" s="1" t="s">
        <v>630</v>
      </c>
      <c r="SC2" s="1" t="s">
        <v>631</v>
      </c>
      <c r="SD2" s="1" t="s">
        <v>632</v>
      </c>
      <c r="SE2" s="1" t="s">
        <v>633</v>
      </c>
      <c r="SF2" s="1" t="s">
        <v>634</v>
      </c>
      <c r="SG2" s="1" t="s">
        <v>635</v>
      </c>
      <c r="SH2" s="1" t="s">
        <v>636</v>
      </c>
      <c r="SI2" s="1" t="s">
        <v>637</v>
      </c>
      <c r="SJ2" s="1" t="s">
        <v>638</v>
      </c>
      <c r="SK2" s="1" t="s">
        <v>639</v>
      </c>
      <c r="SL2" s="1" t="s">
        <v>640</v>
      </c>
      <c r="SM2" s="1" t="s">
        <v>641</v>
      </c>
      <c r="SN2" s="1" t="s">
        <v>642</v>
      </c>
      <c r="SO2" s="1" t="s">
        <v>643</v>
      </c>
      <c r="SP2" s="1" t="s">
        <v>644</v>
      </c>
      <c r="SQ2" s="1" t="s">
        <v>645</v>
      </c>
      <c r="SR2" s="1" t="s">
        <v>646</v>
      </c>
      <c r="SS2" s="1" t="s">
        <v>647</v>
      </c>
      <c r="ST2" s="1" t="s">
        <v>648</v>
      </c>
      <c r="SU2" s="1" t="s">
        <v>649</v>
      </c>
      <c r="SV2" s="1" t="s">
        <v>650</v>
      </c>
      <c r="SW2" s="1" t="s">
        <v>651</v>
      </c>
      <c r="SX2" s="1" t="s">
        <v>652</v>
      </c>
      <c r="SY2" s="1" t="s">
        <v>653</v>
      </c>
      <c r="SZ2" s="1" t="s">
        <v>654</v>
      </c>
      <c r="TA2" s="1" t="s">
        <v>655</v>
      </c>
      <c r="TB2" s="1" t="s">
        <v>656</v>
      </c>
      <c r="TC2" s="1" t="s">
        <v>657</v>
      </c>
      <c r="TD2" s="1" t="s">
        <v>658</v>
      </c>
      <c r="TE2" s="1" t="s">
        <v>659</v>
      </c>
      <c r="TF2" s="1" t="s">
        <v>660</v>
      </c>
      <c r="TG2" s="1" t="s">
        <v>661</v>
      </c>
      <c r="TH2" s="1" t="s">
        <v>662</v>
      </c>
      <c r="TI2" s="1" t="s">
        <v>663</v>
      </c>
      <c r="TJ2" s="1" t="s">
        <v>664</v>
      </c>
      <c r="TK2" s="1" t="s">
        <v>665</v>
      </c>
      <c r="TL2" s="1" t="s">
        <v>666</v>
      </c>
      <c r="TM2" s="1" t="s">
        <v>667</v>
      </c>
      <c r="TN2" s="1" t="s">
        <v>668</v>
      </c>
      <c r="TO2" s="1" t="s">
        <v>669</v>
      </c>
      <c r="TP2" s="1" t="s">
        <v>670</v>
      </c>
      <c r="TQ2" s="1" t="s">
        <v>671</v>
      </c>
      <c r="TR2" s="1" t="s">
        <v>672</v>
      </c>
      <c r="TS2" s="1" t="s">
        <v>673</v>
      </c>
      <c r="TT2" s="1" t="s">
        <v>674</v>
      </c>
      <c r="TU2" s="1" t="s">
        <v>675</v>
      </c>
      <c r="TV2" s="1" t="s">
        <v>676</v>
      </c>
      <c r="TW2" s="1" t="s">
        <v>677</v>
      </c>
      <c r="TX2" s="1" t="s">
        <v>678</v>
      </c>
      <c r="TY2" s="1" t="s">
        <v>679</v>
      </c>
      <c r="TZ2" s="1" t="s">
        <v>680</v>
      </c>
      <c r="UA2" s="1" t="s">
        <v>681</v>
      </c>
      <c r="UB2" s="1" t="s">
        <v>682</v>
      </c>
      <c r="UC2" s="1" t="s">
        <v>683</v>
      </c>
      <c r="UD2" s="1" t="s">
        <v>684</v>
      </c>
      <c r="UE2" s="1" t="s">
        <v>685</v>
      </c>
      <c r="UF2" s="1" t="s">
        <v>686</v>
      </c>
      <c r="UG2" s="1" t="s">
        <v>687</v>
      </c>
      <c r="UH2" s="1" t="s">
        <v>688</v>
      </c>
      <c r="UI2" s="1" t="s">
        <v>689</v>
      </c>
      <c r="UJ2" s="1" t="s">
        <v>690</v>
      </c>
      <c r="UK2" s="1" t="s">
        <v>691</v>
      </c>
      <c r="UL2" s="1" t="s">
        <v>692</v>
      </c>
      <c r="UM2" s="1" t="s">
        <v>693</v>
      </c>
      <c r="UN2" s="1" t="s">
        <v>694</v>
      </c>
      <c r="UO2" s="1" t="s">
        <v>695</v>
      </c>
      <c r="UP2" s="1" t="s">
        <v>696</v>
      </c>
      <c r="UQ2" s="1" t="s">
        <v>697</v>
      </c>
      <c r="UR2" s="1" t="s">
        <v>698</v>
      </c>
      <c r="US2" s="1" t="s">
        <v>699</v>
      </c>
      <c r="UT2" s="1" t="s">
        <v>700</v>
      </c>
      <c r="UU2" s="1" t="s">
        <v>701</v>
      </c>
      <c r="UV2" s="1" t="s">
        <v>702</v>
      </c>
      <c r="UW2" s="1" t="s">
        <v>703</v>
      </c>
      <c r="UX2" s="1" t="s">
        <v>704</v>
      </c>
      <c r="UY2" s="1" t="s">
        <v>705</v>
      </c>
      <c r="UZ2" s="1" t="s">
        <v>706</v>
      </c>
      <c r="VA2" s="1" t="s">
        <v>707</v>
      </c>
      <c r="VB2" s="1" t="s">
        <v>708</v>
      </c>
      <c r="VC2" s="1" t="s">
        <v>709</v>
      </c>
      <c r="VD2" s="1" t="s">
        <v>710</v>
      </c>
      <c r="VE2" s="1" t="s">
        <v>711</v>
      </c>
      <c r="VF2" s="1" t="s">
        <v>712</v>
      </c>
      <c r="VG2" s="1" t="s">
        <v>713</v>
      </c>
      <c r="VH2" s="1" t="s">
        <v>714</v>
      </c>
      <c r="VI2" s="1" t="s">
        <v>715</v>
      </c>
      <c r="VJ2" s="1" t="s">
        <v>716</v>
      </c>
      <c r="VK2" s="1" t="s">
        <v>717</v>
      </c>
      <c r="VL2" s="1" t="s">
        <v>718</v>
      </c>
      <c r="VM2" s="1" t="s">
        <v>719</v>
      </c>
      <c r="VN2" s="1" t="s">
        <v>720</v>
      </c>
      <c r="VO2" s="1" t="s">
        <v>721</v>
      </c>
      <c r="VP2" s="1" t="s">
        <v>722</v>
      </c>
      <c r="VQ2" s="1" t="s">
        <v>723</v>
      </c>
      <c r="VR2" s="1" t="s">
        <v>724</v>
      </c>
      <c r="VS2" s="1" t="s">
        <v>725</v>
      </c>
      <c r="VT2" s="1" t="s">
        <v>726</v>
      </c>
      <c r="VU2" s="1" t="s">
        <v>727</v>
      </c>
      <c r="VV2" s="1" t="s">
        <v>728</v>
      </c>
      <c r="VW2" s="1" t="s">
        <v>729</v>
      </c>
      <c r="VX2" s="1" t="s">
        <v>730</v>
      </c>
      <c r="VY2" s="1" t="s">
        <v>731</v>
      </c>
      <c r="VZ2" s="1" t="s">
        <v>732</v>
      </c>
      <c r="WA2" s="1" t="s">
        <v>733</v>
      </c>
      <c r="WB2" s="1" t="s">
        <v>734</v>
      </c>
      <c r="WC2" s="1" t="s">
        <v>735</v>
      </c>
      <c r="WD2" s="1" t="s">
        <v>736</v>
      </c>
      <c r="WE2" s="1" t="s">
        <v>737</v>
      </c>
      <c r="WF2" s="1" t="s">
        <v>738</v>
      </c>
      <c r="WG2" s="1" t="s">
        <v>739</v>
      </c>
      <c r="WH2" s="1" t="s">
        <v>740</v>
      </c>
      <c r="WI2" s="1" t="s">
        <v>741</v>
      </c>
      <c r="WJ2" s="1" t="s">
        <v>742</v>
      </c>
      <c r="WK2" s="1" t="s">
        <v>743</v>
      </c>
      <c r="WL2" s="1" t="s">
        <v>744</v>
      </c>
      <c r="WM2" s="1" t="s">
        <v>745</v>
      </c>
      <c r="WN2" s="1" t="s">
        <v>746</v>
      </c>
      <c r="WO2" s="1" t="s">
        <v>747</v>
      </c>
      <c r="WP2" s="1" t="s">
        <v>748</v>
      </c>
      <c r="WQ2" s="1" t="s">
        <v>749</v>
      </c>
      <c r="WR2" s="1" t="s">
        <v>750</v>
      </c>
      <c r="WS2" s="1" t="s">
        <v>751</v>
      </c>
      <c r="WT2" s="1" t="s">
        <v>752</v>
      </c>
      <c r="WU2" s="1" t="s">
        <v>753</v>
      </c>
      <c r="WV2" s="1" t="s">
        <v>754</v>
      </c>
      <c r="WW2" s="1" t="s">
        <v>755</v>
      </c>
      <c r="WX2" s="1" t="s">
        <v>756</v>
      </c>
      <c r="WY2" s="1" t="s">
        <v>757</v>
      </c>
      <c r="WZ2" s="1" t="s">
        <v>758</v>
      </c>
      <c r="XA2" s="1" t="s">
        <v>759</v>
      </c>
      <c r="XB2" s="1" t="s">
        <v>760</v>
      </c>
      <c r="XC2" s="1" t="s">
        <v>761</v>
      </c>
      <c r="XD2" s="1" t="s">
        <v>762</v>
      </c>
      <c r="XE2" s="1" t="s">
        <v>763</v>
      </c>
      <c r="XF2" s="1" t="s">
        <v>764</v>
      </c>
      <c r="XG2" s="1" t="s">
        <v>765</v>
      </c>
      <c r="XH2" s="1" t="s">
        <v>766</v>
      </c>
      <c r="XI2" s="1" t="s">
        <v>767</v>
      </c>
      <c r="XJ2" s="1" t="s">
        <v>768</v>
      </c>
      <c r="XK2" s="1" t="s">
        <v>769</v>
      </c>
      <c r="XL2" s="1" t="s">
        <v>770</v>
      </c>
      <c r="XM2" s="1" t="s">
        <v>771</v>
      </c>
      <c r="XN2" s="1" t="s">
        <v>772</v>
      </c>
      <c r="XO2" s="1" t="s">
        <v>773</v>
      </c>
      <c r="XP2" s="1" t="s">
        <v>774</v>
      </c>
      <c r="XQ2" s="1" t="s">
        <v>775</v>
      </c>
      <c r="XR2" s="1" t="s">
        <v>986</v>
      </c>
      <c r="XS2" s="1" t="s">
        <v>987</v>
      </c>
      <c r="XT2" s="1" t="s">
        <v>988</v>
      </c>
      <c r="XU2" s="7" t="s">
        <v>989</v>
      </c>
      <c r="XV2" s="7" t="s">
        <v>990</v>
      </c>
      <c r="XW2" s="7" t="s">
        <v>991</v>
      </c>
      <c r="XX2" s="7" t="s">
        <v>992</v>
      </c>
      <c r="XY2" s="7" t="s">
        <v>993</v>
      </c>
      <c r="XZ2" s="7" t="s">
        <v>994</v>
      </c>
      <c r="YA2" s="7" t="s">
        <v>995</v>
      </c>
      <c r="YB2" s="7" t="s">
        <v>996</v>
      </c>
      <c r="YC2" s="7" t="s">
        <v>997</v>
      </c>
      <c r="YD2" s="7" t="s">
        <v>998</v>
      </c>
      <c r="YE2" s="8" t="s">
        <v>999</v>
      </c>
      <c r="YF2" s="8" t="s">
        <v>1000</v>
      </c>
      <c r="YG2" s="8" t="s">
        <v>1001</v>
      </c>
      <c r="YH2" s="8" t="s">
        <v>1002</v>
      </c>
      <c r="YI2" s="8" t="s">
        <v>1003</v>
      </c>
      <c r="YJ2" s="8" t="s">
        <v>1004</v>
      </c>
      <c r="YK2" s="8" t="s">
        <v>1005</v>
      </c>
      <c r="YL2" s="8" t="s">
        <v>1006</v>
      </c>
      <c r="YM2" s="8" t="s">
        <v>1007</v>
      </c>
      <c r="YN2" s="8" t="s">
        <v>1008</v>
      </c>
      <c r="YO2" s="8" t="s">
        <v>1009</v>
      </c>
      <c r="YP2" s="8" t="s">
        <v>1010</v>
      </c>
      <c r="YQ2" s="8" t="s">
        <v>1011</v>
      </c>
      <c r="YR2" s="8" t="s">
        <v>1012</v>
      </c>
      <c r="YS2" s="8" t="s">
        <v>1013</v>
      </c>
      <c r="YT2" s="8" t="s">
        <v>1014</v>
      </c>
      <c r="YU2" s="8" t="s">
        <v>1015</v>
      </c>
      <c r="YV2" s="9" t="s">
        <v>1016</v>
      </c>
      <c r="YW2" s="9" t="s">
        <v>1017</v>
      </c>
      <c r="YX2" s="9" t="s">
        <v>1018</v>
      </c>
      <c r="YY2" s="9" t="s">
        <v>1019</v>
      </c>
      <c r="YZ2" s="9" t="s">
        <v>1020</v>
      </c>
      <c r="ZA2" s="9" t="s">
        <v>1021</v>
      </c>
      <c r="ZB2" s="9" t="s">
        <v>1022</v>
      </c>
      <c r="ZC2" s="9" t="s">
        <v>1023</v>
      </c>
      <c r="ZD2" s="9" t="s">
        <v>1024</v>
      </c>
      <c r="ZE2" s="9" t="s">
        <v>1025</v>
      </c>
      <c r="ZF2" s="9" t="s">
        <v>1026</v>
      </c>
      <c r="ZG2" s="9" t="s">
        <v>1027</v>
      </c>
      <c r="ZH2" s="9" t="s">
        <v>1028</v>
      </c>
      <c r="ZI2" s="9" t="s">
        <v>1029</v>
      </c>
      <c r="ZJ2" s="9" t="s">
        <v>1030</v>
      </c>
      <c r="ZK2" s="1" t="s">
        <v>1031</v>
      </c>
      <c r="ZL2" s="1" t="s">
        <v>1032</v>
      </c>
      <c r="ZM2" s="1" t="s">
        <v>1033</v>
      </c>
      <c r="ZN2" s="1" t="s">
        <v>1034</v>
      </c>
      <c r="ZO2" s="1" t="s">
        <v>1035</v>
      </c>
      <c r="ZP2" s="1" t="s">
        <v>1036</v>
      </c>
      <c r="ZQ2" s="1" t="s">
        <v>1037</v>
      </c>
      <c r="ZR2" s="1" t="s">
        <v>1038</v>
      </c>
      <c r="ZS2" s="1" t="s">
        <v>1039</v>
      </c>
      <c r="ZT2" s="1" t="s">
        <v>1040</v>
      </c>
      <c r="ZU2" s="1" t="s">
        <v>1041</v>
      </c>
      <c r="ZV2" s="1" t="s">
        <v>1042</v>
      </c>
      <c r="ZW2" s="1" t="s">
        <v>1043</v>
      </c>
      <c r="ZX2" s="1" t="s">
        <v>1044</v>
      </c>
      <c r="ZY2" s="1" t="s">
        <v>1045</v>
      </c>
      <c r="ZZ2" s="1" t="s">
        <v>1046</v>
      </c>
      <c r="AAA2" s="9" t="s">
        <v>1047</v>
      </c>
      <c r="AAB2" s="9" t="s">
        <v>1048</v>
      </c>
      <c r="AAC2" s="9" t="s">
        <v>1049</v>
      </c>
      <c r="AAD2" s="9" t="s">
        <v>1050</v>
      </c>
      <c r="AAE2" s="9" t="s">
        <v>1051</v>
      </c>
      <c r="AAF2" s="9" t="s">
        <v>1052</v>
      </c>
      <c r="AAG2" s="9" t="s">
        <v>1053</v>
      </c>
      <c r="AAH2" s="9" t="s">
        <v>1054</v>
      </c>
      <c r="AAI2" s="9" t="s">
        <v>1055</v>
      </c>
      <c r="AAJ2" s="9" t="s">
        <v>1056</v>
      </c>
      <c r="AAK2" s="9" t="s">
        <v>1057</v>
      </c>
      <c r="AAL2" s="9" t="s">
        <v>1058</v>
      </c>
      <c r="AAM2" s="1" t="s">
        <v>1059</v>
      </c>
      <c r="AAN2" s="1" t="s">
        <v>1060</v>
      </c>
      <c r="AAO2" s="1" t="s">
        <v>1061</v>
      </c>
      <c r="AAP2" s="1" t="s">
        <v>1062</v>
      </c>
      <c r="AAQ2" s="1" t="s">
        <v>1063</v>
      </c>
      <c r="AAR2" s="1" t="s">
        <v>1064</v>
      </c>
      <c r="AAS2" s="1" t="s">
        <v>1065</v>
      </c>
      <c r="AAT2" s="10" t="s">
        <v>1066</v>
      </c>
      <c r="AAU2" s="10" t="s">
        <v>1067</v>
      </c>
      <c r="AAV2" s="10" t="s">
        <v>1068</v>
      </c>
      <c r="AAW2" s="11" t="s">
        <v>1069</v>
      </c>
      <c r="AAX2" s="11" t="s">
        <v>1070</v>
      </c>
      <c r="AAY2" s="11" t="s">
        <v>1071</v>
      </c>
      <c r="AAZ2" s="11" t="s">
        <v>1072</v>
      </c>
      <c r="ABA2" s="11" t="s">
        <v>1073</v>
      </c>
      <c r="ABB2" s="11" t="s">
        <v>1074</v>
      </c>
      <c r="ABC2" s="11" t="s">
        <v>1075</v>
      </c>
      <c r="ABD2" s="11" t="s">
        <v>1076</v>
      </c>
      <c r="ABE2" s="11" t="s">
        <v>1077</v>
      </c>
      <c r="ABF2" s="11" t="s">
        <v>1078</v>
      </c>
      <c r="ABG2" s="11" t="s">
        <v>1079</v>
      </c>
      <c r="ABH2" s="10" t="s">
        <v>1080</v>
      </c>
      <c r="ABI2" s="10" t="s">
        <v>1081</v>
      </c>
      <c r="ABJ2" s="10" t="s">
        <v>1082</v>
      </c>
      <c r="ABK2" s="10" t="s">
        <v>1083</v>
      </c>
      <c r="ABL2" s="10" t="s">
        <v>1084</v>
      </c>
      <c r="ABM2" s="10" t="s">
        <v>1085</v>
      </c>
      <c r="ABN2" s="10" t="s">
        <v>1086</v>
      </c>
      <c r="ABO2" s="10" t="s">
        <v>1087</v>
      </c>
      <c r="ABP2" s="10" t="s">
        <v>1088</v>
      </c>
      <c r="ABQ2" s="1" t="s">
        <v>1089</v>
      </c>
      <c r="ABR2" s="1" t="s">
        <v>1090</v>
      </c>
      <c r="ABS2" s="1" t="s">
        <v>1091</v>
      </c>
      <c r="ABT2" s="1" t="s">
        <v>1092</v>
      </c>
      <c r="ABU2" s="1" t="s">
        <v>1093</v>
      </c>
      <c r="ABV2" s="1" t="s">
        <v>1094</v>
      </c>
      <c r="ABW2" s="1" t="s">
        <v>1095</v>
      </c>
      <c r="ABX2" s="1" t="s">
        <v>1096</v>
      </c>
      <c r="ABY2" s="1" t="s">
        <v>1097</v>
      </c>
      <c r="ABZ2" s="1" t="s">
        <v>1098</v>
      </c>
      <c r="ACA2" s="1" t="s">
        <v>1099</v>
      </c>
      <c r="ACB2" s="1" t="s">
        <v>1100</v>
      </c>
      <c r="ACC2" s="1" t="s">
        <v>1101</v>
      </c>
      <c r="ACD2" s="1" t="s">
        <v>1102</v>
      </c>
      <c r="ACE2" s="1" t="s">
        <v>1103</v>
      </c>
      <c r="ACF2" s="1" t="s">
        <v>1104</v>
      </c>
      <c r="ACG2" s="1" t="s">
        <v>1105</v>
      </c>
      <c r="ACH2" s="1" t="s">
        <v>1106</v>
      </c>
      <c r="ACI2" s="1" t="s">
        <v>1107</v>
      </c>
      <c r="ACJ2" s="1" t="s">
        <v>1108</v>
      </c>
      <c r="ACK2" s="1" t="s">
        <v>1109</v>
      </c>
      <c r="ACL2" s="1" t="s">
        <v>1110</v>
      </c>
      <c r="ACM2" s="1" t="s">
        <v>1111</v>
      </c>
      <c r="ACN2" s="1" t="s">
        <v>1112</v>
      </c>
      <c r="ACO2" s="1" t="s">
        <v>1113</v>
      </c>
      <c r="ACP2" s="1" t="s">
        <v>1114</v>
      </c>
      <c r="ACQ2" s="1" t="s">
        <v>1115</v>
      </c>
      <c r="ACR2" s="1" t="s">
        <v>1116</v>
      </c>
      <c r="ACS2" s="1" t="s">
        <v>1117</v>
      </c>
      <c r="ACT2" s="1" t="s">
        <v>1118</v>
      </c>
      <c r="ACU2" s="1" t="s">
        <v>1119</v>
      </c>
      <c r="ACV2" s="1" t="s">
        <v>1120</v>
      </c>
      <c r="ACW2" s="1" t="s">
        <v>1121</v>
      </c>
      <c r="ACX2" s="1" t="s">
        <v>1122</v>
      </c>
      <c r="ACY2" s="1" t="s">
        <v>1123</v>
      </c>
      <c r="ACZ2" s="1" t="s">
        <v>1124</v>
      </c>
      <c r="ADA2" s="1" t="s">
        <v>1125</v>
      </c>
      <c r="ADB2" s="1" t="s">
        <v>1126</v>
      </c>
      <c r="ADC2" s="1" t="s">
        <v>1127</v>
      </c>
      <c r="ADD2" s="1" t="s">
        <v>1128</v>
      </c>
      <c r="ADE2" s="1" t="s">
        <v>1129</v>
      </c>
      <c r="ADF2" s="1" t="s">
        <v>1130</v>
      </c>
      <c r="ADG2" s="1" t="s">
        <v>1131</v>
      </c>
      <c r="ADH2" s="1" t="s">
        <v>1132</v>
      </c>
      <c r="ADI2" s="1" t="s">
        <v>1133</v>
      </c>
      <c r="ADJ2" s="1" t="s">
        <v>1134</v>
      </c>
      <c r="ADK2" s="1" t="s">
        <v>1135</v>
      </c>
      <c r="ADL2" s="1" t="s">
        <v>1136</v>
      </c>
      <c r="ADM2" s="1" t="s">
        <v>1137</v>
      </c>
      <c r="ADN2" s="1" t="s">
        <v>1138</v>
      </c>
      <c r="ADO2" s="1" t="s">
        <v>1139</v>
      </c>
      <c r="ADP2" s="1" t="s">
        <v>1140</v>
      </c>
      <c r="ADQ2" s="1" t="s">
        <v>1141</v>
      </c>
      <c r="ADR2" s="1" t="s">
        <v>1142</v>
      </c>
      <c r="ADS2" s="1" t="s">
        <v>1143</v>
      </c>
      <c r="ADT2" s="1" t="s">
        <v>1144</v>
      </c>
      <c r="ADU2" s="1" t="s">
        <v>1145</v>
      </c>
      <c r="ADV2" s="1" t="s">
        <v>1146</v>
      </c>
      <c r="ADW2" s="1" t="s">
        <v>1147</v>
      </c>
      <c r="ADX2" s="1" t="s">
        <v>1148</v>
      </c>
      <c r="ADY2" s="1" t="s">
        <v>1149</v>
      </c>
      <c r="ADZ2" s="1" t="s">
        <v>1150</v>
      </c>
    </row>
    <row r="3" spans="1:806" ht="72.5" x14ac:dyDescent="0.35">
      <c r="A3" s="1" t="s">
        <v>1193</v>
      </c>
      <c r="B3" s="1" t="s">
        <v>38</v>
      </c>
      <c r="C3" s="1" t="s">
        <v>1194</v>
      </c>
      <c r="D3" s="1" t="s">
        <v>778</v>
      </c>
      <c r="E3" s="1" t="s">
        <v>778</v>
      </c>
      <c r="F3" s="1" t="s">
        <v>778</v>
      </c>
      <c r="G3" s="1" t="s">
        <v>778</v>
      </c>
      <c r="H3" s="1" t="s">
        <v>778</v>
      </c>
      <c r="I3" s="1" t="s">
        <v>778</v>
      </c>
      <c r="J3" s="1" t="s">
        <v>778</v>
      </c>
      <c r="NA3" s="1" t="s">
        <v>778</v>
      </c>
      <c r="ZK3" s="1" t="s">
        <v>778</v>
      </c>
      <c r="ZO3" s="1" t="s">
        <v>778</v>
      </c>
      <c r="AAA3" s="1" t="s">
        <v>778</v>
      </c>
      <c r="ABQ3" s="1" t="s">
        <v>778</v>
      </c>
      <c r="ABR3" s="1" t="s">
        <v>778</v>
      </c>
      <c r="ABS3" s="1" t="s">
        <v>778</v>
      </c>
      <c r="ABT3" s="1" t="s">
        <v>778</v>
      </c>
      <c r="ABU3" s="1" t="s">
        <v>778</v>
      </c>
      <c r="ABV3" s="1" t="s">
        <v>778</v>
      </c>
      <c r="ABW3" s="1" t="s">
        <v>778</v>
      </c>
      <c r="ABX3" s="1" t="s">
        <v>778</v>
      </c>
      <c r="ABY3" s="1" t="s">
        <v>778</v>
      </c>
      <c r="ABZ3" s="1" t="s">
        <v>778</v>
      </c>
      <c r="ACA3" s="1" t="s">
        <v>778</v>
      </c>
      <c r="ACB3" s="1" t="s">
        <v>778</v>
      </c>
      <c r="ACC3" s="1" t="s">
        <v>778</v>
      </c>
      <c r="ACD3" s="1" t="s">
        <v>778</v>
      </c>
      <c r="ACE3" s="1" t="s">
        <v>778</v>
      </c>
      <c r="ACF3" s="1" t="s">
        <v>778</v>
      </c>
      <c r="ACG3" s="1" t="s">
        <v>778</v>
      </c>
      <c r="ACH3" s="1" t="s">
        <v>778</v>
      </c>
      <c r="ACI3" s="1" t="s">
        <v>778</v>
      </c>
      <c r="ACJ3" s="1" t="s">
        <v>778</v>
      </c>
      <c r="ACK3" s="1" t="s">
        <v>778</v>
      </c>
      <c r="ACL3" s="1" t="s">
        <v>778</v>
      </c>
      <c r="ACM3" s="1" t="s">
        <v>778</v>
      </c>
      <c r="ACN3" s="1" t="s">
        <v>778</v>
      </c>
      <c r="ACO3" s="1" t="s">
        <v>778</v>
      </c>
      <c r="ACP3" s="1" t="s">
        <v>778</v>
      </c>
      <c r="ACQ3" s="1" t="s">
        <v>778</v>
      </c>
    </row>
    <row r="4" spans="1:806" ht="72.5" x14ac:dyDescent="0.35">
      <c r="A4" s="1" t="s">
        <v>1193</v>
      </c>
      <c r="B4" s="1" t="s">
        <v>38</v>
      </c>
      <c r="C4" s="1" t="s">
        <v>1195</v>
      </c>
      <c r="D4" s="1" t="s">
        <v>778</v>
      </c>
      <c r="E4" s="1" t="s">
        <v>778</v>
      </c>
      <c r="F4" s="1" t="s">
        <v>778</v>
      </c>
      <c r="G4" s="1" t="s">
        <v>778</v>
      </c>
      <c r="H4" s="1" t="s">
        <v>778</v>
      </c>
      <c r="I4" s="1" t="s">
        <v>778</v>
      </c>
      <c r="J4" s="1" t="s">
        <v>778</v>
      </c>
      <c r="ZK4" s="1" t="s">
        <v>778</v>
      </c>
      <c r="ZO4" s="1" t="s">
        <v>778</v>
      </c>
      <c r="AAA4" s="1" t="s">
        <v>778</v>
      </c>
      <c r="ACD4" s="1" t="s">
        <v>778</v>
      </c>
      <c r="ACR4" s="1" t="s">
        <v>778</v>
      </c>
      <c r="ACS4" s="1" t="s">
        <v>778</v>
      </c>
      <c r="ACT4" s="1" t="s">
        <v>778</v>
      </c>
      <c r="ACU4" s="1" t="s">
        <v>778</v>
      </c>
      <c r="ACV4" s="1" t="s">
        <v>778</v>
      </c>
      <c r="ACW4" s="1" t="s">
        <v>778</v>
      </c>
    </row>
    <row r="5" spans="1:806" ht="72.5" x14ac:dyDescent="0.35">
      <c r="A5" s="1" t="s">
        <v>1193</v>
      </c>
      <c r="B5" s="1" t="s">
        <v>38</v>
      </c>
      <c r="C5" s="1" t="s">
        <v>1196</v>
      </c>
      <c r="D5" s="1" t="s">
        <v>778</v>
      </c>
      <c r="E5" s="1" t="s">
        <v>778</v>
      </c>
      <c r="F5" s="1" t="s">
        <v>778</v>
      </c>
      <c r="G5" s="1" t="s">
        <v>778</v>
      </c>
      <c r="H5" s="1" t="s">
        <v>778</v>
      </c>
      <c r="ZK5" s="1" t="s">
        <v>778</v>
      </c>
      <c r="ABZ5" s="1" t="s">
        <v>778</v>
      </c>
      <c r="ACA5" s="1" t="s">
        <v>778</v>
      </c>
      <c r="ACB5" s="1" t="s">
        <v>778</v>
      </c>
      <c r="ACL5" s="1" t="s">
        <v>778</v>
      </c>
      <c r="ACM5" s="1" t="s">
        <v>778</v>
      </c>
      <c r="ACX5" s="1" t="s">
        <v>778</v>
      </c>
      <c r="ACY5" s="1" t="s">
        <v>778</v>
      </c>
      <c r="ACZ5" s="1" t="s">
        <v>778</v>
      </c>
      <c r="ADA5" s="1" t="s">
        <v>778</v>
      </c>
      <c r="ADB5" s="1" t="s">
        <v>778</v>
      </c>
    </row>
    <row r="6" spans="1:806" ht="72.5" x14ac:dyDescent="0.35">
      <c r="A6" s="1" t="s">
        <v>1193</v>
      </c>
      <c r="B6" s="1" t="s">
        <v>35</v>
      </c>
      <c r="C6" s="1" t="s">
        <v>1197</v>
      </c>
      <c r="D6" s="1" t="s">
        <v>778</v>
      </c>
      <c r="E6" s="1" t="s">
        <v>778</v>
      </c>
      <c r="F6" s="1" t="s">
        <v>778</v>
      </c>
      <c r="G6" s="1" t="s">
        <v>778</v>
      </c>
      <c r="H6" s="1" t="s">
        <v>778</v>
      </c>
      <c r="I6" s="1" t="s">
        <v>778</v>
      </c>
      <c r="J6" s="1" t="s">
        <v>778</v>
      </c>
      <c r="ZK6" s="1"/>
      <c r="ADC6" s="1" t="s">
        <v>778</v>
      </c>
      <c r="ADD6" s="1" t="s">
        <v>778</v>
      </c>
    </row>
    <row r="7" spans="1:806" ht="72.5" x14ac:dyDescent="0.35">
      <c r="A7" s="1" t="s">
        <v>1193</v>
      </c>
      <c r="B7" s="1" t="s">
        <v>35</v>
      </c>
      <c r="C7" s="1" t="s">
        <v>1198</v>
      </c>
      <c r="D7" s="1" t="s">
        <v>778</v>
      </c>
      <c r="E7" s="1" t="s">
        <v>778</v>
      </c>
      <c r="F7" s="1" t="s">
        <v>778</v>
      </c>
      <c r="G7" s="1" t="s">
        <v>778</v>
      </c>
      <c r="H7" s="1" t="s">
        <v>778</v>
      </c>
      <c r="I7" s="1" t="s">
        <v>778</v>
      </c>
      <c r="J7" s="1" t="s">
        <v>778</v>
      </c>
      <c r="AR7" s="1" t="s">
        <v>778</v>
      </c>
      <c r="AX7" s="1" t="s">
        <v>778</v>
      </c>
      <c r="ZK7" s="1"/>
      <c r="ADC7" s="1" t="s">
        <v>778</v>
      </c>
      <c r="ADE7" s="1" t="s">
        <v>778</v>
      </c>
    </row>
    <row r="8" spans="1:806" ht="72.5" x14ac:dyDescent="0.35">
      <c r="A8" s="1" t="s">
        <v>1193</v>
      </c>
      <c r="B8" s="1" t="s">
        <v>35</v>
      </c>
      <c r="C8" s="1" t="s">
        <v>1199</v>
      </c>
      <c r="D8" s="1" t="s">
        <v>778</v>
      </c>
      <c r="E8" s="1" t="s">
        <v>778</v>
      </c>
      <c r="F8" s="1" t="s">
        <v>778</v>
      </c>
      <c r="G8" s="1" t="s">
        <v>778</v>
      </c>
      <c r="H8" s="1" t="s">
        <v>778</v>
      </c>
      <c r="I8" s="1" t="s">
        <v>778</v>
      </c>
      <c r="J8" s="1" t="s">
        <v>778</v>
      </c>
      <c r="AX8" s="1" t="s">
        <v>778</v>
      </c>
      <c r="ZK8" s="1"/>
      <c r="ADC8" s="1" t="s">
        <v>778</v>
      </c>
      <c r="ADF8" s="1" t="s">
        <v>778</v>
      </c>
    </row>
    <row r="9" spans="1:806" ht="72.5" x14ac:dyDescent="0.35">
      <c r="A9" s="1" t="s">
        <v>1193</v>
      </c>
      <c r="B9" s="1" t="s">
        <v>35</v>
      </c>
      <c r="C9" s="12" t="s">
        <v>1200</v>
      </c>
      <c r="D9" s="1" t="s">
        <v>778</v>
      </c>
      <c r="E9" s="1" t="s">
        <v>778</v>
      </c>
      <c r="F9" s="1" t="s">
        <v>778</v>
      </c>
      <c r="G9" s="1" t="s">
        <v>778</v>
      </c>
      <c r="H9" s="1" t="s">
        <v>778</v>
      </c>
      <c r="I9" s="1" t="s">
        <v>778</v>
      </c>
      <c r="J9" s="1" t="s">
        <v>778</v>
      </c>
      <c r="ZK9" s="1"/>
      <c r="ADC9" s="1" t="s">
        <v>778</v>
      </c>
      <c r="ADG9" s="1" t="s">
        <v>778</v>
      </c>
    </row>
    <row r="10" spans="1:806" ht="72.5" x14ac:dyDescent="0.35">
      <c r="A10" s="1" t="s">
        <v>1193</v>
      </c>
      <c r="B10" s="1" t="s">
        <v>35</v>
      </c>
      <c r="C10" s="12" t="s">
        <v>1201</v>
      </c>
      <c r="D10" s="1" t="s">
        <v>778</v>
      </c>
      <c r="E10" s="1" t="s">
        <v>778</v>
      </c>
      <c r="F10" s="1" t="s">
        <v>778</v>
      </c>
      <c r="G10" s="1" t="s">
        <v>778</v>
      </c>
      <c r="H10" s="1" t="s">
        <v>778</v>
      </c>
      <c r="AR10" s="1" t="s">
        <v>778</v>
      </c>
      <c r="AX10" s="1" t="s">
        <v>778</v>
      </c>
      <c r="JR10" s="1" t="s">
        <v>778</v>
      </c>
      <c r="ZK10" s="1"/>
      <c r="ADH10" s="1" t="s">
        <v>778</v>
      </c>
    </row>
    <row r="11" spans="1:806" ht="72.5" x14ac:dyDescent="0.35">
      <c r="A11" s="1" t="s">
        <v>1193</v>
      </c>
      <c r="B11" s="1" t="s">
        <v>35</v>
      </c>
      <c r="C11" s="12" t="s">
        <v>1202</v>
      </c>
      <c r="D11" s="1" t="s">
        <v>778</v>
      </c>
      <c r="E11" s="1" t="s">
        <v>778</v>
      </c>
      <c r="F11" s="1" t="s">
        <v>778</v>
      </c>
      <c r="G11" s="1" t="s">
        <v>778</v>
      </c>
      <c r="H11" s="1" t="s">
        <v>778</v>
      </c>
      <c r="AJ11" s="1" t="s">
        <v>778</v>
      </c>
      <c r="AX11" s="1" t="s">
        <v>778</v>
      </c>
      <c r="BG11" s="1" t="s">
        <v>778</v>
      </c>
      <c r="JR11" s="1" t="s">
        <v>778</v>
      </c>
      <c r="TC11" s="1" t="s">
        <v>778</v>
      </c>
      <c r="ZK11" s="1"/>
      <c r="ADH11" s="1" t="s">
        <v>778</v>
      </c>
    </row>
    <row r="12" spans="1:806" ht="72.5" x14ac:dyDescent="0.35">
      <c r="A12" s="1" t="s">
        <v>1193</v>
      </c>
      <c r="B12" s="1" t="s">
        <v>35</v>
      </c>
      <c r="C12" s="2" t="s">
        <v>1203</v>
      </c>
      <c r="D12" s="1" t="s">
        <v>778</v>
      </c>
      <c r="E12" s="1" t="s">
        <v>778</v>
      </c>
      <c r="F12" s="1" t="s">
        <v>778</v>
      </c>
      <c r="G12" s="1" t="s">
        <v>778</v>
      </c>
      <c r="H12" s="1" t="s">
        <v>778</v>
      </c>
      <c r="FG12" s="1" t="s">
        <v>778</v>
      </c>
      <c r="ZK12" s="1"/>
      <c r="ADI12" s="1" t="s">
        <v>778</v>
      </c>
    </row>
    <row r="13" spans="1:806" ht="72.5" x14ac:dyDescent="0.35">
      <c r="A13" s="1" t="s">
        <v>1193</v>
      </c>
      <c r="B13" s="1" t="s">
        <v>35</v>
      </c>
      <c r="C13" s="1" t="s">
        <v>1204</v>
      </c>
      <c r="D13" s="1" t="s">
        <v>778</v>
      </c>
      <c r="E13" s="1" t="s">
        <v>778</v>
      </c>
      <c r="F13" s="1" t="s">
        <v>778</v>
      </c>
      <c r="G13" s="1" t="s">
        <v>778</v>
      </c>
      <c r="H13" s="1" t="s">
        <v>778</v>
      </c>
      <c r="AP13" s="1" t="s">
        <v>778</v>
      </c>
      <c r="AR13" s="1" t="s">
        <v>778</v>
      </c>
      <c r="AX13" s="1" t="s">
        <v>778</v>
      </c>
      <c r="JT13" s="1" t="s">
        <v>778</v>
      </c>
      <c r="ZK13" s="1"/>
      <c r="ADJ13" s="1" t="s">
        <v>778</v>
      </c>
      <c r="ADK13" s="1" t="s">
        <v>778</v>
      </c>
      <c r="ADL13" s="1" t="s">
        <v>778</v>
      </c>
      <c r="ADM13" s="1" t="s">
        <v>778</v>
      </c>
    </row>
    <row r="14" spans="1:806" ht="72.5" x14ac:dyDescent="0.35">
      <c r="A14" s="1" t="s">
        <v>1193</v>
      </c>
      <c r="B14" s="1" t="s">
        <v>35</v>
      </c>
      <c r="C14" s="1" t="s">
        <v>1205</v>
      </c>
      <c r="D14" s="1" t="s">
        <v>778</v>
      </c>
      <c r="E14" s="1" t="s">
        <v>778</v>
      </c>
      <c r="F14" s="1" t="s">
        <v>778</v>
      </c>
      <c r="G14" s="1" t="s">
        <v>778</v>
      </c>
      <c r="H14" s="1" t="s">
        <v>778</v>
      </c>
      <c r="AR14" s="1" t="s">
        <v>778</v>
      </c>
      <c r="AX14" s="1" t="s">
        <v>778</v>
      </c>
      <c r="ZK14" s="1"/>
      <c r="ADN14" s="1" t="s">
        <v>778</v>
      </c>
      <c r="ADO14" s="1" t="s">
        <v>778</v>
      </c>
      <c r="ADP14" s="1" t="s">
        <v>778</v>
      </c>
      <c r="ADQ14" s="1" t="s">
        <v>778</v>
      </c>
      <c r="ADR14" s="1" t="s">
        <v>778</v>
      </c>
      <c r="ADS14" s="1" t="s">
        <v>778</v>
      </c>
      <c r="ADT14" s="1" t="s">
        <v>778</v>
      </c>
    </row>
    <row r="15" spans="1:806" ht="72.5" x14ac:dyDescent="0.35">
      <c r="A15" s="1" t="s">
        <v>1193</v>
      </c>
      <c r="B15" s="1" t="s">
        <v>35</v>
      </c>
      <c r="C15" s="1" t="s">
        <v>1206</v>
      </c>
      <c r="D15" s="1" t="s">
        <v>778</v>
      </c>
      <c r="E15" s="1" t="s">
        <v>778</v>
      </c>
      <c r="F15" s="1" t="s">
        <v>778</v>
      </c>
      <c r="G15" s="1" t="s">
        <v>778</v>
      </c>
      <c r="H15" s="1" t="s">
        <v>778</v>
      </c>
      <c r="ZK15" s="1"/>
      <c r="ADU15" s="1" t="s">
        <v>778</v>
      </c>
      <c r="ADV15" s="1" t="s">
        <v>778</v>
      </c>
      <c r="ADW15" s="1" t="s">
        <v>778</v>
      </c>
      <c r="ADX15" s="1" t="s">
        <v>778</v>
      </c>
      <c r="ADY15" s="1" t="s">
        <v>778</v>
      </c>
      <c r="ADZ15" s="1" t="s">
        <v>778</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A6542-BCD9-4ED0-AC17-08F2B4E71E1D}">
  <sheetPr codeName="Sheet12"/>
  <dimension ref="A1:B67"/>
  <sheetViews>
    <sheetView workbookViewId="0">
      <selection activeCell="A2" sqref="A2:B67"/>
    </sheetView>
  </sheetViews>
  <sheetFormatPr defaultRowHeight="14.5" x14ac:dyDescent="0.35"/>
  <cols>
    <col min="1" max="1" width="24.1796875" customWidth="1"/>
  </cols>
  <sheetData>
    <row r="1" spans="1:2" x14ac:dyDescent="0.35">
      <c r="A1" t="s">
        <v>2228</v>
      </c>
      <c r="B1" t="s">
        <v>2229</v>
      </c>
    </row>
    <row r="2" spans="1:2" x14ac:dyDescent="0.35">
      <c r="A2" t="s">
        <v>1145</v>
      </c>
      <c r="B2" t="s">
        <v>2221</v>
      </c>
    </row>
    <row r="3" spans="1:2" x14ac:dyDescent="0.35">
      <c r="A3" t="s">
        <v>1035</v>
      </c>
      <c r="B3" t="s">
        <v>2230</v>
      </c>
    </row>
    <row r="4" spans="1:2" x14ac:dyDescent="0.35">
      <c r="A4" t="s">
        <v>2231</v>
      </c>
      <c r="B4" t="s">
        <v>2232</v>
      </c>
    </row>
    <row r="5" spans="1:2" x14ac:dyDescent="0.35">
      <c r="A5" t="s">
        <v>1090</v>
      </c>
      <c r="B5" t="s">
        <v>2168</v>
      </c>
    </row>
    <row r="6" spans="1:2" x14ac:dyDescent="0.35">
      <c r="A6" t="s">
        <v>2164</v>
      </c>
      <c r="B6" t="s">
        <v>2222</v>
      </c>
    </row>
    <row r="7" spans="1:2" x14ac:dyDescent="0.35">
      <c r="A7" t="s">
        <v>2165</v>
      </c>
      <c r="B7" t="s">
        <v>2223</v>
      </c>
    </row>
    <row r="8" spans="1:2" x14ac:dyDescent="0.35">
      <c r="A8" t="s">
        <v>1094</v>
      </c>
      <c r="B8" t="s">
        <v>2171</v>
      </c>
    </row>
    <row r="9" spans="1:2" x14ac:dyDescent="0.35">
      <c r="A9" t="s">
        <v>1096</v>
      </c>
      <c r="B9" t="s">
        <v>2172</v>
      </c>
    </row>
    <row r="10" spans="1:2" x14ac:dyDescent="0.35">
      <c r="A10" t="s">
        <v>1095</v>
      </c>
      <c r="B10" t="s">
        <v>2173</v>
      </c>
    </row>
    <row r="11" spans="1:2" x14ac:dyDescent="0.35">
      <c r="A11" t="s">
        <v>1097</v>
      </c>
      <c r="B11" t="s">
        <v>2174</v>
      </c>
    </row>
    <row r="12" spans="1:2" x14ac:dyDescent="0.35">
      <c r="A12" t="s">
        <v>1093</v>
      </c>
      <c r="B12" t="s">
        <v>2170</v>
      </c>
    </row>
    <row r="13" spans="1:2" x14ac:dyDescent="0.35">
      <c r="A13" t="s">
        <v>1110</v>
      </c>
      <c r="B13" t="s">
        <v>2187</v>
      </c>
    </row>
    <row r="14" spans="1:2" x14ac:dyDescent="0.35">
      <c r="A14" t="s">
        <v>1105</v>
      </c>
      <c r="B14" t="s">
        <v>2182</v>
      </c>
    </row>
    <row r="15" spans="1:2" x14ac:dyDescent="0.35">
      <c r="A15" t="s">
        <v>1099</v>
      </c>
      <c r="B15" t="s">
        <v>2176</v>
      </c>
    </row>
    <row r="16" spans="1:2" x14ac:dyDescent="0.35">
      <c r="A16" t="s">
        <v>1116</v>
      </c>
      <c r="B16" t="s">
        <v>2193</v>
      </c>
    </row>
    <row r="17" spans="1:2" x14ac:dyDescent="0.35">
      <c r="A17" t="s">
        <v>1127</v>
      </c>
      <c r="B17" t="s">
        <v>2204</v>
      </c>
    </row>
    <row r="18" spans="1:2" x14ac:dyDescent="0.35">
      <c r="A18" t="s">
        <v>1150</v>
      </c>
      <c r="B18" t="s">
        <v>2224</v>
      </c>
    </row>
    <row r="19" spans="1:2" x14ac:dyDescent="0.35">
      <c r="A19" t="s">
        <v>2162</v>
      </c>
      <c r="B19" t="s">
        <v>2214</v>
      </c>
    </row>
    <row r="20" spans="1:2" x14ac:dyDescent="0.35">
      <c r="A20" t="s">
        <v>1140</v>
      </c>
      <c r="B20" t="s">
        <v>2215</v>
      </c>
    </row>
    <row r="21" spans="1:2" x14ac:dyDescent="0.35">
      <c r="A21" t="s">
        <v>1139</v>
      </c>
      <c r="B21" t="s">
        <v>2216</v>
      </c>
    </row>
    <row r="22" spans="1:2" x14ac:dyDescent="0.35">
      <c r="A22" t="s">
        <v>1144</v>
      </c>
      <c r="B22" t="s">
        <v>2217</v>
      </c>
    </row>
    <row r="23" spans="1:2" x14ac:dyDescent="0.35">
      <c r="A23" t="s">
        <v>1143</v>
      </c>
      <c r="B23" t="s">
        <v>2218</v>
      </c>
    </row>
    <row r="24" spans="1:2" x14ac:dyDescent="0.35">
      <c r="A24" t="s">
        <v>1142</v>
      </c>
      <c r="B24" t="s">
        <v>2219</v>
      </c>
    </row>
    <row r="25" spans="1:2" x14ac:dyDescent="0.35">
      <c r="A25" t="s">
        <v>2161</v>
      </c>
      <c r="B25" t="s">
        <v>2213</v>
      </c>
    </row>
    <row r="26" spans="1:2" x14ac:dyDescent="0.35">
      <c r="A26" t="s">
        <v>1131</v>
      </c>
      <c r="B26" t="s">
        <v>2208</v>
      </c>
    </row>
    <row r="27" spans="1:2" x14ac:dyDescent="0.35">
      <c r="A27" t="s">
        <v>2160</v>
      </c>
      <c r="B27" t="s">
        <v>2199</v>
      </c>
    </row>
    <row r="28" spans="1:2" x14ac:dyDescent="0.35">
      <c r="A28" t="s">
        <v>499</v>
      </c>
      <c r="B28" t="s">
        <v>2233</v>
      </c>
    </row>
    <row r="29" spans="1:2" x14ac:dyDescent="0.35">
      <c r="A29" t="s">
        <v>1092</v>
      </c>
      <c r="B29" t="s">
        <v>2227</v>
      </c>
    </row>
    <row r="30" spans="1:2" x14ac:dyDescent="0.35">
      <c r="A30" t="s">
        <v>1031</v>
      </c>
      <c r="B30" t="s">
        <v>2234</v>
      </c>
    </row>
    <row r="31" spans="1:2" x14ac:dyDescent="0.35">
      <c r="A31" t="s">
        <v>1089</v>
      </c>
      <c r="B31" t="s">
        <v>2167</v>
      </c>
    </row>
    <row r="32" spans="1:2" x14ac:dyDescent="0.35">
      <c r="A32" t="s">
        <v>1112</v>
      </c>
      <c r="B32" t="s">
        <v>2189</v>
      </c>
    </row>
    <row r="33" spans="1:2" x14ac:dyDescent="0.35">
      <c r="A33" t="s">
        <v>2159</v>
      </c>
      <c r="B33" t="s">
        <v>2184</v>
      </c>
    </row>
    <row r="34" spans="1:2" x14ac:dyDescent="0.35">
      <c r="A34" t="s">
        <v>1101</v>
      </c>
      <c r="B34" t="s">
        <v>2178</v>
      </c>
    </row>
    <row r="35" spans="1:2" x14ac:dyDescent="0.35">
      <c r="A35" t="s">
        <v>1125</v>
      </c>
      <c r="B35" t="s">
        <v>2200</v>
      </c>
    </row>
    <row r="36" spans="1:2" x14ac:dyDescent="0.35">
      <c r="A36" t="s">
        <v>1124</v>
      </c>
      <c r="B36" t="s">
        <v>2201</v>
      </c>
    </row>
    <row r="37" spans="1:2" x14ac:dyDescent="0.35">
      <c r="A37" t="s">
        <v>1123</v>
      </c>
      <c r="B37" t="s">
        <v>2202</v>
      </c>
    </row>
    <row r="38" spans="1:2" x14ac:dyDescent="0.35">
      <c r="A38" t="s">
        <v>1122</v>
      </c>
      <c r="B38" t="s">
        <v>2203</v>
      </c>
    </row>
    <row r="39" spans="1:2" x14ac:dyDescent="0.35">
      <c r="A39" t="s">
        <v>1111</v>
      </c>
      <c r="B39" t="s">
        <v>2188</v>
      </c>
    </row>
    <row r="40" spans="1:2" x14ac:dyDescent="0.35">
      <c r="A40" t="s">
        <v>1106</v>
      </c>
      <c r="B40" t="s">
        <v>2183</v>
      </c>
    </row>
    <row r="41" spans="1:2" x14ac:dyDescent="0.35">
      <c r="A41" t="s">
        <v>1100</v>
      </c>
      <c r="B41" t="s">
        <v>2177</v>
      </c>
    </row>
    <row r="42" spans="1:2" x14ac:dyDescent="0.35">
      <c r="A42" t="s">
        <v>1119</v>
      </c>
      <c r="B42" t="s">
        <v>2196</v>
      </c>
    </row>
    <row r="43" spans="1:2" x14ac:dyDescent="0.35">
      <c r="A43" t="s">
        <v>1120</v>
      </c>
      <c r="B43" t="s">
        <v>2197</v>
      </c>
    </row>
    <row r="44" spans="1:2" x14ac:dyDescent="0.35">
      <c r="A44" t="s">
        <v>1121</v>
      </c>
      <c r="B44" t="s">
        <v>2198</v>
      </c>
    </row>
    <row r="45" spans="1:2" x14ac:dyDescent="0.35">
      <c r="A45" t="s">
        <v>2163</v>
      </c>
      <c r="B45" t="s">
        <v>2220</v>
      </c>
    </row>
    <row r="46" spans="1:2" x14ac:dyDescent="0.35">
      <c r="A46" t="s">
        <v>1135</v>
      </c>
      <c r="B46" t="s">
        <v>2210</v>
      </c>
    </row>
    <row r="47" spans="1:2" x14ac:dyDescent="0.35">
      <c r="A47" t="s">
        <v>1148</v>
      </c>
      <c r="B47" t="s">
        <v>2225</v>
      </c>
    </row>
    <row r="48" spans="1:2" x14ac:dyDescent="0.35">
      <c r="A48" t="s">
        <v>2166</v>
      </c>
      <c r="B48" t="s">
        <v>2226</v>
      </c>
    </row>
    <row r="49" spans="1:2" x14ac:dyDescent="0.35">
      <c r="A49" t="s">
        <v>1130</v>
      </c>
      <c r="B49" t="s">
        <v>2207</v>
      </c>
    </row>
    <row r="50" spans="1:2" x14ac:dyDescent="0.35">
      <c r="A50" t="s">
        <v>1133</v>
      </c>
      <c r="B50" t="s">
        <v>1981</v>
      </c>
    </row>
    <row r="51" spans="1:2" x14ac:dyDescent="0.35">
      <c r="A51" t="s">
        <v>1136</v>
      </c>
      <c r="B51" t="s">
        <v>2211</v>
      </c>
    </row>
    <row r="52" spans="1:2" x14ac:dyDescent="0.35">
      <c r="A52" t="s">
        <v>1129</v>
      </c>
      <c r="B52" t="s">
        <v>2206</v>
      </c>
    </row>
    <row r="53" spans="1:2" x14ac:dyDescent="0.35">
      <c r="A53" t="s">
        <v>1128</v>
      </c>
      <c r="B53" t="s">
        <v>2205</v>
      </c>
    </row>
    <row r="54" spans="1:2" x14ac:dyDescent="0.35">
      <c r="A54" t="s">
        <v>1132</v>
      </c>
      <c r="B54" t="s">
        <v>2209</v>
      </c>
    </row>
    <row r="55" spans="1:2" x14ac:dyDescent="0.35">
      <c r="A55" t="s">
        <v>1134</v>
      </c>
      <c r="B55" t="s">
        <v>2212</v>
      </c>
    </row>
    <row r="56" spans="1:2" x14ac:dyDescent="0.35">
      <c r="A56" t="s">
        <v>1117</v>
      </c>
      <c r="B56" t="s">
        <v>2194</v>
      </c>
    </row>
    <row r="57" spans="1:2" x14ac:dyDescent="0.35">
      <c r="A57" t="s">
        <v>1118</v>
      </c>
      <c r="B57" t="s">
        <v>2195</v>
      </c>
    </row>
    <row r="58" spans="1:2" x14ac:dyDescent="0.35">
      <c r="A58" t="s">
        <v>1114</v>
      </c>
      <c r="B58" t="s">
        <v>2191</v>
      </c>
    </row>
    <row r="59" spans="1:2" x14ac:dyDescent="0.35">
      <c r="A59" t="s">
        <v>1115</v>
      </c>
      <c r="B59" t="s">
        <v>2192</v>
      </c>
    </row>
    <row r="60" spans="1:2" x14ac:dyDescent="0.35">
      <c r="A60" t="s">
        <v>1102</v>
      </c>
      <c r="B60" t="s">
        <v>2179</v>
      </c>
    </row>
    <row r="61" spans="1:2" x14ac:dyDescent="0.35">
      <c r="A61" t="s">
        <v>1103</v>
      </c>
      <c r="B61" t="s">
        <v>2180</v>
      </c>
    </row>
    <row r="62" spans="1:2" x14ac:dyDescent="0.35">
      <c r="A62" t="s">
        <v>1113</v>
      </c>
      <c r="B62" t="s">
        <v>2190</v>
      </c>
    </row>
    <row r="63" spans="1:2" x14ac:dyDescent="0.35">
      <c r="A63" t="s">
        <v>1108</v>
      </c>
      <c r="B63" t="s">
        <v>2185</v>
      </c>
    </row>
    <row r="64" spans="1:2" x14ac:dyDescent="0.35">
      <c r="A64" t="s">
        <v>1109</v>
      </c>
      <c r="B64" t="s">
        <v>2186</v>
      </c>
    </row>
    <row r="65" spans="1:2" x14ac:dyDescent="0.35">
      <c r="A65" t="s">
        <v>2158</v>
      </c>
      <c r="B65" t="s">
        <v>2181</v>
      </c>
    </row>
    <row r="66" spans="1:2" x14ac:dyDescent="0.35">
      <c r="A66" t="s">
        <v>1098</v>
      </c>
      <c r="B66" t="s">
        <v>2175</v>
      </c>
    </row>
    <row r="67" spans="1:2" x14ac:dyDescent="0.35">
      <c r="A67" t="s">
        <v>1091</v>
      </c>
      <c r="B67" t="s">
        <v>2169</v>
      </c>
    </row>
  </sheetData>
  <sortState xmlns:xlrd2="http://schemas.microsoft.com/office/spreadsheetml/2017/richdata2" ref="A2:B67">
    <sortCondition ref="A2:A67"/>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ED900E45533240984673D798A9AA08" ma:contentTypeVersion="16" ma:contentTypeDescription="Create a new document." ma:contentTypeScope="" ma:versionID="b34f5c9dd34a4bac27ce1c192defbbad">
  <xsd:schema xmlns:xsd="http://www.w3.org/2001/XMLSchema" xmlns:xs="http://www.w3.org/2001/XMLSchema" xmlns:p="http://schemas.microsoft.com/office/2006/metadata/properties" xmlns:ns2="591b7eeb-5105-4999-94f6-a746eb4c6310" xmlns:ns3="22f0be0a-36a8-4d1a-945f-e8a2e9519595" xmlns:ns4="8c566321-f672-4e06-a901-b5e72b4c4357" targetNamespace="http://schemas.microsoft.com/office/2006/metadata/properties" ma:root="true" ma:fieldsID="5954b999f508fe67fa54cfd672f1adfe" ns2:_="" ns3:_="" ns4:_="">
    <xsd:import namespace="591b7eeb-5105-4999-94f6-a746eb4c6310"/>
    <xsd:import namespace="22f0be0a-36a8-4d1a-945f-e8a2e9519595"/>
    <xsd:import namespace="8c566321-f672-4e06-a901-b5e72b4c43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4:TaxCatchAll"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1b7eeb-5105-4999-94f6-a746eb4c63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07c698-60f5-424f-b9af-f4c59398b511" ma:termSetId="09814cd3-568e-fe90-9814-8d621ff8fb84" ma:anchorId="fba54fb3-c3e1-fe81-a776-ca4b69148c4d" ma:open="true" ma:isKeyword="false">
      <xsd:complexType>
        <xsd:sequence>
          <xsd:element ref="pc:Terms" minOccurs="0" maxOccurs="1"/>
        </xsd:sequence>
      </xsd:complexType>
    </xsd:element>
    <xsd:element name="MediaServiceDateTaken" ma:index="21" nillable="true" ma:displayName="MediaServiceDateTaken" ma:hidden="true" ma:internalName="MediaServiceDateTake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2f0be0a-36a8-4d1a-945f-e8a2e951959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c566321-f672-4e06-a901-b5e72b4c4357"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a6fc1f59-704c-443d-8adf-ed44e3904037}" ma:internalName="TaxCatchAll" ma:showField="CatchAllData" ma:web="22f0be0a-36a8-4d1a-945f-e8a2e95195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c566321-f672-4e06-a901-b5e72b4c4357" xsi:nil="true"/>
    <lcf76f155ced4ddcb4097134ff3c332f xmlns="591b7eeb-5105-4999-94f6-a746eb4c6310">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2EDE31-EEAF-4D0C-87F9-FC4D62E231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1b7eeb-5105-4999-94f6-a746eb4c6310"/>
    <ds:schemaRef ds:uri="22f0be0a-36a8-4d1a-945f-e8a2e9519595"/>
    <ds:schemaRef ds:uri="8c566321-f672-4e06-a901-b5e72b4c43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25ADDB1-FC8E-4706-B45D-90A6C2A6867B}">
  <ds:schemaRefs>
    <ds:schemaRef ds:uri="http://purl.org/dc/terms/"/>
    <ds:schemaRef ds:uri="http://purl.org/dc/dcmitype/"/>
    <ds:schemaRef ds:uri="22f0be0a-36a8-4d1a-945f-e8a2e9519595"/>
    <ds:schemaRef ds:uri="http://schemas.openxmlformats.org/package/2006/metadata/core-properties"/>
    <ds:schemaRef ds:uri="http://purl.org/dc/elements/1.1/"/>
    <ds:schemaRef ds:uri="http://schemas.microsoft.com/office/2006/documentManagement/types"/>
    <ds:schemaRef ds:uri="http://www.w3.org/XML/1998/namespace"/>
    <ds:schemaRef ds:uri="http://schemas.microsoft.com/office/infopath/2007/PartnerControls"/>
    <ds:schemaRef ds:uri="8c566321-f672-4e06-a901-b5e72b4c4357"/>
    <ds:schemaRef ds:uri="591b7eeb-5105-4999-94f6-a746eb4c6310"/>
    <ds:schemaRef ds:uri="http://schemas.microsoft.com/office/2006/metadata/properties"/>
  </ds:schemaRefs>
</ds:datastoreItem>
</file>

<file path=customXml/itemProps3.xml><?xml version="1.0" encoding="utf-8"?>
<ds:datastoreItem xmlns:ds="http://schemas.openxmlformats.org/officeDocument/2006/customXml" ds:itemID="{8063B966-688A-4C0D-8DDE-C0FC79D61C7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List of publications</vt:lpstr>
      <vt:lpstr>All</vt:lpstr>
      <vt:lpstr>AllVarLinks</vt:lpstr>
      <vt:lpstr>AllVar</vt:lpstr>
      <vt:lpstr>No VarName</vt:lpstr>
      <vt:lpstr>MultipleLkup</vt:lpstr>
      <vt:lpstr>AllVarName</vt:lpstr>
      <vt:lpstr>FE</vt:lpstr>
      <vt:lpstr>FE_Var_name</vt:lpstr>
      <vt:lpstr>Destinations</vt:lpstr>
      <vt:lpstr>Dest_Var_Name</vt:lpstr>
      <vt:lpstr>HE</vt:lpstr>
      <vt:lpstr>HE_Var_name</vt:lpstr>
      <vt:lpstr>UK Education and training</vt:lpstr>
      <vt:lpstr>UK Education and training_name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DAVIES, Claire</dc:creator>
  <cp:keywords/>
  <dc:description/>
  <cp:lastModifiedBy>JAMES, Paul</cp:lastModifiedBy>
  <cp:revision/>
  <dcterms:created xsi:type="dcterms:W3CDTF">2023-03-29T15:15:05Z</dcterms:created>
  <dcterms:modified xsi:type="dcterms:W3CDTF">2023-07-11T13:59:36Z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0x01010061ED900E45533240984673D798A9AA08</vt:lpwstr>
  </property>
  <property fmtid="{D5CDD505-2E9C-101B-9397-08002B2CF9AE}" pid="3" name="MediaServiceImageTags">
    <vt:lpwstr/>
  </property>
</Properties>
</file>