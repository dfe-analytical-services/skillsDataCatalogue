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sharepoint.com/sites/UnitforFutureSkills/Shared Documents/Analysis team/Skills Data Catalogue and Mapping/"/>
    </mc:Choice>
  </mc:AlternateContent>
  <xr:revisionPtr revIDLastSave="13" documentId="8_{707C68E8-C3FC-491B-8966-B04B72888DD0}" xr6:coauthVersionLast="47" xr6:coauthVersionMax="47" xr10:uidLastSave="{E29E6A16-37E2-4B7E-9494-316206158826}"/>
  <bookViews>
    <workbookView xWindow="-110" yWindow="-110" windowWidth="22780" windowHeight="14660" xr2:uid="{FCFBB439-EB2F-4466-A1CC-375FF73C942A}"/>
  </bookViews>
  <sheets>
    <sheet name="List of publications" sheetId="3" r:id="rId1"/>
    <sheet name="All" sheetId="7" state="hidden" r:id="rId2"/>
    <sheet name="AllVar" sheetId="12" r:id="rId3"/>
    <sheet name="AllVarName" sheetId="13" r:id="rId4"/>
    <sheet name="FE" sheetId="2" r:id="rId5"/>
    <sheet name="FE_Var_name" sheetId="4" r:id="rId6"/>
    <sheet name="Destinations" sheetId="5" r:id="rId7"/>
    <sheet name="Dest_Var_Name" sheetId="6" r:id="rId8"/>
    <sheet name="HE" sheetId="8" r:id="rId9"/>
    <sheet name="HE_Var_name" sheetId="9" r:id="rId10"/>
    <sheet name="UK Education and training" sheetId="10" r:id="rId11"/>
    <sheet name="UK Education and training_name" sheetId="11" r:id="rId12"/>
  </sheets>
  <functionGroups builtInGroupCount="19"/>
  <externalReferences>
    <externalReference r:id="rId13"/>
    <externalReference r:id="rId14"/>
    <externalReference r:id="rId15"/>
    <externalReference r:id="rId16"/>
  </externalReferences>
  <definedNames>
    <definedName name="_xlnm._FilterDatabase" localSheetId="1" hidden="1">All!$A$2:$XR$2</definedName>
    <definedName name="_xlnm._FilterDatabase" localSheetId="2" hidden="1">AllVar!$A$2:$AEA$248</definedName>
    <definedName name="_xlnm._FilterDatabase" localSheetId="6" hidden="1">Destinations!$A$1:$JW$1</definedName>
    <definedName name="_xlnm._FilterDatabase" localSheetId="4" hidden="1">FE!$A$2:$HJ$2</definedName>
    <definedName name="_xlnm._FilterDatabase" localSheetId="0" hidden="1">'List of publications'!$A$6:$J$52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O207" i="12" l="1"/>
  <c r="ZO206" i="12"/>
  <c r="RH163" i="12"/>
  <c r="QG118" i="12"/>
  <c r="QG117" i="12"/>
  <c r="QG116" i="12"/>
  <c r="QG115" i="12"/>
  <c r="QG111" i="12"/>
  <c r="QG110" i="12"/>
  <c r="QG109" i="12"/>
  <c r="QG108" i="12"/>
  <c r="QG107" i="12"/>
  <c r="QG106" i="12"/>
  <c r="QG105" i="12"/>
  <c r="E84" i="2"/>
  <c r="F84" i="2"/>
  <c r="G84" i="2"/>
  <c r="H84" i="2"/>
  <c r="I84" i="2"/>
  <c r="J84" i="2"/>
  <c r="K84" i="2"/>
  <c r="L84" i="2"/>
  <c r="M84" i="2"/>
  <c r="N84" i="2"/>
  <c r="O84" i="2"/>
  <c r="P84" i="2"/>
  <c r="Q84" i="2"/>
  <c r="R84" i="2"/>
  <c r="S84" i="2"/>
  <c r="T84" i="2"/>
  <c r="U84" i="2"/>
  <c r="D84" i="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C4" i="12" a="1"/>
  <c r="C8" i="12" a="1"/>
  <c r="C12" i="12" a="1"/>
  <c r="C16" i="12" a="1"/>
  <c r="C20" i="12" a="1"/>
  <c r="C24" i="12" a="1"/>
  <c r="C28" i="12" a="1"/>
  <c r="C32" i="12" a="1"/>
  <c r="C36" i="12" a="1"/>
  <c r="C40" i="12" a="1"/>
  <c r="C44" i="12" a="1"/>
  <c r="C48" i="12" a="1"/>
  <c r="C52" i="12" a="1"/>
  <c r="C56" i="12" a="1"/>
  <c r="C60" i="12" a="1"/>
  <c r="C64" i="12" a="1"/>
  <c r="C68" i="12" a="1"/>
  <c r="C72" i="12" a="1"/>
  <c r="C76" i="12" a="1"/>
  <c r="C80" i="12" a="1"/>
  <c r="C84" i="12" a="1"/>
  <c r="C88" i="12" a="1"/>
  <c r="C92" i="12" a="1"/>
  <c r="C96" i="12" a="1"/>
  <c r="C100" i="12" a="1"/>
  <c r="C104" i="12" a="1"/>
  <c r="C108" i="12" a="1"/>
  <c r="C112" i="12" a="1"/>
  <c r="C116" i="12" a="1"/>
  <c r="C120" i="12" a="1"/>
  <c r="C124" i="12" a="1"/>
  <c r="C128" i="12" a="1"/>
  <c r="C132" i="12" a="1"/>
  <c r="C136" i="12" a="1"/>
  <c r="C140" i="12" a="1"/>
  <c r="C144" i="12" a="1"/>
  <c r="C148" i="12" a="1"/>
  <c r="C152" i="12" a="1"/>
  <c r="C156" i="12" a="1"/>
  <c r="C160" i="12" a="1"/>
  <c r="C164" i="12" a="1"/>
  <c r="C168" i="12" a="1"/>
  <c r="C172" i="12" a="1"/>
  <c r="C176" i="12" a="1"/>
  <c r="C184" i="12" a="1"/>
  <c r="C188" i="12" a="1"/>
  <c r="C192" i="12" a="1"/>
  <c r="C196" i="12" a="1"/>
  <c r="C200" i="12" a="1"/>
  <c r="C204" i="12" a="1"/>
  <c r="C208" i="12" a="1"/>
  <c r="C212" i="12" a="1"/>
  <c r="C216" i="12" a="1"/>
  <c r="C220" i="12" a="1"/>
  <c r="C224" i="12" a="1"/>
  <c r="C228" i="12" a="1"/>
  <c r="C232" i="12" a="1"/>
  <c r="C236" i="12" a="1"/>
  <c r="C244" i="12" a="1"/>
  <c r="C248" i="12" a="1"/>
  <c r="C185" i="12" a="1"/>
  <c r="C213" i="12" a="1"/>
  <c r="C225" i="12" a="1"/>
  <c r="C237" i="12" a="1"/>
  <c r="C117" i="12" a="1"/>
  <c r="C141" i="12" a="1"/>
  <c r="C149" i="12" a="1"/>
  <c r="C153" i="12" a="1"/>
  <c r="C161" i="12" a="1"/>
  <c r="C165" i="12" a="1"/>
  <c r="C169" i="12" a="1"/>
  <c r="C173" i="12" a="1"/>
  <c r="C181" i="12" a="1"/>
  <c r="C189" i="12" a="1"/>
  <c r="C197" i="12" a="1"/>
  <c r="C205" i="12" a="1"/>
  <c r="C209" i="12" a="1"/>
  <c r="C217" i="12" a="1"/>
  <c r="C233" i="12" a="1"/>
  <c r="C245" i="12" a="1"/>
  <c r="C5" i="12" a="1"/>
  <c r="C9" i="12" a="1"/>
  <c r="C13" i="12" a="1"/>
  <c r="C17" i="12" a="1"/>
  <c r="C21" i="12" a="1"/>
  <c r="C25" i="12" a="1"/>
  <c r="C29" i="12" a="1"/>
  <c r="C33" i="12" a="1"/>
  <c r="C37" i="12" a="1"/>
  <c r="C41" i="12" a="1"/>
  <c r="C45" i="12" a="1"/>
  <c r="C49" i="12" a="1"/>
  <c r="C53" i="12" a="1"/>
  <c r="C57" i="12" a="1"/>
  <c r="C61" i="12" a="1"/>
  <c r="C65" i="12" a="1"/>
  <c r="C69" i="12" a="1"/>
  <c r="C73" i="12" a="1"/>
  <c r="C77" i="12" a="1"/>
  <c r="C81" i="12" a="1"/>
  <c r="C85" i="12" a="1"/>
  <c r="C89" i="12" a="1"/>
  <c r="C93" i="12" a="1"/>
  <c r="C97" i="12" a="1"/>
  <c r="C101" i="12" a="1"/>
  <c r="C105" i="12" a="1"/>
  <c r="C109" i="12" a="1"/>
  <c r="C113" i="12" a="1"/>
  <c r="C121" i="12" a="1"/>
  <c r="C125" i="12" a="1"/>
  <c r="C129" i="12" a="1"/>
  <c r="C133" i="12" a="1"/>
  <c r="C137" i="12" a="1"/>
  <c r="C145" i="12" a="1"/>
  <c r="C157" i="12" a="1"/>
  <c r="C177" i="12" a="1"/>
  <c r="C201" i="12" a="1"/>
  <c r="C229" i="12" a="1"/>
  <c r="C174" i="12" a="1"/>
  <c r="C218" i="12" a="1"/>
  <c r="C230" i="12" a="1"/>
  <c r="C238" i="12" a="1"/>
  <c r="C246" i="12" a="1"/>
  <c r="C6" i="12" a="1"/>
  <c r="C10" i="12" a="1"/>
  <c r="C14" i="12" a="1"/>
  <c r="C18" i="12" a="1"/>
  <c r="C22" i="12" a="1"/>
  <c r="C26" i="12" a="1"/>
  <c r="C30" i="12" a="1"/>
  <c r="C34" i="12" a="1"/>
  <c r="C38" i="12" a="1"/>
  <c r="C42" i="12" a="1"/>
  <c r="C46" i="12" a="1"/>
  <c r="C50" i="12" a="1"/>
  <c r="C54" i="12" a="1"/>
  <c r="C58" i="12" a="1"/>
  <c r="C62" i="12" a="1"/>
  <c r="C66" i="12" a="1"/>
  <c r="C70" i="12" a="1"/>
  <c r="C74" i="12" a="1"/>
  <c r="C78" i="12" a="1"/>
  <c r="C82" i="12" a="1"/>
  <c r="C86" i="12" a="1"/>
  <c r="C90" i="12" a="1"/>
  <c r="C94" i="12" a="1"/>
  <c r="C98" i="12" a="1"/>
  <c r="C102" i="12" a="1"/>
  <c r="C106" i="12" a="1"/>
  <c r="C110" i="12" a="1"/>
  <c r="C114" i="12" a="1"/>
  <c r="C118" i="12" a="1"/>
  <c r="C122" i="12" a="1"/>
  <c r="C126" i="12" a="1"/>
  <c r="C130" i="12" a="1"/>
  <c r="C134" i="12" a="1"/>
  <c r="C138" i="12" a="1"/>
  <c r="C142" i="12" a="1"/>
  <c r="C146" i="12" a="1"/>
  <c r="C150" i="12" a="1"/>
  <c r="C154" i="12" a="1"/>
  <c r="C158" i="12" a="1"/>
  <c r="C162" i="12" a="1"/>
  <c r="C166" i="12" a="1"/>
  <c r="C170" i="12" a="1"/>
  <c r="C178" i="12" a="1"/>
  <c r="C182" i="12" a="1"/>
  <c r="C186" i="12" a="1"/>
  <c r="C190" i="12" a="1"/>
  <c r="C194" i="12" a="1"/>
  <c r="C198" i="12" a="1"/>
  <c r="C202" i="12" a="1"/>
  <c r="C206" i="12" a="1"/>
  <c r="C210" i="12" a="1"/>
  <c r="C214" i="12" a="1"/>
  <c r="C222" i="12" a="1"/>
  <c r="C226" i="12" a="1"/>
  <c r="C234" i="12" a="1"/>
  <c r="C242" i="12" a="1"/>
  <c r="C7" i="12" a="1"/>
  <c r="C11" i="12" a="1"/>
  <c r="C15" i="12" a="1"/>
  <c r="C19" i="12" a="1"/>
  <c r="C23" i="12" a="1"/>
  <c r="C27" i="12" a="1"/>
  <c r="C31" i="12" a="1"/>
  <c r="C35" i="12" a="1"/>
  <c r="C39" i="12" a="1"/>
  <c r="C43" i="12" a="1"/>
  <c r="C47" i="12" a="1"/>
  <c r="C51" i="12" a="1"/>
  <c r="C55" i="12" a="1"/>
  <c r="C59" i="12" a="1"/>
  <c r="C63" i="12" a="1"/>
  <c r="C67" i="12" a="1"/>
  <c r="C71" i="12" a="1"/>
  <c r="C75" i="12" a="1"/>
  <c r="C79" i="12" a="1"/>
  <c r="C83" i="12" a="1"/>
  <c r="C87" i="12" a="1"/>
  <c r="C91" i="12" a="1"/>
  <c r="C95" i="12" a="1"/>
  <c r="C99" i="12" a="1"/>
  <c r="C103" i="12" a="1"/>
  <c r="C107" i="12" a="1"/>
  <c r="C111" i="12" a="1"/>
  <c r="C115" i="12" a="1"/>
  <c r="C119" i="12" a="1"/>
  <c r="C123" i="12" a="1"/>
  <c r="C127" i="12" a="1"/>
  <c r="C131" i="12" a="1"/>
  <c r="C135" i="12" a="1"/>
  <c r="C139" i="12" a="1"/>
  <c r="C143" i="12" a="1"/>
  <c r="C147" i="12" a="1"/>
  <c r="C151" i="12" a="1"/>
  <c r="C155" i="12" a="1"/>
  <c r="C159" i="12" a="1"/>
  <c r="C163" i="12" a="1"/>
  <c r="C167" i="12" a="1"/>
  <c r="C171" i="12" a="1"/>
  <c r="C175" i="12" a="1"/>
  <c r="C179" i="12" a="1"/>
  <c r="C183" i="12" a="1"/>
  <c r="C187" i="12" a="1"/>
  <c r="C191" i="12" a="1"/>
  <c r="C195" i="12" a="1"/>
  <c r="C199" i="12" a="1"/>
  <c r="C203" i="12" a="1"/>
  <c r="C180" i="12" a="1"/>
  <c r="C240" i="12" a="1"/>
  <c r="C193" i="12" a="1"/>
  <c r="C221" i="12" a="1"/>
  <c r="C241" i="12" a="1"/>
  <c r="C231" i="12" a="1"/>
  <c r="C207" i="12" a="1"/>
  <c r="C235" i="12" a="1"/>
  <c r="C211" i="12" a="1"/>
  <c r="C239" i="12" a="1"/>
  <c r="C215" i="12" a="1"/>
  <c r="C243" i="12" a="1"/>
  <c r="C223" i="12" a="1"/>
  <c r="C227" i="12" a="1"/>
  <c r="C219" i="12" a="1"/>
  <c r="C247" i="12" a="1"/>
  <c r="C3" i="12" a="1"/>
  <c r="F13" i="3" a="1"/>
  <c r="F10" i="3" a="1"/>
  <c r="F26" i="3" a="1"/>
  <c r="F38" i="3" a="1"/>
  <c r="F9" i="3" a="1"/>
  <c r="F17" i="3" a="1"/>
  <c r="F21" i="3" a="1"/>
  <c r="F25" i="3" a="1"/>
  <c r="F29" i="3" a="1"/>
  <c r="F33" i="3" a="1"/>
  <c r="F37" i="3" a="1"/>
  <c r="F41" i="3" a="1"/>
  <c r="F45" i="3" a="1"/>
  <c r="F49" i="3" a="1"/>
  <c r="F14" i="3" a="1"/>
  <c r="F42" i="3" a="1"/>
  <c r="F11" i="3" a="1"/>
  <c r="F15" i="3" a="1"/>
  <c r="F19" i="3" a="1"/>
  <c r="F23" i="3" a="1"/>
  <c r="F27" i="3" a="1"/>
  <c r="F31" i="3" a="1"/>
  <c r="F35" i="3" a="1"/>
  <c r="F39" i="3" a="1"/>
  <c r="F43" i="3" a="1"/>
  <c r="F47" i="3" a="1"/>
  <c r="F51" i="3" a="1"/>
  <c r="F36" i="3" a="1"/>
  <c r="F18" i="3" a="1"/>
  <c r="F30" i="3" a="1"/>
  <c r="F46" i="3" a="1"/>
  <c r="F8" i="3" a="1"/>
  <c r="F12" i="3" a="1"/>
  <c r="F16" i="3" a="1"/>
  <c r="F20" i="3" a="1"/>
  <c r="F24" i="3" a="1"/>
  <c r="F28" i="3" a="1"/>
  <c r="F32" i="3" a="1"/>
  <c r="F40" i="3" a="1"/>
  <c r="F44" i="3" a="1"/>
  <c r="F48" i="3" a="1"/>
  <c r="F52" i="3" a="1"/>
  <c r="F22" i="3" a="1"/>
  <c r="F34" i="3" a="1"/>
  <c r="F50" i="3" a="1"/>
  <c r="F7" i="3" a="1"/>
  <c r="C247" i="12" l="1"/>
  <c r="C219" i="12"/>
  <c r="C227" i="12"/>
  <c r="C223" i="12"/>
  <c r="C243" i="12"/>
  <c r="C215" i="12"/>
  <c r="C239" i="12"/>
  <c r="C211" i="12"/>
  <c r="C235" i="12"/>
  <c r="C207" i="12"/>
  <c r="C231" i="12"/>
  <c r="C241" i="12"/>
  <c r="C221" i="12"/>
  <c r="C193" i="12"/>
  <c r="C240" i="12"/>
  <c r="C180" i="12"/>
  <c r="C203" i="12"/>
  <c r="C199" i="12"/>
  <c r="C195" i="12"/>
  <c r="C191" i="12"/>
  <c r="C187" i="12"/>
  <c r="C183" i="12"/>
  <c r="C179" i="12"/>
  <c r="C175"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2" i="12"/>
  <c r="C234" i="12"/>
  <c r="C226" i="12"/>
  <c r="C222" i="12"/>
  <c r="C214" i="12"/>
  <c r="C210" i="12"/>
  <c r="C206" i="12"/>
  <c r="C202" i="12"/>
  <c r="C198" i="12"/>
  <c r="C194" i="12"/>
  <c r="C190" i="12"/>
  <c r="C186" i="12"/>
  <c r="C182" i="12"/>
  <c r="C178" i="12"/>
  <c r="C170" i="12"/>
  <c r="C166" i="12"/>
  <c r="C162" i="12"/>
  <c r="C158" i="12"/>
  <c r="C154" i="12"/>
  <c r="C150" i="12"/>
  <c r="C146" i="12"/>
  <c r="C142" i="12"/>
  <c r="C138" i="12"/>
  <c r="C134" i="12"/>
  <c r="C130" i="12"/>
  <c r="C126" i="12"/>
  <c r="C122" i="12"/>
  <c r="C118"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8" i="12"/>
  <c r="C230" i="12"/>
  <c r="C218" i="12"/>
  <c r="C174" i="12"/>
  <c r="C229" i="12"/>
  <c r="C201" i="12"/>
  <c r="C177" i="12"/>
  <c r="C157" i="12"/>
  <c r="C145" i="12"/>
  <c r="C137" i="12"/>
  <c r="C133" i="12"/>
  <c r="C129" i="12"/>
  <c r="C125" i="12"/>
  <c r="C121"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245" i="12"/>
  <c r="C233" i="12"/>
  <c r="C217" i="12"/>
  <c r="C209" i="12"/>
  <c r="C205" i="12"/>
  <c r="C197" i="12"/>
  <c r="C189" i="12"/>
  <c r="C181" i="12"/>
  <c r="C173" i="12"/>
  <c r="C169" i="12"/>
  <c r="C165" i="12"/>
  <c r="C161" i="12"/>
  <c r="C153" i="12"/>
  <c r="C149" i="12"/>
  <c r="C141" i="12"/>
  <c r="C117" i="12"/>
  <c r="C237" i="12"/>
  <c r="C225" i="12"/>
  <c r="C213" i="12"/>
  <c r="C185" i="12"/>
  <c r="C248" i="12"/>
  <c r="C244" i="12"/>
  <c r="C236" i="12"/>
  <c r="C232" i="12"/>
  <c r="C228" i="12"/>
  <c r="C224" i="12"/>
  <c r="C220" i="12"/>
  <c r="C216" i="12"/>
  <c r="C212" i="12"/>
  <c r="C208" i="12"/>
  <c r="C204" i="12"/>
  <c r="C200" i="12"/>
  <c r="C196" i="12"/>
  <c r="C192" i="12"/>
  <c r="C188" i="12"/>
  <c r="C184"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4" i="12"/>
  <c r="C3" i="12"/>
  <c r="F50" i="3"/>
  <c r="F34" i="3"/>
  <c r="F22" i="3"/>
  <c r="F52" i="3"/>
  <c r="F48" i="3"/>
  <c r="F44" i="3"/>
  <c r="F40" i="3"/>
  <c r="F32" i="3"/>
  <c r="F28" i="3"/>
  <c r="F24" i="3"/>
  <c r="F20" i="3"/>
  <c r="F16" i="3"/>
  <c r="F12" i="3"/>
  <c r="F8" i="3"/>
  <c r="F46" i="3"/>
  <c r="F30" i="3"/>
  <c r="F18" i="3"/>
  <c r="F36" i="3"/>
  <c r="F51" i="3"/>
  <c r="F47" i="3"/>
  <c r="F43" i="3"/>
  <c r="F39" i="3"/>
  <c r="F35" i="3"/>
  <c r="F31" i="3"/>
  <c r="F27" i="3"/>
  <c r="F23" i="3"/>
  <c r="F19" i="3"/>
  <c r="F15" i="3"/>
  <c r="F11" i="3"/>
  <c r="F42" i="3"/>
  <c r="F14" i="3"/>
  <c r="F49" i="3"/>
  <c r="F45" i="3"/>
  <c r="F41" i="3"/>
  <c r="F37" i="3"/>
  <c r="F33" i="3"/>
  <c r="F29" i="3"/>
  <c r="F25" i="3"/>
  <c r="F21" i="3"/>
  <c r="F17" i="3"/>
  <c r="F9" i="3"/>
  <c r="F38" i="3"/>
  <c r="F26" i="3"/>
  <c r="F10" i="3"/>
  <c r="F13"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K2"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<sst xmlns="http://schemas.openxmlformats.org/spreadsheetml/2006/main" count="18597" uniqueCount="2165">
  <si>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</si>
  <si>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</si>
  <si>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</si>
  <si>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</si>
  <si>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</si>
  <si>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</si>
  <si>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</si>
  <si>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</si>
  <si>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</si>
  <si>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</si>
  <si>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</si>
  <si>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</si>
  <si>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</si>
  <si>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</si>
  <si>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</si>
  <si>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</si>
  <si>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</si>
  <si>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</si>
  <si>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</si>
  <si>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</si>
  <si>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</si>
  <si>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</si>
  <si>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</si>
  <si>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</si>
  <si>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</si>
  <si>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</si>
  <si>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</si>
  <si>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</si>
  <si>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</si>
  <si>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</si>
  <si>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</si>
  <si>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</si>
  <si>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</si>
  <si>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</si>
  <si>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r>
      <rPr>
        <sz val="12"/>
        <color theme="1"/>
        <rFont val="Arial"/>
        <family val="2"/>
      </rPr>
      <t xml:space="preserve">Nicholas Treece: </t>
    </r>
    <r>
      <rPr>
        <u/>
        <sz val="12"/>
        <color theme="1"/>
        <rFont val="Arial"/>
        <family val="2"/>
      </rPr>
      <t>Detailed destinations of 16 to 18 year olds in FE</t>
    </r>
  </si>
  <si>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</si>
  <si>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</si>
  <si>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</si>
  <si>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</si>
  <si>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</si>
  <si>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</si>
  <si>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</si>
  <si>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</si>
  <si>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</si>
  <si>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</si>
  <si>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</si>
  <si>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</si>
  <si>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</si>
  <si>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</si>
  <si>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</si>
  <si>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</si>
  <si>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</si>
  <si>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</si>
  <si>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</si>
  <si>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</si>
  <si>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</si>
  <si>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</si>
  <si>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</si>
  <si>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</si>
  <si>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</si>
  <si>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</si>
  <si>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</si>
  <si>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</si>
  <si>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</si>
  <si>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</si>
  <si>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</si>
  <si>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</si>
  <si>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</si>
  <si>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</si>
  <si>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</si>
  <si>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</si>
  <si>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</si>
  <si>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</si>
  <si>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</si>
  <si>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</si>
  <si>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</si>
  <si>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</si>
  <si>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</si>
  <si>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</si>
  <si>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</si>
  <si>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</si>
  <si>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</si>
  <si>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</si>
  <si>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</si>
  <si>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</si>
  <si>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</si>
  <si>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</si>
  <si>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</si>
  <si>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</si>
  <si>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</si>
  <si>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</si>
  <si>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</si>
  <si>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</si>
  <si>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</si>
  <si>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</si>
  <si>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</si>
  <si>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</si>
  <si>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</si>
  <si>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</si>
  <si>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</si>
  <si>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</si>
  <si>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</si>
  <si>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</si>
  <si>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</si>
  <si>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</si>
  <si>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</si>
  <si>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</si>
  <si>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</si>
  <si>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</si>
  <si>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</si>
  <si>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</si>
  <si>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</si>
  <si>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</si>
  <si>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</si>
  <si>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</si>
  <si>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</si>
  <si>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</si>
  <si>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</si>
  <si>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</si>
  <si>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</si>
  <si>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</si>
  <si>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</si>
  <si>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</si>
  <si>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</si>
  <si>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</si>
  <si>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</si>
  <si>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</si>
  <si>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</si>
  <si>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</si>
  <si>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</si>
  <si>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</si>
  <si>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</si>
  <si>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</si>
  <si>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</si>
  <si>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</si>
  <si>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</si>
  <si>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</si>
  <si>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</si>
  <si>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</si>
  <si>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</si>
  <si>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</si>
  <si>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</si>
  <si>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</si>
  <si>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</si>
  <si>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</si>
  <si>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</si>
  <si>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</si>
  <si>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</si>
  <si>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</si>
  <si>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</si>
  <si>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</si>
  <si>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</si>
  <si>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</si>
  <si>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</si>
  <si>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</si>
  <si>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</si>
  <si>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</si>
  <si>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</si>
  <si>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</si>
  <si>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</si>
  <si>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</si>
  <si>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</si>
  <si>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</si>
  <si>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</si>
  <si>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</si>
  <si>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</si>
  <si>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</si>
  <si>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</si>
  <si>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</si>
  <si>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</si>
  <si>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</si>
  <si>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</si>
  <si>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</si>
  <si>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</si>
  <si>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</si>
  <si>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</si>
  <si>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</si>
  <si>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</si>
  <si>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</si>
  <si>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</si>
  <si>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</si>
  <si>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</si>
  <si>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</si>
  <si>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</si>
  <si>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</si>
  <si>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</si>
  <si>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</si>
  <si>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</si>
  <si>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</si>
  <si>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</si>
  <si>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</si>
  <si>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</si>
  <si>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</si>
  <si>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</si>
  <si>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</si>
  <si>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</si>
  <si>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</si>
  <si>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</si>
  <si>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</si>
  <si>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</si>
  <si>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</si>
  <si>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</si>
  <si>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</si>
  <si>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</si>
  <si>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</si>
  <si>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</si>
  <si>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</si>
  <si>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</si>
  <si>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</si>
  <si>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</si>
  <si>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</si>
  <si>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</si>
  <si>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</si>
  <si>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</si>
  <si>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</si>
  <si>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</si>
  <si>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</si>
  <si>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</si>
  <si>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</si>
  <si>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</si>
  <si>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</si>
  <si>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</si>
  <si>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</si>
  <si>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</si>
  <si>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</si>
  <si>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</si>
  <si>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</si>
  <si>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</si>
  <si>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</si>
  <si>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</si>
  <si>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</si>
  <si>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</si>
  <si>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</si>
  <si>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</si>
  <si>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</si>
  <si>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</si>
  <si>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</si>
  <si>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</si>
  <si>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</si>
  <si>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</si>
  <si>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</si>
  <si>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</si>
  <si>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</si>
  <si>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</si>
  <si>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</si>
  <si>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</si>
  <si>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</si>
  <si>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</si>
  <si>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</si>
  <si>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</si>
  <si>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</si>
  <si>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</si>
  <si>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</si>
  <si>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</si>
  <si>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</si>
  <si>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</si>
  <si>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</si>
  <si>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</si>
  <si>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</si>
  <si>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</si>
  <si>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</si>
  <si>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</si>
  <si>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</si>
  <si>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</si>
  <si>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</si>
  <si>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</si>
  <si>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</si>
  <si>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</si>
  <si>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</si>
  <si>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</si>
  <si>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</si>
  <si>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</si>
  <si>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</si>
  <si>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</si>
  <si>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</si>
  <si>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</si>
  <si>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</si>
  <si>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</si>
  <si>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</si>
  <si>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</si>
  <si>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</si>
  <si>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</si>
  <si>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</si>
  <si>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</si>
  <si>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</si>
  <si>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</si>
  <si>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</si>
  <si>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</si>
  <si>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</si>
  <si>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</si>
  <si>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</si>
  <si>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</si>
  <si>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</si>
  <si>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</si>
  <si>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</si>
  <si>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</si>
  <si>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</si>
  <si>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</si>
  <si>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</si>
  <si>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</si>
  <si>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</si>
  <si>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</si>
  <si>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</si>
  <si>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</si>
  <si>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</si>
  <si>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</si>
  <si>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</si>
  <si>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</si>
  <si>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</si>
  <si>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</si>
  <si>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</si>
  <si>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</si>
  <si>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</si>
  <si>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</si>
  <si>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</si>
  <si>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</si>
  <si>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</si>
  <si>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</si>
  <si>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</si>
  <si>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</si>
  <si>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</si>
  <si>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</si>
  <si>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</si>
  <si>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</si>
  <si>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</si>
  <si>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</si>
  <si>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</si>
  <si>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</si>
  <si>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</si>
  <si>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</si>
  <si>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</si>
  <si>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</si>
  <si>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</si>
  <si>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</si>
  <si>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</si>
  <si>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</si>
  <si>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</si>
  <si>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</si>
  <si>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</si>
  <si>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</si>
  <si>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</si>
  <si>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</si>
  <si>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</si>
  <si>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</si>
  <si>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</si>
  <si>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</si>
  <si>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</si>
  <si>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</si>
  <si>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</si>
  <si>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</si>
  <si>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</si>
  <si>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</si>
  <si>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</si>
  <si>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</si>
  <si>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</si>
  <si>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</si>
  <si>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</si>
  <si>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</si>
  <si>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</si>
  <si>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</si>
  <si>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</si>
  <si>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</si>
  <si>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</si>
  <si>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</si>
  <si>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</si>
  <si>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</si>
  <si>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</si>
  <si>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</si>
  <si>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</si>
  <si>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</si>
  <si>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</si>
  <si>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</si>
  <si>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</si>
  <si>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</si>
  <si>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</si>
  <si>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</si>
  <si>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</si>
  <si>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</si>
  <si>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</si>
  <si>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</si>
  <si>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</si>
  <si>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</si>
  <si>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</si>
  <si>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</si>
  <si>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</si>
  <si>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</si>
  <si>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</si>
  <si>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</si>
  <si>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</si>
  <si>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</si>
  <si>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</si>
  <si>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</si>
  <si>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</si>
  <si>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</si>
  <si>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</si>
  <si>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</si>
  <si>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</si>
  <si>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</si>
  <si>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</si>
  <si>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</si>
  <si>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</si>
  <si>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</si>
  <si>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</si>
  <si>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</si>
  <si>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</si>
  <si>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</si>
  <si>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</si>
  <si>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</si>
  <si>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</si>
  <si>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</si>
  <si>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</si>
  <si>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</si>
  <si>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</si>
  <si>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</si>
  <si>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</si>
  <si>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</si>
  <si>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</si>
  <si>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</si>
  <si>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</si>
  <si>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</si>
  <si>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</si>
  <si>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</si>
  <si>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</si>
  <si>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</si>
  <si>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</si>
  <si>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</si>
  <si>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</si>
  <si>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</si>
  <si>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</si>
  <si>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</si>
  <si>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</si>
  <si>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</si>
  <si>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</si>
  <si>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</si>
  <si>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</si>
  <si>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</si>
  <si>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</si>
  <si>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</si>
  <si>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</si>
  <si>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</si>
  <si>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</si>
  <si>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</si>
  <si>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</si>
  <si>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</si>
  <si>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</si>
  <si>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</si>
  <si>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</si>
  <si>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</si>
  <si>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</si>
  <si>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</si>
  <si>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</si>
  <si>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</si>
  <si>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</si>
  <si>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</si>
  <si>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</si>
  <si>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</si>
  <si>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</si>
  <si>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</si>
  <si>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</si>
  <si>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</si>
  <si>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</si>
  <si>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</si>
  <si>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</si>
  <si>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</si>
  <si>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</si>
  <si>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</si>
  <si>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</si>
  <si>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</si>
  <si>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</si>
  <si>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</si>
  <si>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</si>
  <si>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</si>
  <si>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</si>
  <si>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</si>
  <si>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</si>
  <si>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</si>
  <si>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</si>
  <si>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</si>
  <si>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</si>
  <si>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</si>
  <si>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</si>
  <si>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</si>
  <si>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</si>
  <si>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</si>
  <si>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</si>
  <si>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</si>
  <si>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</si>
  <si>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</si>
  <si>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</si>
  <si>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</si>
  <si>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</si>
  <si>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</si>
  <si>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</si>
  <si>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</si>
  <si>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</si>
  <si>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</si>
  <si>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</si>
  <si>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</si>
  <si>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</si>
  <si>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</si>
  <si>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</si>
  <si>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</si>
  <si>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</si>
  <si>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</si>
  <si>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</si>
  <si>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</si>
  <si>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</si>
  <si>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</si>
  <si>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</si>
  <si>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</si>
  <si>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</si>
  <si>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</si>
  <si>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</si>
  <si>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</si>
  <si>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</si>
  <si>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</si>
  <si>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</si>
  <si>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</si>
  <si>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</si>
  <si>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</si>
  <si>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</si>
  <si>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</si>
  <si>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</si>
  <si>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</si>
  <si>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</si>
  <si>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</si>
  <si>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</si>
  <si>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</si>
  <si>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</si>
  <si>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</si>
  <si>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</si>
  <si>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</si>
  <si>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</si>
  <si>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</si>
  <si>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</si>
  <si>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</si>
  <si>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</si>
  <si>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</si>
  <si>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</si>
  <si>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</si>
  <si>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</si>
  <si>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</si>
  <si>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</si>
  <si>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</si>
  <si>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</si>
  <si>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</si>
  <si>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</si>
  <si>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</si>
  <si>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</si>
  <si>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</si>
  <si>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</si>
  <si>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</si>
  <si>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</si>
  <si>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</si>
  <si>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</si>
  <si>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</si>
  <si>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</si>
  <si>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</si>
  <si>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</si>
  <si>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</si>
  <si>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</si>
  <si>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</si>
  <si>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</si>
  <si>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</si>
  <si>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</si>
  <si>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</si>
  <si>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</si>
  <si>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</si>
  <si>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</si>
  <si>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</si>
  <si>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</si>
  <si>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</si>
  <si>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</si>
  <si>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</si>
  <si>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</si>
  <si>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</si>
  <si>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</si>
  <si>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</si>
  <si>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</si>
  <si>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</si>
  <si>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</si>
  <si>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</si>
  <si>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</si>
  <si>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</si>
  <si>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</si>
  <si>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</si>
  <si>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</si>
  <si>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</si>
  <si>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</si>
  <si>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</si>
  <si>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</si>
  <si>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</si>
  <si>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</si>
  <si>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</si>
  <si>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</si>
  <si>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</si>
  <si>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</si>
  <si>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</si>
  <si>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</si>
  <si>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</si>
  <si>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</si>
  <si>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</si>
  <si>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</si>
  <si>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</si>
  <si>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</si>
  <si>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</si>
  <si>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</si>
  <si>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</si>
  <si>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</si>
  <si>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</si>
  <si>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</si>
  <si>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</si>
  <si>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</si>
  <si>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</si>
  <si>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</si>
  <si>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</si>
  <si>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</si>
  <si>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</si>
  <si>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</si>
  <si>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</si>
  <si>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</si>
  <si>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</si>
  <si>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</si>
  <si>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</si>
  <si>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</si>
  <si>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</si>
  <si>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</si>
  <si>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</si>
  <si>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</si>
  <si>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</si>
  <si>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</si>
  <si>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</si>
  <si>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</si>
  <si>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</si>
  <si>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</si>
  <si>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</si>
  <si>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</si>
  <si>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</si>
  <si>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</si>
  <si>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</si>
  <si>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</si>
  <si>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</si>
  <si>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</si>
  <si>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</si>
  <si>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</si>
  <si>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</si>
  <si>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</si>
  <si>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</si>
  <si>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</si>
  <si>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</si>
  <si>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</si>
  <si>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</si>
  <si>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</si>
  <si>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</si>
  <si>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</si>
  <si>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</si>
  <si>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</si>
  <si>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</si>
  <si>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</si>
  <si>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</si>
  <si>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</si>
  <si>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</si>
  <si>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</si>
  <si>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</si>
  <si>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</si>
  <si>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</si>
  <si>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</si>
  <si>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</si>
  <si>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</si>
  <si>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</si>
  <si>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</si>
  <si>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</si>
  <si>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</si>
  <si>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</si>
  <si>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</si>
  <si>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</si>
  <si>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</si>
  <si>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</si>
  <si>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</si>
  <si>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</si>
  <si>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</si>
  <si>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</si>
  <si>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</si>
  <si>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</si>
  <si>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</si>
  <si>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</si>
  <si>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</si>
  <si>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</si>
  <si>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</si>
  <si>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</si>
  <si>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</si>
  <si>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</si>
  <si>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</si>
  <si>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</si>
  <si>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</si>
  <si>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</si>
  <si>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</si>
  <si>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</si>
  <si>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</si>
  <si>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</si>
  <si>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</si>
  <si>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</si>
  <si>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</si>
  <si>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</si>
  <si>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</si>
  <si>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</si>
  <si>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</si>
  <si>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</si>
  <si>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</si>
  <si>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</si>
  <si>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</si>
  <si>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</si>
  <si>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</si>
  <si>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</si>
  <si>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</si>
  <si>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</si>
  <si>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</si>
  <si>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</si>
  <si>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</si>
  <si>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</si>
  <si>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</si>
  <si>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</si>
  <si>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</si>
  <si>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</si>
  <si>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</si>
  <si>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</si>
  <si>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</si>
  <si>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</si>
  <si>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</si>
  <si>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</si>
  <si>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</si>
  <si>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</si>
  <si>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</si>
  <si>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</si>
  <si>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</si>
  <si>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</si>
  <si>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</si>
  <si>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</si>
  <si>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</si>
  <si>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</si>
  <si>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</si>
  <si>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</si>
  <si>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</si>
  <si>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</si>
  <si>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</si>
  <si>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</si>
  <si>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</si>
  <si>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</si>
  <si>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</si>
  <si>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</si>
  <si>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</si>
  <si>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</si>
  <si>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</si>
  <si>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</si>
  <si>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</si>
  <si>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</si>
  <si>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</si>
  <si>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</si>
  <si>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</si>
  <si>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</si>
  <si>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</si>
  <si>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</si>
  <si>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</si>
  <si>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</si>
  <si>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</si>
  <si>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</si>
  <si>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</si>
  <si>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</si>
  <si>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</si>
  <si>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</si>
  <si>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</si>
  <si>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</si>
  <si>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</si>
  <si>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</si>
  <si>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</si>
  <si>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</si>
  <si>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</si>
  <si>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</si>
  <si>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</si>
  <si>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</si>
  <si>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</si>
  <si>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</si>
  <si>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</si>
  <si>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</si>
  <si>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</si>
  <si>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</si>
  <si>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</si>
  <si>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</si>
  <si>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</si>
  <si>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</si>
  <si>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</si>
  <si>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</si>
  <si>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</si>
  <si>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</si>
  <si>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</si>
  <si>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</si>
  <si>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</si>
  <si>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</si>
  <si>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</si>
  <si>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</si>
  <si>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</si>
  <si>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</si>
  <si>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</si>
  <si>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</si>
  <si>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</si>
  <si>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</si>
  <si>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</si>
  <si>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</si>
  <si>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</si>
  <si>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</si>
  <si>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</si>
  <si>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</si>
  <si>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</si>
  <si>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</si>
  <si>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</si>
  <si>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</si>
  <si>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</si>
  <si>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</si>
  <si>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</si>
  <si>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</si>
  <si>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</si>
  <si>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</si>
  <si>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</si>
  <si>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</si>
  <si>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</si>
  <si>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</si>
  <si>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</si>
  <si>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</si>
  <si>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</si>
  <si>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</si>
  <si>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</si>
  <si>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</si>
  <si>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</si>
  <si>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</si>
  <si>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</si>
  <si>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</si>
  <si>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</si>
  <si>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</si>
  <si>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</si>
  <si>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</si>
  <si>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</si>
  <si>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</si>
  <si>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</si>
  <si>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</si>
  <si>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</si>
  <si>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</si>
  <si>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</si>
  <si>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</si>
  <si>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</si>
  <si>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</si>
  <si>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</si>
  <si>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</si>
  <si>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</si>
  <si>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</si>
  <si>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</si>
  <si>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</si>
  <si>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</si>
  <si>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</si>
  <si>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</si>
  <si>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</si>
  <si>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</si>
  <si>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</si>
  <si>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</si>
  <si>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</si>
  <si>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</si>
  <si>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</si>
  <si>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</si>
  <si>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</si>
  <si>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</si>
  <si>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</si>
  <si>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</si>
  <si>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</si>
  <si>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</si>
  <si>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</si>
  <si>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</si>
  <si>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</si>
  <si>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</si>
  <si>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</si>
  <si>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</si>
  <si>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</si>
  <si>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</si>
  <si>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</si>
  <si>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</si>
  <si>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</si>
  <si>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</si>
  <si>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</si>
  <si>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</si>
  <si>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</si>
  <si>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</si>
  <si>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</si>
  <si>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</si>
  <si>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</si>
  <si>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</si>
  <si>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</si>
  <si>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</si>
  <si>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</si>
  <si>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</si>
  <si>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</si>
  <si>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</si>
  <si>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</si>
  <si>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</si>
  <si>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</si>
  <si>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</si>
  <si>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</si>
  <si>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</si>
  <si>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</si>
  <si>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</si>
  <si>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</si>
  <si>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</si>
  <si>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</si>
  <si>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</si>
  <si>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</si>
  <si>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</si>
  <si>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</si>
  <si>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</si>
  <si>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</si>
  <si>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</si>
  <si>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</si>
  <si>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</si>
  <si>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</si>
  <si>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</si>
  <si>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</si>
  <si>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</si>
  <si>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</si>
  <si>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</si>
  <si>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</si>
  <si>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</si>
  <si>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</si>
  <si>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</si>
  <si>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</si>
  <si>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</si>
  <si>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</si>
  <si>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</si>
  <si>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</si>
  <si>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</si>
  <si>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</si>
  <si>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</si>
  <si>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</si>
  <si>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</si>
  <si>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</si>
  <si>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</si>
  <si>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</si>
  <si>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</si>
  <si>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</si>
  <si>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</si>
  <si>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</si>
  <si>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</si>
  <si>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</si>
  <si>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</si>
  <si>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</si>
  <si>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</si>
  <si>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</si>
  <si>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</si>
  <si>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</si>
  <si>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</si>
  <si>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</si>
  <si>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</si>
  <si>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</si>
  <si>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</si>
  <si>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</si>
  <si>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</si>
  <si>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</si>
  <si>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</si>
  <si>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</si>
  <si>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</si>
  <si>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</si>
  <si>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</si>
  <si>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</si>
  <si>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</si>
  <si>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</si>
  <si>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</si>
  <si>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</si>
  <si>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</si>
  <si>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</si>
  <si>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</si>
  <si>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</si>
  <si>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</si>
  <si>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</si>
  <si>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</si>
  <si>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</si>
  <si>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</si>
  <si>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</si>
  <si>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</si>
  <si>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</si>
  <si>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</si>
  <si>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</si>
  <si>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</si>
  <si>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</si>
  <si>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</si>
  <si>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</si>
  <si>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</si>
  <si>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</si>
  <si>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</si>
  <si>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</si>
  <si>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</si>
  <si>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</si>
  <si>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</si>
  <si>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</si>
  <si>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</si>
  <si>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</si>
  <si>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</si>
  <si>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</si>
  <si>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</si>
  <si>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</si>
  <si>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</si>
  <si>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</si>
  <si>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</si>
  <si>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</si>
  <si>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</si>
  <si>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</si>
  <si>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</si>
  <si>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</si>
  <si>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</si>
  <si>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</si>
  <si>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</si>
  <si>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</si>
  <si>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</si>
  <si>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</si>
  <si>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</si>
  <si>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</si>
  <si>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</si>
  <si>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</si>
  <si>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</si>
  <si>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</si>
  <si>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</si>
  <si>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</si>
  <si>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</si>
  <si>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</si>
  <si>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</si>
  <si>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</si>
  <si>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</si>
  <si>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</si>
  <si>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</si>
  <si>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</si>
  <si>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</si>
  <si>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</si>
  <si>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</si>
  <si>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</si>
  <si>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</si>
  <si>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</si>
  <si>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</si>
  <si>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</si>
  <si>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</si>
  <si>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</si>
  <si>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</si>
  <si>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</si>
  <si>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</si>
  <si>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</si>
  <si>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</si>
  <si>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</si>
  <si>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</si>
  <si>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</si>
  <si>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</si>
  <si>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</si>
  <si>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</si>
  <si>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</si>
  <si>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</si>
  <si>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</si>
  <si>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</si>
  <si>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</si>
  <si>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</si>
  <si>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</si>
  <si>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</si>
  <si>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</si>
  <si>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</si>
  <si>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</si>
  <si>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</si>
  <si>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</si>
  <si>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</si>
  <si>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</si>
  <si>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</si>
  <si>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</si>
  <si>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</si>
  <si>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</si>
  <si>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</si>
  <si>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</si>
  <si>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</si>
  <si>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</si>
  <si>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</si>
  <si>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</si>
  <si>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</si>
  <si>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</si>
  <si>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</si>
  <si>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</si>
  <si>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</si>
  <si>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</si>
  <si>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</si>
  <si>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</si>
  <si>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</si>
  <si>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</si>
  <si>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</si>
  <si>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</si>
  <si>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</si>
  <si>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</si>
  <si>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</si>
  <si>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</si>
  <si>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</si>
  <si>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</si>
  <si>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</si>
  <si>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</si>
  <si>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</si>
  <si>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</si>
  <si>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</si>
  <si>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</si>
  <si>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</si>
  <si>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</si>
  <si>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</si>
  <si>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</si>
  <si>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</si>
  <si>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</si>
  <si>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</si>
  <si>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</si>
  <si>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</si>
  <si>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</si>
  <si>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</si>
  <si>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</si>
  <si>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</si>
  <si>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</si>
  <si>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</si>
  <si>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</si>
  <si>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</si>
  <si>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</si>
  <si>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</si>
  <si>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</si>
  <si>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</si>
  <si>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</si>
  <si>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</si>
  <si>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</si>
  <si>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</si>
  <si>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</si>
  <si>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</si>
  <si>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</si>
  <si>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</si>
  <si>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</si>
  <si>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</si>
  <si>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</si>
  <si>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</si>
  <si>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</si>
  <si>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</si>
  <si>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</si>
  <si>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</si>
  <si>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</si>
  <si>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</si>
  <si>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</si>
  <si>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</si>
  <si>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</si>
  <si>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</si>
  <si>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</si>
  <si>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</si>
  <si>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</si>
  <si>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</si>
  <si>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</si>
  <si>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</si>
  <si>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</si>
  <si>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</si>
  <si>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</si>
  <si>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</si>
  <si>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</si>
  <si>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</si>
  <si>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</si>
  <si>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</si>
  <si>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</si>
  <si>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</si>
  <si>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</si>
  <si>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</si>
  <si>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</si>
  <si>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</si>
  <si>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</si>
  <si>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</si>
  <si>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</si>
  <si>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</si>
  <si>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</si>
  <si>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</si>
  <si>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</si>
  <si>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</si>
  <si>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</si>
  <si>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</si>
  <si>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</si>
  <si>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</si>
  <si>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</si>
  <si>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</si>
  <si>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</si>
  <si>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</si>
  <si>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</si>
  <si>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</si>
  <si>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</si>
  <si>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</si>
  <si>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</si>
  <si>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</si>
  <si>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</si>
  <si>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</si>
  <si>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</si>
  <si>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</si>
  <si>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</si>
  <si>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</si>
  <si>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</si>
  <si>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</si>
  <si>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</si>
  <si>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</si>
  <si>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</si>
  <si>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</si>
  <si>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</si>
  <si>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</si>
  <si>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</si>
  <si>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</si>
  <si>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</si>
  <si>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</si>
  <si>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</si>
  <si>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</si>
  <si>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</si>
  <si>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</si>
  <si>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</si>
  <si>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</si>
  <si>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</si>
  <si>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</si>
  <si>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</si>
  <si>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</si>
  <si>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</si>
  <si>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</si>
  <si>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</si>
  <si>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</si>
  <si>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</si>
  <si>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</si>
  <si>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</si>
  <si>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</si>
  <si>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</si>
  <si>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</si>
  <si>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</si>
  <si>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</si>
  <si>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</si>
  <si>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</si>
  <si>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</si>
  <si>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</si>
  <si>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</si>
  <si>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</si>
  <si>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</si>
  <si>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</si>
  <si>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</si>
  <si>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</si>
  <si>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</si>
  <si>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</si>
  <si>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</si>
  <si>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</si>
  <si>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</si>
  <si>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</si>
  <si>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</si>
  <si>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</si>
  <si>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</si>
  <si>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</si>
  <si>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</si>
  <si>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</si>
  <si>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</si>
  <si>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</si>
  <si>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</si>
  <si>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</si>
  <si>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</si>
  <si>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</si>
  <si>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</si>
  <si>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</si>
  <si>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</si>
  <si>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</si>
  <si>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</si>
  <si>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</si>
  <si>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</si>
  <si>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</si>
  <si>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</si>
  <si>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</si>
  <si>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</si>
  <si>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</si>
  <si>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</si>
  <si>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</si>
  <si>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</si>
  <si>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</si>
  <si>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</si>
  <si>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</si>
  <si>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</si>
  <si>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</si>
  <si>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</si>
  <si>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</si>
  <si>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</si>
  <si>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</si>
  <si>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</si>
  <si>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</si>
  <si>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</si>
  <si>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</si>
  <si>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</si>
  <si>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</si>
  <si>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</si>
  <si>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</si>
  <si>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</si>
  <si>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</si>
  <si>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</si>
  <si>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</si>
  <si>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</si>
  <si>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</si>
  <si>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</si>
  <si>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</si>
  <si>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</si>
  <si>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</si>
  <si>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</si>
  <si>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</si>
  <si>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</si>
  <si>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</si>
  <si>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</si>
  <si>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</si>
  <si>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</si>
  <si>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</si>
  <si>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</si>
  <si>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</si>
  <si>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</si>
  <si>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</si>
  <si>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</si>
  <si>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</si>
  <si>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</si>
  <si>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</si>
  <si>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</si>
  <si>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</si>
  <si>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</si>
  <si>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</si>
  <si>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</si>
  <si>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</si>
  <si>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</si>
  <si>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</si>
  <si>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</si>
  <si>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</si>
  <si>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</si>
  <si>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</si>
  <si>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</si>
  <si>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</si>
  <si>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</si>
  <si>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</si>
  <si>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</si>
  <si>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</si>
  <si>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</si>
  <si>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</si>
  <si>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</si>
  <si>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</si>
  <si>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</si>
  <si>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</si>
  <si>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</si>
  <si>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</si>
  <si>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</si>
  <si>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</si>
  <si>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</si>
  <si>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</si>
  <si>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</si>
  <si>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</si>
  <si>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</si>
  <si>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</si>
  <si>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</si>
  <si>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</si>
  <si>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</si>
  <si>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</si>
  <si>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</si>
  <si>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</si>
  <si>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</si>
  <si>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</si>
  <si>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</si>
  <si>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</si>
  <si>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</si>
  <si>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</si>
  <si>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</si>
  <si>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</si>
  <si>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</si>
  <si>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</si>
  <si>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</si>
  <si>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</si>
  <si>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</si>
  <si>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</si>
  <si>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</si>
  <si>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</si>
  <si>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</si>
  <si>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</si>
  <si>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</si>
  <si>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</si>
  <si>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</si>
  <si>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</si>
  <si>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</si>
  <si>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</si>
  <si>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</si>
  <si>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</si>
  <si>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</si>
  <si>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</si>
  <si>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</si>
  <si>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</si>
  <si>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</si>
  <si>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</si>
  <si>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</si>
  <si>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</si>
  <si>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</si>
  <si>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</si>
  <si>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</si>
  <si>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</si>
  <si>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</si>
  <si>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</si>
  <si>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</si>
  <si>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</si>
  <si>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</si>
  <si>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</si>
  <si>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</si>
  <si>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</si>
  <si>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</si>
  <si>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</si>
  <si>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</si>
  <si>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</si>
  <si>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</si>
  <si>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</si>
  <si>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</si>
  <si>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</si>
  <si>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</si>
  <si>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</si>
  <si>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</si>
  <si>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</si>
  <si>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</si>
  <si>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</si>
  <si>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</si>
  <si>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</si>
  <si>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</si>
  <si>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</si>
  <si>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</si>
  <si>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</si>
  <si>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</si>
  <si>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</si>
  <si>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</si>
  <si>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</si>
  <si>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</si>
  <si>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</si>
  <si>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</si>
  <si>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</si>
  <si>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</si>
  <si>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</si>
  <si>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</si>
  <si>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</si>
  <si>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</si>
  <si>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</si>
  <si>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</si>
  <si>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</si>
  <si>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</si>
  <si>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</si>
  <si>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</si>
  <si>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</si>
  <si>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</si>
  <si>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</si>
  <si>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</si>
  <si>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</si>
  <si>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</si>
  <si>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</si>
  <si>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</si>
  <si>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</si>
  <si>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</si>
  <si>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</si>
  <si>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</si>
  <si>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</si>
  <si>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</si>
  <si>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</si>
  <si>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</si>
  <si>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</si>
  <si>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</si>
  <si>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</si>
  <si>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</si>
  <si>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</si>
  <si>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</si>
  <si>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</si>
  <si>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</si>
  <si>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</si>
  <si>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</si>
  <si>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</si>
  <si>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</si>
  <si>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</si>
  <si>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</si>
  <si>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</si>
  <si>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</si>
  <si>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</si>
  <si>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</si>
  <si>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</si>
  <si>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</si>
  <si>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</si>
  <si>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</si>
  <si>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</si>
  <si>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</si>
  <si>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</si>
  <si>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</si>
  <si>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</si>
  <si>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</si>
  <si>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</si>
  <si>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</si>
  <si>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</si>
  <si>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</si>
  <si>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</si>
  <si>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</si>
  <si>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</si>
  <si>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</si>
  <si>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</si>
  <si>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</si>
  <si>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</si>
  <si>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</si>
  <si>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</si>
  <si>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</si>
  <si>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</si>
  <si>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</si>
  <si>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</si>
  <si>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</si>
  <si>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</si>
  <si>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</si>
  <si>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</si>
  <si>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</si>
  <si>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</si>
  <si>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</si>
  <si>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</si>
  <si>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</si>
  <si>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</si>
  <si>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</si>
  <si>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</si>
  <si>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</si>
  <si>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</si>
  <si>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</si>
  <si>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</si>
  <si>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</si>
  <si>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</si>
  <si>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</si>
  <si>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</si>
  <si>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</si>
  <si>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</si>
  <si>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</si>
  <si>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</si>
  <si>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</si>
  <si>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</si>
  <si>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</si>
  <si>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</si>
  <si>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</si>
  <si>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</si>
  <si>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</si>
  <si>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</si>
  <si>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</si>
  <si>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</si>
  <si>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</si>
  <si>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</si>
  <si>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</si>
  <si>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</si>
  <si>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</si>
  <si>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</si>
  <si>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</si>
  <si>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</si>
  <si>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</si>
  <si>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</si>
  <si>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</si>
  <si>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</si>
  <si>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</si>
  <si>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</si>
  <si>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</si>
  <si>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</si>
  <si>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</si>
  <si>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</si>
  <si>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</si>
  <si>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</si>
  <si>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</si>
  <si>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</si>
  <si>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</si>
  <si>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</si>
  <si>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</si>
  <si>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</si>
  <si>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</si>
  <si>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</si>
  <si>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</si>
  <si>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</si>
  <si>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</si>
  <si>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</si>
  <si>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</si>
  <si>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</si>
  <si>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</si>
  <si>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</si>
  <si>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</si>
  <si>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</si>
  <si>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</si>
  <si>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</si>
  <si>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</si>
  <si>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</si>
  <si>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</si>
  <si>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</si>
  <si>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       |  Activity not captured</t>
  </si>
  <si>
    <t xml:space="preserve">            |  Sustained employment destination</t>
  </si>
  <si>
    <t xml:space="preserve">annual_change </t>
  </si>
  <si>
    <t xml:space="preserve">                        |  annual change in proportion in education and training</t>
  </si>
  <si>
    <t xml:space="preserve">       |  Annual change in percent participating</t>
  </si>
  <si>
    <t xml:space="preserve">annual_change_apprenticeship </t>
  </si>
  <si>
    <t xml:space="preserve">                          |  Annual change in the percentage of the cohort on an apprenticeship</t>
  </si>
  <si>
    <t>annual_change_FTE</t>
  </si>
  <si>
    <t xml:space="preserve">                                      |  Annual change in the percentage of the cohort in full-time education</t>
  </si>
  <si>
    <t xml:space="preserve">  |  Annual change in NEET/not known rate</t>
  </si>
  <si>
    <t>annual_change_other_education_training</t>
  </si>
  <si>
    <t xml:space="preserve">                 |  Annual change in the percentage of the cohort in other education and training</t>
  </si>
  <si>
    <t>annual_change_Participation_in_education_training</t>
  </si>
  <si>
    <t xml:space="preserve">      |  Annual change in the percentage of the cohort participation in education and training</t>
  </si>
  <si>
    <t>annual_change_ppts_NEET_not_known</t>
  </si>
  <si>
    <t xml:space="preserve">                      |  Annual change in the percentage of the cohort who are NEET or not known</t>
  </si>
  <si>
    <t xml:space="preserve">annualchange_NEET </t>
  </si>
  <si>
    <t xml:space="preserve">                                     |  Annual change in the percentage of the cohort who are NEET</t>
  </si>
  <si>
    <t>annualchange_notknown</t>
  </si>
  <si>
    <t xml:space="preserve">                                  |  Annual change in the percentage of the cohort with activity not known</t>
  </si>
  <si>
    <t xml:space="preserve">AnyLearnPercent  </t>
  </si>
  <si>
    <t xml:space="preserve">                 |  Any learning rate</t>
  </si>
  <si>
    <t>AppAdvancedPercentPA</t>
  </si>
  <si>
    <t xml:space="preserve">                |  Advanced apprenticeship (Level 3)</t>
  </si>
  <si>
    <t xml:space="preserve">      |  Advanced apprenticeship (Level 3 or above)</t>
  </si>
  <si>
    <t xml:space="preserve">AppHigherPercentPA </t>
  </si>
  <si>
    <t xml:space="preserve">                 |  Higher apprenticeship (Level 4/5)</t>
  </si>
  <si>
    <t xml:space="preserve">      |  Intermediate apprenticeship (Level 2)</t>
  </si>
  <si>
    <t>AppIntermediatePercentPA</t>
  </si>
  <si>
    <t xml:space="preserve">            |  Intermediate apprenticeship (Level 2)</t>
  </si>
  <si>
    <t xml:space="preserve">              |  Intermediate apprenticeships (level 2)</t>
  </si>
  <si>
    <t xml:space="preserve">               |  Advanced apprenticeships (level 3)</t>
  </si>
  <si>
    <t xml:space="preserve">               |  Higher and degree apprenticeships (level 4 and above)</t>
  </si>
  <si>
    <t>AppPercent                  |  Sustained apprenticeship rate</t>
  </si>
  <si>
    <t>appren             |  Sustained apprenticeships</t>
  </si>
  <si>
    <t>Apprenticeship_percent                                 |  Percentage of the cohort on an apprenticeship</t>
  </si>
  <si>
    <t>appru             |  Alternative provision</t>
  </si>
  <si>
    <t>AppType                     |  Apprenticeship type - Filter by apprenticeship type</t>
  </si>
  <si>
    <t>avg_att8                                               |  Average attainment 8 score per pupil</t>
  </si>
  <si>
    <t>avgcohort             |  Cohort number</t>
  </si>
  <si>
    <t>avgNEET               |  Number NEET</t>
  </si>
  <si>
    <t>avgNEETNK             |  Number NEET/activity not known</t>
  </si>
  <si>
    <t>avgNK                 |  Number activity not known</t>
  </si>
  <si>
    <t>BAME                        |  EthnicMinority - Filter by ethnic minorities</t>
  </si>
  <si>
    <t>BelowL2Percent              |  Below Level 2 (excluding English &amp; Maths)</t>
  </si>
  <si>
    <t>BelowL2PercentPA                    |  Below Level 2 (excluding English &amp; Maths)</t>
  </si>
  <si>
    <t>BenefitLearner                      |  Benefit learner - Filter by benefit learner status</t>
  </si>
  <si>
    <t>BenefitPercent              |  In receipt of benefits only</t>
  </si>
  <si>
    <t>category              |  Activity</t>
  </si>
  <si>
    <t>Characteristic        |  Characteristic - filter by characteristic</t>
  </si>
  <si>
    <t>characteristic     |  Student characteristic</t>
  </si>
  <si>
    <t>cohort                                |  Cohort number</t>
  </si>
  <si>
    <t>cohort             |  Number of pupils completing key stage 4</t>
  </si>
  <si>
    <t>cohort            |  Number of pupils completing 16-18 study</t>
  </si>
  <si>
    <t>Cohort_DJFavg                                          |  Total cohort (average of Dec/Jan/Feb)</t>
  </si>
  <si>
    <t>cohort_EHCP_percent                                    |  Percentage of the cohort with an EHCP</t>
  </si>
  <si>
    <t>cohort_level      |  Qualification levels</t>
  </si>
  <si>
    <t>cohort_level_group  |  Qualification level</t>
  </si>
  <si>
    <t>cohort_March                                           |  Total cohort (March)</t>
  </si>
  <si>
    <t>cohort_noSEN_percent                                   |  Percentage of the cohort with no SEN</t>
  </si>
  <si>
    <t>cohort_SENDsupport_percent                             |  Percentage of the cohort who have SEND support</t>
  </si>
  <si>
    <t>conf_interval_number                 |  Confidence interval (95%) for the number of 16-24 year olds</t>
  </si>
  <si>
    <t>conf_interval_percent_of_population  |  Confidence interval (95%) for the percentage of 16-24 year olds</t>
  </si>
  <si>
    <t>conf_interval_plus_minus_ILO_unemployed_more_6months                           |  Confidence interval (95%) for the number NEET unemployed for more than 6 months</t>
  </si>
  <si>
    <t>conf_interval_plus_minus_inactive_does_not_want_a_job                          |  Confidence interval (95%) for the number NEET inactive and does not want a job</t>
  </si>
  <si>
    <t>conf_interval_plus_minus_inactive_wants_a_job                                  |  Confidence interval (95%) for the number NEET inactive and want a job</t>
  </si>
  <si>
    <t>conf_interval_plus_minus_NEET                                                  |  Confidence interval (95%) for the number of NEET</t>
  </si>
  <si>
    <t>conf_interval_plus_minus_NET                                                   |  Confidence interval (95%) for the number NET</t>
  </si>
  <si>
    <t>conf_interval_plus_minus_reason_inactive_long-term_or_temporary_sick           |  Confidence interval (95%) for the number NEET with reason inactive as long-term or temporary sick</t>
  </si>
  <si>
    <t>conf_interval_plus_minus_reason_inactive_looking_after_family_or_home          |  Confidence interval (95%) for the number NEET with reason inactive as looking after family/home</t>
  </si>
  <si>
    <t>conf_interval_plus_minus_reason_inactive_other                                 |  Confidence interval (95%) for the number NEET with reason inactive as other</t>
  </si>
  <si>
    <t>data_type           |  Data type</t>
  </si>
  <si>
    <t>destination_year   |  Destination year</t>
  </si>
  <si>
    <t>edu_combo         |  Sustained education combination destination</t>
  </si>
  <si>
    <t>education           |  Sustained education destination</t>
  </si>
  <si>
    <t>EmpAndLearnPercent                |  Sustained employment and learning</t>
  </si>
  <si>
    <t>employment_rate_NET                                                            |  Employment rate of the NET group</t>
  </si>
  <si>
    <t>EmpOnlyPercent                    |  Sustained employment only rate</t>
  </si>
  <si>
    <t>EmpPercent                        |  Sustained employment rate</t>
  </si>
  <si>
    <t>EngMathPercent              |  English &amp; Maths</t>
  </si>
  <si>
    <t>EngMathPercentPA                    |  English &amp; Maths</t>
  </si>
  <si>
    <t>Ethnicity                   |  Ethnicity group - Filter by ethnicity group</t>
  </si>
  <si>
    <t>EthnicityDetailed                 |  Ethnicity - Filter by ethnicity</t>
  </si>
  <si>
    <t>fe                 |  Further education</t>
  </si>
  <si>
    <t>fel1                |  FE entry level and no identified level</t>
  </si>
  <si>
    <t>fel10no            |  Entry level or level 1 (e.g. Entry Level Certificate, Entry Level Diploma, Level 1 Certificate, Level 1 Diploma)</t>
  </si>
  <si>
    <t>fel2               |  Level 2 (e.g. GCSE 9 - 4/ A* - C, Level 2 National Certificate, Level 2 National Diploma)</t>
  </si>
  <si>
    <t>fel2              |  FE Level 2</t>
  </si>
  <si>
    <t>fel2              |  Level 2 (e.g. GCSE 9 - 4/ A* - C, Level 2 National Certificate, Level 2 National Diploma)</t>
  </si>
  <si>
    <t>fel3               |  Level 3 (e.g. A level, Level 3 National Certificate, Level 3 National Diploma)</t>
  </si>
  <si>
    <t>fel3              |  FE Level 3</t>
  </si>
  <si>
    <t>fel3              |  Level 3 (e.g. A level, Level 3 National Certificate, Level 3 National Diploma)</t>
  </si>
  <si>
    <t>FEPercent                         |  Sustained  further education rate</t>
  </si>
  <si>
    <t>FEPercentPA                         |  Sustained  further education rate</t>
  </si>
  <si>
    <t>FirstTimeAtLevelPercent             |  Percent of matched learners achieving at this level for the first time</t>
  </si>
  <si>
    <t>FSM                                 |  Free school meals - Filter by free school meals status</t>
  </si>
  <si>
    <t>Full_time_education_percent                            |  Percentage of the cohort in full-time education</t>
  </si>
  <si>
    <t>FullLevel2Percent                 |  Full Level 2</t>
  </si>
  <si>
    <t>FullLevel2PercentPA                 |  Full Level 2</t>
  </si>
  <si>
    <t>FullLevel3Percent                 |  Full Level 3</t>
  </si>
  <si>
    <t>FullLevel3PercentPA                 |  Full Level 3</t>
  </si>
  <si>
    <t>Gender                      |  Gender - Filter by gender</t>
  </si>
  <si>
    <t>gender                |  Gender</t>
  </si>
  <si>
    <t>he                  |  UK higher education institution</t>
  </si>
  <si>
    <t>he                |  Higher education</t>
  </si>
  <si>
    <t>health_condition                     |  Health condition - Filter by category of main health condition reported by respondent</t>
  </si>
  <si>
    <t>hel4               |  Level 4 (e.g. Higher National Certificates)</t>
  </si>
  <si>
    <t>hel5              |  Level 5 (e.g. Foundation degree and Higher National Diploma)</t>
  </si>
  <si>
    <t>hel6               |  Level 6 (e.g. Degree with/without honours)</t>
  </si>
  <si>
    <t>HEPercent                         |  Sustained higher education rate (Level 6+)</t>
  </si>
  <si>
    <t>ind             |  Independent schools</t>
  </si>
  <si>
    <t>IndustrySection             |  Industry section</t>
  </si>
  <si>
    <t>inst_count      |  Number of institutions</t>
  </si>
  <si>
    <t>institution_group   |  Institution group</t>
  </si>
  <si>
    <t>Institution_or_apprenticeship  |  Institution type</t>
  </si>
  <si>
    <t>institution_type  |  Institution group</t>
  </si>
  <si>
    <t>institution_type  |  Institution type</t>
  </si>
  <si>
    <t>L2_em_GCSE_othL2                                       |  Percentage 19 year olds achieving GCSE 9-4 standard pass in English and maths (or equivalent) between ages 16 and 19 for those who had not achieved this level by 16</t>
  </si>
  <si>
    <t>labour_market_status  |  Labour market status</t>
  </si>
  <si>
    <t>LearnersWithEarnings              |  Learners with earnings one year after study</t>
  </si>
  <si>
    <t>LearningDestination                 |  Number of matched learners with any learning destination</t>
  </si>
  <si>
    <t>LearningDifficulties        |  Learning difficulties - Filter by learning difficulties</t>
  </si>
  <si>
    <t>LearnOnlyPercent                  |  Sustained learning only rate</t>
  </si>
  <si>
    <t>LearnPercent                      |  Sustained learning rate</t>
  </si>
  <si>
    <t>LearnPercentPA                      |  Sustained learning rate</t>
  </si>
  <si>
    <t>Level_3                                                |  Percentage 19 year olds achieving a level 3</t>
  </si>
  <si>
    <t>level_methodology  |  Level based on LEA area or provider location</t>
  </si>
  <si>
    <t>Level2Percent               |  Level 2</t>
  </si>
  <si>
    <t>Level2PercentPA                     |  Level 2</t>
  </si>
  <si>
    <t>Level3Percent                     |  Level 3</t>
  </si>
  <si>
    <t>Level3PercentPA                     |  Level 3</t>
  </si>
  <si>
    <t>Level4PlusPercent                 |  Level 4/5</t>
  </si>
  <si>
    <t>Level4PlusPercentPA                 |  Level 4/5</t>
  </si>
  <si>
    <t>LevelOfLearning                   |  Level of learning - Filter by level of learning</t>
  </si>
  <si>
    <t>LevelOfLearning_Display     |  Level of learning - Filter by level of learning</t>
  </si>
  <si>
    <t>LevelOfLearningGroup              |  Grouped level of learning - Filter by level of learning group</t>
  </si>
  <si>
    <t>lower_bound_number_ILO_unemployed_more_6months                                 |  Lower bound number ILO unemployed more 6 months</t>
  </si>
  <si>
    <t>lower_bound_number_inactive_does_not_want_a_job                                |  Lower bound number inactive does not want a job</t>
  </si>
  <si>
    <t>lower_bound_number_inactive_wants_a_job                                        |  Lower bound number inactive wants a job</t>
  </si>
  <si>
    <t>lower_bound_number_NEET                                                        |  Lower bound number NEET</t>
  </si>
  <si>
    <t>lower_bound_number_NET                                                         |  Lower bound number NET</t>
  </si>
  <si>
    <t>lower_bound_number_reason_inactive_long-term_or_temporary_sick                 |  Lower bound number reason inactive long-term or temporary sick</t>
  </si>
  <si>
    <t>lower_bound_number_reason_inactive_looking_after_family_or_home                |  Lower bound number reason inactive looking after family or home</t>
  </si>
  <si>
    <t>lower_bound_number_reason_inactive_other                                       |  Lower bound number reason inactive other</t>
  </si>
  <si>
    <t>lower_bound_percent_annual_change_NEET                                         |  Lower bound annual change in NEET rate</t>
  </si>
  <si>
    <t>lower_bound_percent_annual_change_NET                                          |  Lower bound annual change in NET rate</t>
  </si>
  <si>
    <t>lower_bound_percent_ILO_unemployed_less_6months                                |  Lower bound percent ILO unemployed less 6 months</t>
  </si>
  <si>
    <t>lower_bound_percent_ILO_unemployed_more_6months                                |  Lower bound percent ILO unemployed more 6 months</t>
  </si>
  <si>
    <t>lower_bound_percent_inactive_does_not_want_a_job                               |  Lower bound percent inactive does not want a job</t>
  </si>
  <si>
    <t>lower_bound_percent_inactive_wants_a_job                                       |  Lower bound percent inactive wants a job</t>
  </si>
  <si>
    <t>lower_bound_percent_NEET                                                       |  Lower bound percent NEET</t>
  </si>
  <si>
    <t>lower_bound_percent_NET                                                        |  Lower bound percent NET</t>
  </si>
  <si>
    <t>lower_bound_percent_of_population    |  Lower bound of confidence interval (95%) for the percentage of 16-24 year olds</t>
  </si>
  <si>
    <t>lower_bound_percent_reason_inactive_long-term_or_temporary_sick                |  Lower bound percent reason inactive long-term or temporary sick</t>
  </si>
  <si>
    <t>lower_bound_percent_reason_inactive_looking_after_family_or_home               |  Lower bound percent reason inactive looking after family or home</t>
  </si>
  <si>
    <t>lower_bound_percent_reason_inactive_other                                      |  Lower bound percent reason inactive other</t>
  </si>
  <si>
    <t>lower_bound_population               |  Lower bound of confidence interval (95%) for the number of 16-24 year olds</t>
  </si>
  <si>
    <t>Median                      |  Median annualised earnings</t>
  </si>
  <si>
    <t>mode_of_study                  |  Full or part-time</t>
  </si>
  <si>
    <t>NCCIS              |  NCCIS NEET/not known</t>
  </si>
  <si>
    <t>NEET_NK_EHCP_percent                                   |  Percentage with an EHCP who are NEET or activity not known</t>
  </si>
  <si>
    <t>NEET_NK_noSEN_percent                                  |  Percentage with no SEN who are NEET or activity not known</t>
  </si>
  <si>
    <t>NEET_NK_quintile                                       |  NEET and activity not known quintile</t>
  </si>
  <si>
    <t>NEET_NK_SENDsupport_percent                            |  Percentage SEND support who are NEET or activity not known</t>
  </si>
  <si>
    <t>NEET_not_known_percent                                 |  Percentage of the cohort who are NEET or not known</t>
  </si>
  <si>
    <t>NEET_percent                                           |  Percentage of the cohort who are NEET</t>
  </si>
  <si>
    <t>NEET_quintile                                          |  NEET quintile</t>
  </si>
  <si>
    <t>NEETLFS            |  DfE LFS NEET</t>
  </si>
  <si>
    <t>NEETLFSLower       |  DfE LFS NEET lower bound (95% confidence interval)</t>
  </si>
  <si>
    <t>NEETLFSONS         |  ONS LFS NEET seasonally adjusted</t>
  </si>
  <si>
    <t>NEETLFSUpper       |  DfE LFS NEET upper bound (95% confidence interval)</t>
  </si>
  <si>
    <t>NEETNKprop            |  NEET/not known proportion</t>
  </si>
  <si>
    <t>NEETParticipation  |  Participation release NEET</t>
  </si>
  <si>
    <t>NEETprop              |  NEET proportion</t>
  </si>
  <si>
    <t>NETLFS             |  DfE LFS NET</t>
  </si>
  <si>
    <t>NETParticipation   |  Participation release NET</t>
  </si>
  <si>
    <t>NoDestPercent                     |  No activity captured in data</t>
  </si>
  <si>
    <t>non_des           |  Non-designated provision</t>
  </si>
  <si>
    <t>NotAssignedPercent                |  Level not assigned</t>
  </si>
  <si>
    <t>NotAssignedPercentPA                |  Level not assigned</t>
  </si>
  <si>
    <t>Notknown_percent                                       |  Percentage of the cohort with activity not known</t>
  </si>
  <si>
    <t>Notknown_quintile                                      |  Activity not known quintile</t>
  </si>
  <si>
    <t>Notknownprop          |  Activity not known proportion</t>
  </si>
  <si>
    <t>notsust           |  Education or employment not sustained</t>
  </si>
  <si>
    <t>notsust_ben       |  Education or employment not sustained and known to be NEET</t>
  </si>
  <si>
    <t>notsust_beneet  |  Education or employment not sustained and known to be NEET</t>
  </si>
  <si>
    <t>NotSustainedBenefitPercent  |  Destination not sustained and in receipt of benefits</t>
  </si>
  <si>
    <t>NotSustainedNBPercent             |  Destination not sustained and not on benefits</t>
  </si>
  <si>
    <t>NotSustainedPercent               |  Destination not sustained</t>
  </si>
  <si>
    <t>number              |  Number</t>
  </si>
  <si>
    <t>number_ILO_unemployed_less_6months                                             |  Number NEET who are ILO unemployed for less than 6 months</t>
  </si>
  <si>
    <t>number_ILO_unemployed_more_6months                                             |  Number NEET who are ILO unemployed for more than 6 months</t>
  </si>
  <si>
    <t>number_inactive_does_not_want_a_job                                            |  Number NEET who were inactive and does not want a job</t>
  </si>
  <si>
    <t>number_inactive_wants_a_job                                                    |  Number NEET who were inactive and want a job</t>
  </si>
  <si>
    <t>number_NEET                                                                    |  Number NEET</t>
  </si>
  <si>
    <t>number_NET                                                                     |  Number NET</t>
  </si>
  <si>
    <t>number_reason_inactive_long-term_or_temporary_sick                             |  Number NEET where reason for inactivity was long-term or temporarily sick</t>
  </si>
  <si>
    <t>number_reason_inactive_looking_after_family_or_home                            |  Number NEET where reason for inactivity was looking after family/home</t>
  </si>
  <si>
    <t>number_reason_inactive_other                                                   |  Number NEET where reason for inactivity was other</t>
  </si>
  <si>
    <t>NumberOfLearners                    |  Learners</t>
  </si>
  <si>
    <t>NumberOfMatchedLearners     |  Number of learners matched to LEO data</t>
  </si>
  <si>
    <t>NumberSustainedEmployment   |  Number of learners in sustained employment</t>
  </si>
  <si>
    <t>NumLearners                 |  Number of learners with earnings</t>
  </si>
  <si>
    <t>only_ben          |  No participation and known to be NEET</t>
  </si>
  <si>
    <t>only_beneet       |  No participation and known to be NEET</t>
  </si>
  <si>
    <t>other_edu         |  Other education destination</t>
  </si>
  <si>
    <t>Other_education_and_training_percent                   |  Percentage of the cohort in other education and training</t>
  </si>
  <si>
    <t>otl3_cohort        |  Number of pupils studying other level 3 qualifications</t>
  </si>
  <si>
    <t>otl3_cohort       |  Number of pupils studying other level 3 qualifications</t>
  </si>
  <si>
    <t>otl3_comparator    |  Other level 3 national comparator</t>
  </si>
  <si>
    <t>otl3_comparator   |  Other level 3 national comparator</t>
  </si>
  <si>
    <t>otl3_progressed    |  Other level 3 students who sustained L4+ destination</t>
  </si>
  <si>
    <t>otl3_pscore        |  Other level 3 progression score</t>
  </si>
  <si>
    <t>otl3_pscore       |  Other level 3 progression score</t>
  </si>
  <si>
    <t>overall             |  Sustained education, apprenticeship or employment</t>
  </si>
  <si>
    <t>overall_y1  |  Overall sustained destinations after one year</t>
  </si>
  <si>
    <t>overall_y3  |  Overall sustained destinations after three years</t>
  </si>
  <si>
    <t>overall_y5  |  Overall sustained destinations after five years</t>
  </si>
  <si>
    <t>Participation_ET_quintile                              |  Participation in education and training quintile</t>
  </si>
  <si>
    <t>Participation_type  |  Participation type</t>
  </si>
  <si>
    <t>percent             |  Percent</t>
  </si>
  <si>
    <t>percent_annual_change_conf_interval_plus_minus_NEET                            |  Confidence interval (95%) for the annual change in NEET rate</t>
  </si>
  <si>
    <t>percent_annual_change_conf_interval_plus_minus_NET                             |  Confidence interval (95%) for the annual change in NET rate</t>
  </si>
  <si>
    <t>percent_annual_change_NEET                                                     |  Annual change in NEET rate</t>
  </si>
  <si>
    <t>percent_annual_change_NET                                                      |  Annual change in NET rate</t>
  </si>
  <si>
    <t>percent_conf_interval_plus_minus_ILO_unemployed_less_6months                   |  Confidence interval (95%) for the percentage NEET unemployed for less than 6 months</t>
  </si>
  <si>
    <t>percent_conf_interval_plus_minus_ILO_unemployed_more_6months                   |  Confidence interval (95%) for the percentage NEET unemployed for more than 6 months</t>
  </si>
  <si>
    <t>percent_conf_interval_plus_minus_inactive_does_not_want_a_job                  |  Confidence interval (95%) for the percentage NEET inactive and does not want a job</t>
  </si>
  <si>
    <t>percent_conf_interval_plus_minus_inactive_wants_a_job                          |  Confidence interval (95%) for the percentage NEET inactive and want a job</t>
  </si>
  <si>
    <t>percent_conf_interval_plus_minus_NEET                                          |  Confidence interval (95%) for the percentage NEET</t>
  </si>
  <si>
    <t>percent_conf_interval_plus_minus_NET                                           |  Confidence interval (95%) for the percentage NET</t>
  </si>
  <si>
    <t>percent_conf_interval_plus_minus_reason_inactive_long-term_or_temporary_sick   |  Confidence interval (95%) for the percentage NEET with reason inactive as long-term or temporary sick</t>
  </si>
  <si>
    <t>percent_conf_interval_plus_minus_reason_inactive_looking_after_family_or_home  |  Confidence interval (95%) for the percentage NEET with reason inactive as looking after family/home</t>
  </si>
  <si>
    <t>percent_conf_interval_plus_minus_reason_inactive_other                         |  Confidence interval (95%) for the percentage of NEET with reason inactive as other</t>
  </si>
  <si>
    <t>percent_ILO_unemployed_less_6months                                            |  Percentage of NEET ILO unemployed for less than 6 months</t>
  </si>
  <si>
    <t>percent_ILO_unemployed_more_6months                                            |  Percentage of NEET ILO unemployed for more than 6 months</t>
  </si>
  <si>
    <t>percent_inactive_does_not_want_a_job                                           |  Percentage of NEET who were inactive and does not want a job</t>
  </si>
  <si>
    <t>percent_inactive_wants_a_job                                                   |  Percentage of NEET who were inactive and want a job</t>
  </si>
  <si>
    <t>percent_NEET                                                                   |  Percentage of population NEET</t>
  </si>
  <si>
    <t>percent_NET                                                                    |  Percentage of population NET</t>
  </si>
  <si>
    <t>percent_of_NEET                      |  Percentage of NEET 16-24 year olds</t>
  </si>
  <si>
    <t>percent_of_population                |  Percentage of 16-24 year olds</t>
  </si>
  <si>
    <t>percent_reason_inactive_long-term_or_temporary_sick                            |  Percentage of NEET where reason for inactivity was long-term or temporarily sick</t>
  </si>
  <si>
    <t>percent_reason_inactive_looking_after_family_or_home                           |  Percentage of NEET where reason for inactivity was looking after family/home</t>
  </si>
  <si>
    <t>percent_reason_inactive_other                                                  |  Percentage of NEET where reason for inactivity was other</t>
  </si>
  <si>
    <t>population                                                                     |  Population (ONS estimate)</t>
  </si>
  <si>
    <t>population                           |  Number of 16-24 year olds (ONS estimate)</t>
  </si>
  <si>
    <t>ProgressionSustainedOverallPercent  |  Progression for learner overall</t>
  </si>
  <si>
    <t>ProgressionSustainedPriorPercent  |  Sustained progression from achieved aim</t>
  </si>
  <si>
    <t>ProgressionSustainedPriorPercentPA  |  Sustained progression from achieved aim</t>
  </si>
  <si>
    <t>Proportion_in_education_and_training  |  Proportion in education and training</t>
  </si>
  <si>
    <t>ProviderType                        |  Provider Type - Filter by provider type</t>
  </si>
  <si>
    <t>Provision                         |  Provision - Filter by provision type</t>
  </si>
  <si>
    <t>Provision                   |  Provision - Filter by provision type</t>
  </si>
  <si>
    <t>pt_l2basics_94                                         |  9-4 standard pass in English and maths GCSEs</t>
  </si>
  <si>
    <t>qualification_sublevel         |  Qualification</t>
  </si>
  <si>
    <t>QualificationTitle          |  Qualification title - Filter by qualification title</t>
  </si>
  <si>
    <t>quarter                                                                        |  Quarter - Filter by quarter of the year (Q4 used in analysis)</t>
  </si>
  <si>
    <t>quarter            |  Quarter of the year - Filter by quarter of the year. Not all comparisons are possible with all quarters.</t>
  </si>
  <si>
    <t>sample_size                          |  Number of 16-24 year olds surveyed</t>
  </si>
  <si>
    <t>SelfEmpPercent                    |  Self-employed rate</t>
  </si>
  <si>
    <t>Sep_guarantee_quintile                                 |  September Guarantee quintile</t>
  </si>
  <si>
    <t>September_guarantee_annual_change_ppts                 |  Annual change in the percentage of September Guarantee offers made</t>
  </si>
  <si>
    <t>September_guarantee_Offer_made_percent                 |  Percentage of September Guarantee offers made</t>
  </si>
  <si>
    <t>sess_overall_percent                                   |  Overall absence (% of sessions)</t>
  </si>
  <si>
    <t>sess_overall_percent_pa_10_exact                       |  Persistent absentees (% of pupils)</t>
  </si>
  <si>
    <t>sfc               |  Sixth form college</t>
  </si>
  <si>
    <t>sfc_and_ssf       |  School sixth form &amp; Sixth form college</t>
  </si>
  <si>
    <t>SPDPercent                        |  Sustained positive destination rate</t>
  </si>
  <si>
    <t>spec_prov         |  Specialist provision</t>
  </si>
  <si>
    <t>special           |  Special school</t>
  </si>
  <si>
    <t>spi             |  Specialist post-16 institution</t>
  </si>
  <si>
    <t>SSATier1                            |  Sector subject area tier 1 - Filter by sector subject area tier 1</t>
  </si>
  <si>
    <t>SSATier2                    |  Sector subject area (Tier 1 and 2) - Filter by sector subject area tier 2</t>
  </si>
  <si>
    <t>ssf             |  School sixth form</t>
  </si>
  <si>
    <t>SustainedEmploymentPercent  |  Sustained employment rate</t>
  </si>
  <si>
    <t>tlev_cohort        |  Number of pupils studying tech levels</t>
  </si>
  <si>
    <t>tlev_comparator   |  Tech level national comparator</t>
  </si>
  <si>
    <t>tlev_progressed    |  Tech level students who sustained L4+ destination</t>
  </si>
  <si>
    <t>tlev_progressed   |  Tech level students who sustained L4+ destination</t>
  </si>
  <si>
    <t>tlev_pscore        |  Tech level progression score</t>
  </si>
  <si>
    <t>Total_in_education_and_training       |  Number in education and training</t>
  </si>
  <si>
    <t>total_NEET_NET                       |  Population estimate - Filter by NEET, NET or Total population estimates</t>
  </si>
  <si>
    <t>TOTAL_participating_in_education_and_training_percent  |  Percentage of the cohort participating in education and training</t>
  </si>
  <si>
    <t>unknown           |  Not identified in any data</t>
  </si>
  <si>
    <t>unknown_id      |  Identified as DWP/HMRC customer</t>
  </si>
  <si>
    <t>upper_bound_number_ILO_unemployed_less_6months                                 |  Upper bound number ILO unemployed less 6 months</t>
  </si>
  <si>
    <t>upper_bound_number_ILO_unemployed_more_6months                                 |  Upper bound number ILO unemployed more 6 months</t>
  </si>
  <si>
    <t>upper_bound_number_inactive_does_not_want_a_job                                |  Upper bound number inactive does not want a job</t>
  </si>
  <si>
    <t>upper_bound_number_inactive_wants_a_job                                        |  Upper bound number inactive wants a job</t>
  </si>
  <si>
    <t>upper_bound_number_NEET                                                        |  Upper bound number NEET</t>
  </si>
  <si>
    <t>upper_bound_number_NET                                                         |  Upper bound number NET</t>
  </si>
  <si>
    <t>upper_bound_number_reason_inactive_long-term_or_temporary_sick                 |  Upper bound number reason inactive long-term or temporary sick</t>
  </si>
  <si>
    <t>upper_bound_number_reason_inactive_looking_after_family_or_home                |  Upper bound number reason inactive looking after family or home</t>
  </si>
  <si>
    <t>upper_bound_number_reason_inactive_other                                       |  Upper bound number reason inactive other</t>
  </si>
  <si>
    <t>upper_bound_percent_annual_change_NEET                                         |  Upper bound annual change in NEET rate</t>
  </si>
  <si>
    <t>upper_bound_percent_annual_change_NET                                          |  Upper bound annual change in NET rate</t>
  </si>
  <si>
    <t>upper_bound_percent_ILO_unemployed_less_6months                                |  Upper bound percent ILO unemployed less 6 months</t>
  </si>
  <si>
    <t>upper_bound_percent_ILO_unemployed_more_6months                                |  Upper bound percent ILO unemployed more 6 months</t>
  </si>
  <si>
    <t>upper_bound_percent_inactive_does_not_want_a_job                               |  Upper bound percent inactive does not want a job</t>
  </si>
  <si>
    <t>upper_bound_percent_inactive_wants_a_job                                       |  Upper bound percent inactive wants a job</t>
  </si>
  <si>
    <t>upper_bound_percent_NEET                                                       |  Upper bound percent NEET</t>
  </si>
  <si>
    <t>upper_bound_percent_NET                                                        |  Upper bound percent NET</t>
  </si>
  <si>
    <t>upper_bound_percent_of_population    |  Upper bound of confidence interval (95%) for the percentage of 16-24 year olds</t>
  </si>
  <si>
    <t>upper_bound_percent_reason_inactive_long-term_or_temporary_sick                |  Upper bound percent reason inactive long-term or temporary sick</t>
  </si>
  <si>
    <t>upper_bound_percent_reason_inactive_looking_after_family_or_home               |  Upper bound percent reason inactive looking after family or home</t>
  </si>
  <si>
    <t>upper_bound_percent_reason_inactive_other                                      |  Upper bound percent reason inactive other</t>
  </si>
  <si>
    <t>upper_bound_population               |  Upper bound of confidence interval (95%) for the number of 16-24 year olds</t>
  </si>
  <si>
    <t>VG_cohort_DJF_avg                                      |  Cohort of vulnerable group (average of Dec/Jan/Feb)</t>
  </si>
  <si>
    <t>VG_cohort_percentage                                   |  Percentage of the total cohort who are in a vulnerable group</t>
  </si>
  <si>
    <t>VG_NEET_NK_percentage                                  |  Percentage of the vulnerable group who are NEET or activity not known</t>
  </si>
  <si>
    <t>YearsAfterLearning_Display  |  Number of years after achievement of learning aim</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</si>
  <si>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</si>
  <si>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</si>
  <si>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</si>
  <si>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</si>
  <si>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</si>
  <si>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</si>
  <si>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</si>
  <si>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</si>
  <si>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</si>
  <si>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</si>
  <si>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</si>
  <si>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</si>
  <si>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</si>
  <si>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</si>
  <si>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</si>
  <si>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</si>
  <si>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</si>
  <si>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</si>
  <si>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</si>
  <si>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</si>
  <si>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</si>
  <si>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</si>
  <si>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</si>
  <si>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</si>
  <si>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</si>
  <si>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</si>
  <si>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</si>
  <si>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</si>
  <si>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</si>
  <si>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</si>
  <si>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</si>
  <si>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</si>
  <si>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</si>
  <si>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</si>
  <si>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</si>
  <si>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</si>
  <si>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</si>
  <si>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</si>
  <si>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</si>
  <si>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</si>
  <si>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</si>
  <si>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</si>
  <si>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</si>
  <si>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</si>
  <si>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</si>
  <si>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</si>
  <si>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</si>
  <si>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</si>
  <si>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</si>
  <si>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</si>
  <si>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</si>
  <si>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</si>
  <si>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</si>
  <si>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</si>
  <si>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</si>
  <si>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</si>
  <si>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</si>
  <si>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</si>
  <si>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</si>
  <si>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</si>
  <si>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</si>
  <si>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</si>
  <si>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</si>
  <si>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</si>
  <si>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</si>
  <si>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</si>
  <si>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</si>
  <si>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</si>
  <si>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</si>
  <si>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</si>
  <si>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</si>
  <si>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</si>
  <si>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</si>
  <si>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</si>
  <si>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</si>
  <si>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</si>
  <si>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</si>
  <si>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</si>
  <si>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</si>
  <si>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</si>
  <si>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</si>
  <si>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</si>
  <si>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</si>
  <si>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</si>
  <si>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</si>
  <si>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</si>
  <si>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</si>
  <si>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</si>
  <si>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</si>
  <si>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</si>
  <si>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</si>
  <si>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</si>
  <si>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</si>
  <si>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</si>
  <si>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</si>
  <si>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</si>
  <si>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</si>
  <si>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</si>
  <si>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</si>
  <si>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</si>
  <si>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</si>
  <si>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</si>
  <si>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</si>
  <si>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</si>
  <si>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</si>
  <si>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</si>
  <si>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</si>
  <si>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</si>
  <si>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</si>
  <si>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</si>
  <si>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</si>
  <si>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</si>
  <si>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</si>
  <si>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</si>
  <si>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</si>
  <si>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</si>
  <si>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</si>
  <si>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</si>
  <si>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</si>
  <si>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</si>
  <si>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</si>
  <si>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</si>
  <si>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</si>
  <si>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</si>
  <si>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</si>
  <si>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</si>
  <si>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</si>
  <si>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</si>
  <si>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</si>
  <si>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</si>
  <si>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</si>
  <si>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</si>
  <si>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</si>
  <si>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</si>
  <si>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</si>
  <si>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</si>
  <si>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</si>
  <si>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</si>
  <si>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</si>
  <si>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</si>
  <si>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</si>
  <si>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</si>
  <si>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</si>
  <si>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</si>
  <si>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</si>
  <si>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</si>
  <si>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</si>
  <si>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</si>
  <si>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</si>
  <si>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</si>
  <si>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</si>
  <si>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</si>
  <si>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</si>
  <si>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</si>
  <si>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</si>
  <si>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</si>
  <si>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</si>
  <si>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</si>
  <si>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</si>
  <si>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</si>
  <si>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</si>
  <si>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</si>
  <si>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</si>
  <si>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</si>
  <si>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</si>
  <si>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</si>
  <si>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</si>
  <si>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</si>
  <si>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</si>
  <si>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</si>
  <si>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</si>
  <si>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</si>
  <si>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</si>
  <si>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</si>
  <si>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</si>
  <si>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</si>
  <si>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</si>
  <si>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</si>
  <si>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</si>
  <si>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</si>
  <si>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</si>
  <si>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</si>
  <si>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</si>
  <si>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</si>
  <si>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</si>
  <si>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</si>
  <si>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</si>
  <si>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</si>
  <si>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</si>
  <si>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</si>
  <si>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</si>
  <si>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</si>
  <si>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</si>
  <si>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</si>
  <si>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</si>
  <si>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</si>
  <si>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</si>
  <si>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</si>
  <si>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</si>
  <si>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</si>
  <si>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</si>
  <si>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</si>
  <si>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</si>
  <si>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</si>
  <si>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</si>
  <si>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</si>
  <si>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</si>
  <si>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</si>
  <si>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</si>
  <si>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</si>
  <si>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</si>
  <si>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single_or_multi_site  |  Single site or one of multiple sites within organisation - Filter by single or multi-sites</t>
  </si>
  <si>
    <t>estab_type            |  Establishment type - Filter by establishment type</t>
  </si>
  <si>
    <t>weight_base           |  Number of establishments in population</t>
  </si>
  <si>
    <t>sample_size_w_vac     |  Unweighted base of establishments with vacancies</t>
  </si>
  <si>
    <t>has_vac               |  Number of establishments with at least one vacancy</t>
  </si>
  <si>
    <t>has_htfv              |  Number of establishments with at least one hard-to-fill vacancy</t>
  </si>
  <si>
    <t>has_skillgap          |  Number of establishments with at least one skill gap (i.e. 1+ employee not fully proficient)</t>
  </si>
  <si>
    <t>has_ssv               |  Number of establishments with at least one skill-shortage vacancy</t>
  </si>
  <si>
    <t>has_trained           |  Number of establishments that arranged or paid for any training in the past 12 months</t>
  </si>
  <si>
    <t>vac_sum               |  Number of vacancies</t>
  </si>
  <si>
    <t>htfv_sum              |  Number of hard-to-fill vacancies</t>
  </si>
  <si>
    <t>ssv_sum               |  Number of skill-shortage vacancies</t>
  </si>
  <si>
    <t>skillgaps             |  Number of skill gaps (employees not fully proficient)</t>
  </si>
  <si>
    <t>trainees              |  Number of employees trained in the past 12 months</t>
  </si>
  <si>
    <t>training_days         |  Total number of training days for employees</t>
  </si>
  <si>
    <t>vac_inc               |  Percentage of establishments with at least one vacancy</t>
  </si>
  <si>
    <t>htfv_inc              |  Percentage of establishments with at least one hard-to-fill vacancy</t>
  </si>
  <si>
    <t>ssv_inc               |  Percentage of establishments with at least one skill-shortage vacancy</t>
  </si>
  <si>
    <t>skillgap_inc          |  Percentage of establishments with at least one  skill gap (i.e. 1+ employee not fully proficient)</t>
  </si>
  <si>
    <t>training_inc          |  Percentage of establishments that arranged or paid for any training in the past 12 months</t>
  </si>
  <si>
    <t>vac_den               |  Vacancy density (vacancies per 100 employees)</t>
  </si>
  <si>
    <t>htfv_den              |  Hard-to-fill vacancy density (HtF vacancies as a share of vacancies)</t>
  </si>
  <si>
    <t>ssv_den               |  Skill-shortage vacancy density (SSVs as a share of vacancies)</t>
  </si>
  <si>
    <t>skillgap_den          |  Skill gap density (the proportion of employees judged not fully proficient)</t>
  </si>
  <si>
    <t>training_den          |  Proportion of employees that received any training in the past 12 months</t>
  </si>
  <si>
    <t>train_days_employee   |  Average number of days training per employee</t>
  </si>
  <si>
    <t>train_days_trainee    |  Average number of days training per trainee</t>
  </si>
  <si>
    <t>iit_sample_size     |  Sample size in the Investment in Training follow-up survey</t>
  </si>
  <si>
    <t>total_per_employee  |  Investment in training per employee</t>
  </si>
  <si>
    <t>total_per_trainee   |  Investment in training per trainee</t>
  </si>
  <si>
    <t>sum_off_job_mn      |  Total investment through off-the-job training</t>
  </si>
  <si>
    <t>sum_on_job_mn       |  Total investment through on-the-job training</t>
  </si>
  <si>
    <t>sum_total_mn        |  Total investment through all training</t>
  </si>
  <si>
    <t>sample_estab_w_vac_for_x_occ  |  Number of establishments with at least one vacancy at the 4 digit SOC level</t>
  </si>
  <si>
    <t>soc_1_labelled                |  1 digit SOC code and name - Filter by 1 digit SOC code (SOC2010)</t>
  </si>
  <si>
    <t>soc_2_labelled                |  2 digit SOC code and name - Filter by 2 digit SOC code (SOC2010)</t>
  </si>
  <si>
    <t>soc_3_labelled                |  3 digit SOC code and name - Filter by 3 digit SOC code (SOC2010)</t>
  </si>
  <si>
    <t>soc_4_labelled                |  4 digit SOC code and name - Filter by 4 digit SOC code (SOC2010)</t>
  </si>
  <si>
    <t>phase      |  School type</t>
  </si>
  <si>
    <t>t_schools  |  Number of schools</t>
  </si>
  <si>
    <t>t_pupils  |  Number of pupils</t>
  </si>
  <si>
    <t>t_fte_teachers  |  Full-time equivalent number of teachers</t>
  </si>
  <si>
    <t>pupil_teacher_ratio  |  Pupil-teacher ratio</t>
  </si>
  <si>
    <t>t_students     |  Number of FE students</t>
  </si>
  <si>
    <t>t_institutions  |  Number of institutions</t>
  </si>
  <si>
    <t>t_economically_inactive  |  Total economically inactive</t>
  </si>
  <si>
    <t>t_population             |  Total people in relevant population group</t>
  </si>
  <si>
    <t>t_unemployed             |  Total unemployed</t>
  </si>
  <si>
    <t>pt_neet                  |  People who were NEET as a percentage of people in relevant population group</t>
  </si>
  <si>
    <t>pt_hiqual_nqf2   |  Percentage of population with their highest qualification as NQF level 2 or above</t>
  </si>
  <si>
    <t>pt_hiqual_nqf3   |  Percentage of population with their highest qualification as NQF level 3 or above</t>
  </si>
  <si>
    <t>pt_hiqual_nqf4   |  Percentage of population with their highest qualification as NQF level 4 or above</t>
  </si>
  <si>
    <t>pt_hiqual_scqf5  |  Percentage of population with their highest qualification as SCQF level 5 or above</t>
  </si>
  <si>
    <t>pt_hiqual_scqf6  |  Percentage of population with their highest qualification as SCQF level 6 or above</t>
  </si>
  <si>
    <t>pt_hiqual_scqf7  |  Percentage of population with their highest qualification as SCQF level 7 or above</t>
  </si>
  <si>
    <t>t_age_1964       |  Total 19-64 year olds in the population (thousands)</t>
  </si>
  <si>
    <t>education_function                 |  Education function</t>
  </si>
  <si>
    <t>expenditure_level                  |  Expenditure level</t>
  </si>
  <si>
    <t>expenditure_type                   |  Expenditure type</t>
  </si>
  <si>
    <t>pt_expenditure_of_gdp              |  Total expenditure as a percentage of GDP</t>
  </si>
  <si>
    <t>t_expenditure_millions             |  Total expenditure (millions)</t>
  </si>
  <si>
    <t>t_expenditure_real_terms_millions  |  Total expenditure in real terms (millions)</t>
  </si>
  <si>
    <t>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</si>
</sst>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2">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10" fillId="3" borderId="0" xfId="0" applyFont="1" applyFill="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skills-index_2021-22.zip\data\fe_skills_index_achievers_and_value_added_by_provision_type.csv" TargetMode="External"/><Relationship Id="rId1" Type="http://schemas.openxmlformats.org/officeDocument/2006/relationships/externalLinkPath" Target="file:///C:\Users\cdavies6\AppData\Local\Temp\Temp1_further-education-skills-index_2021-22.zip\data\fe_skills_index_achievers_and_value_added_by_provision_type.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_skills_index_achievers_and_v"/>
    </sheetNames>
    <sheetDataSet>
      <sheetData sheetId="0">
        <row r="1">
          <cell r="A1" t="str">
            <v>time_period</v>
          </cell>
          <cell r="B1" t="str">
            <v>time_identifier</v>
          </cell>
          <cell r="C1" t="str">
            <v>geographic_level</v>
          </cell>
          <cell r="D1" t="str">
            <v>country_code</v>
          </cell>
          <cell r="E1" t="str">
            <v>country_name</v>
          </cell>
          <cell r="F1" t="str">
            <v>provision_type</v>
          </cell>
          <cell r="G1" t="str">
            <v>level</v>
          </cell>
          <cell r="H1" t="str">
            <v>ssa</v>
          </cell>
          <cell r="I1" t="str">
            <v>number_achievers</v>
          </cell>
          <cell r="J1" t="str">
            <v>estimated_value_added</v>
          </cell>
          <cell r="K1" t="str">
            <v>perc_contribution_to_total_value_added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K2"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vmlDrawing" Target="../drawings/vmlDrawing2.vml"/><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comments" Target="../comments2.x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microsoft.com/office/2017/10/relationships/threadedComment" Target="../threadedComments/threadedComment2.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9/04/relationships/namedSheetView" Target="../namedSheetViews/namedSheetView1.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83"/>
  <sheetViews>
    <sheetView tabSelected="1" topLeftCell="B1" workbookViewId="0">
      <selection activeCell="B17" sqref="B17"/>
    </sheetView>
  </sheetViews>
  <sheetFormatPr defaultColWidth="45.7265625" defaultRowHeight="15.5" x14ac:dyDescent="0.35"/>
  <cols>
    <col min="1" max="5" width="45.7265625" style="16"/>
    <col min="6" max="10" width="45.7265625" style="15"/>
    <col min="11" max="16384" width="45.7265625" style="16"/>
  </cols>
  <sheetData>
    <row r="1" spans="1:6" ht="28" customHeight="1" x14ac:dyDescent="0.35">
      <c r="A1" s="41" t="s">
        <v>0</v>
      </c>
      <c r="B1" s="41"/>
      <c r="C1" s="15"/>
      <c r="D1" s="15"/>
      <c r="E1" s="15"/>
    </row>
    <row r="2" spans="1:6" ht="40" customHeight="1" x14ac:dyDescent="0.35">
      <c r="A2" s="41" t="s">
        <v>1</v>
      </c>
      <c r="B2" s="41"/>
      <c r="C2" s="15"/>
      <c r="D2" s="15"/>
      <c r="E2" s="15"/>
    </row>
    <row r="3" spans="1:6" x14ac:dyDescent="0.35">
      <c r="A3" s="15"/>
      <c r="B3" s="23"/>
      <c r="C3" s="15"/>
      <c r="D3" s="15"/>
      <c r="E3" s="15"/>
    </row>
    <row r="4" spans="1:6" x14ac:dyDescent="0.35">
      <c r="A4" s="15"/>
      <c r="B4" s="23"/>
      <c r="C4" s="15"/>
      <c r="D4" s="15"/>
      <c r="E4" s="15"/>
    </row>
    <row r="5" spans="1:6" ht="16" thickBot="1" x14ac:dyDescent="0.4">
      <c r="A5" s="17"/>
      <c r="B5" s="24"/>
      <c r="C5" s="17"/>
      <c r="D5" s="17"/>
      <c r="E5" s="17"/>
    </row>
    <row r="6" spans="1:6" ht="16" thickBot="1" x14ac:dyDescent="0.4">
      <c r="A6" s="18" t="s">
        <v>2</v>
      </c>
      <c r="B6" s="18" t="s">
        <v>3</v>
      </c>
      <c r="C6" s="18" t="s">
        <v>4</v>
      </c>
      <c r="D6" s="18" t="s">
        <v>5</v>
      </c>
      <c r="E6" s="18" t="s">
        <v>6</v>
      </c>
      <c r="F6" s="15" t="s">
        <v>2164</v>
      </c>
    </row>
    <row r="7" spans="1:6" ht="108.5" x14ac:dyDescent="0.35">
      <c r="A7" s="34" t="s">
        <v>7</v>
      </c>
      <c r="B7" s="35" t="s">
        <v>8</v>
      </c>
      <c r="C7" s="34" t="s">
        <v>9</v>
      </c>
      <c r="D7" s="34" t="s">
        <v>10</v>
      </c>
      <c r="E7" s="34"/>
      <c r="F7" s="15" t="str" cm="1">
        <f t="array" ref="F7">GetURL(B7)</f>
        <v>https://www.gov.uk/government/collections/business-population-estimates</v>
      </c>
    </row>
    <row r="8" spans="1:6" ht="31" x14ac:dyDescent="0.35">
      <c r="A8" s="19" t="s">
        <v>11</v>
      </c>
      <c r="B8" s="25" t="s">
        <v>12</v>
      </c>
      <c r="C8" s="26" t="s">
        <v>13</v>
      </c>
      <c r="D8" s="21" t="s">
        <v>14</v>
      </c>
      <c r="E8" s="19"/>
      <c r="F8" s="15" t="str" cm="1">
        <f t="array" ref="F8">GetURL(B8)</f>
        <v>https://www.gov.uk/government/statistics/apprenticeships-in-england-by-industry-characteristics</v>
      </c>
    </row>
    <row r="9" spans="1:6" ht="46.5" x14ac:dyDescent="0.35">
      <c r="A9" s="19" t="s">
        <v>11</v>
      </c>
      <c r="B9" s="25" t="s">
        <v>15</v>
      </c>
      <c r="C9" s="26" t="s">
        <v>16</v>
      </c>
      <c r="D9" s="21" t="s">
        <v>17</v>
      </c>
      <c r="E9" s="19"/>
      <c r="F9" s="15" t="str" cm="1">
        <f t="array" ref="F9">GetURL(B9)</f>
        <v>https://www.gov.uk/government/collections/statistics-outcome-based-success-measures</v>
      </c>
    </row>
    <row r="10" spans="1:6" ht="46.5" x14ac:dyDescent="0.35">
      <c r="A10" s="19" t="s">
        <v>11</v>
      </c>
      <c r="B10" s="25" t="s">
        <v>18</v>
      </c>
      <c r="C10" s="26" t="s">
        <v>19</v>
      </c>
      <c r="D10" s="19" t="s">
        <v>20</v>
      </c>
      <c r="E10" s="19"/>
      <c r="F10" s="15" t="str" cm="1">
        <f t="array" ref="F10">GetURL(B10)</f>
        <v>https://www.gov.uk/government/collections/statistics-attainment-at-19-years</v>
      </c>
    </row>
    <row r="11" spans="1:6" ht="62" x14ac:dyDescent="0.35">
      <c r="A11" s="19" t="s">
        <v>11</v>
      </c>
      <c r="B11" s="21" t="s">
        <v>21</v>
      </c>
      <c r="C11" s="19" t="s">
        <v>22</v>
      </c>
      <c r="D11" s="19" t="s">
        <v>23</v>
      </c>
      <c r="E11" s="19"/>
      <c r="F11" s="15" t="str" cm="1">
        <f t="array" ref="F11">GetURL(B11)</f>
        <v>https://explore-education-statistics.service.gov.uk/find-statistics/16-18-destination-measures</v>
      </c>
    </row>
    <row r="12" spans="1:6" ht="46.5" x14ac:dyDescent="0.35">
      <c r="A12" s="19" t="s">
        <v>11</v>
      </c>
      <c r="B12" s="21" t="s">
        <v>24</v>
      </c>
      <c r="C12" s="27" t="s">
        <v>25</v>
      </c>
      <c r="D12" s="19" t="s">
        <v>26</v>
      </c>
      <c r="E12" s="19"/>
      <c r="F12" s="15" t="str" cm="1">
        <f t="array" ref="F12">GetURL(B12)</f>
        <v>https://explore-education-statistics.service.gov.uk/find-statistics/apprenticeships-and-traineeships</v>
      </c>
    </row>
    <row r="13" spans="1:6" ht="46.5" x14ac:dyDescent="0.35">
      <c r="A13" s="19" t="s">
        <v>11</v>
      </c>
      <c r="B13" s="21" t="s">
        <v>27</v>
      </c>
      <c r="C13" s="27" t="s">
        <v>28</v>
      </c>
      <c r="D13" s="19" t="s">
        <v>26</v>
      </c>
      <c r="E13" s="19"/>
      <c r="F13" s="15" t="str" cm="1">
        <f t="array" ref="F13">GetURL(B13)</f>
        <v>https://explore-education-statistics.service.gov.uk/find-statistics/apprenticeships-and-traineeships</v>
      </c>
    </row>
    <row r="14" spans="1:6" ht="46.5" x14ac:dyDescent="0.35">
      <c r="A14" s="19" t="s">
        <v>11</v>
      </c>
      <c r="B14" s="21" t="s">
        <v>29</v>
      </c>
      <c r="C14" s="27" t="s">
        <v>30</v>
      </c>
      <c r="D14" s="21" t="s">
        <v>31</v>
      </c>
      <c r="E14" s="19"/>
      <c r="F14" s="15" cm="1">
        <f t="array" ref="F14">GetURL(B14)</f>
        <v>0</v>
      </c>
    </row>
    <row r="15" spans="1:6" ht="46.5" x14ac:dyDescent="0.35">
      <c r="A15" s="19" t="s">
        <v>11</v>
      </c>
      <c r="B15" s="25" t="s">
        <v>32</v>
      </c>
      <c r="C15" s="26" t="s">
        <v>33</v>
      </c>
      <c r="D15" s="19" t="s">
        <v>23</v>
      </c>
      <c r="E15" s="19"/>
      <c r="F15" s="15" t="str" cm="1">
        <f t="array" ref="F15">GetURL(B15)</f>
        <v>https://www.gov.uk/government/collections/statistics-destinations</v>
      </c>
    </row>
    <row r="16" spans="1:6" ht="139.5" x14ac:dyDescent="0.35">
      <c r="A16" s="19" t="s">
        <v>11</v>
      </c>
      <c r="B16" s="21" t="s">
        <v>34</v>
      </c>
      <c r="C16" s="19" t="s">
        <v>35</v>
      </c>
      <c r="D16" s="21" t="s">
        <v>31</v>
      </c>
      <c r="E16" s="19"/>
      <c r="F16" s="15" t="str" cm="1">
        <f t="array" ref="F16">GetURL(B16)</f>
        <v>https://explore-education-statistics.service.gov.uk/find-statistics/detailed-destinations-of-16-to-18-year-olds-in-further-education</v>
      </c>
    </row>
    <row r="17" spans="1:6" ht="77.5" x14ac:dyDescent="0.35">
      <c r="A17" s="19" t="s">
        <v>11</v>
      </c>
      <c r="B17" s="21" t="s">
        <v>36</v>
      </c>
      <c r="C17" s="19" t="s">
        <v>37</v>
      </c>
      <c r="D17" s="21" t="s">
        <v>38</v>
      </c>
      <c r="E17" s="19"/>
      <c r="F17" s="15" cm="1">
        <f t="array" ref="F17">GetURL(B17)</f>
        <v>0</v>
      </c>
    </row>
    <row r="18" spans="1:6" ht="62" x14ac:dyDescent="0.35">
      <c r="A18" s="19" t="s">
        <v>11</v>
      </c>
      <c r="B18" s="33" t="s">
        <v>39</v>
      </c>
      <c r="C18" s="19" t="s">
        <v>40</v>
      </c>
      <c r="D18" s="21" t="s">
        <v>41</v>
      </c>
      <c r="E18" s="19"/>
      <c r="F18" s="15" t="str" cm="1">
        <f t="array" ref="F18">GetURL(B18)</f>
        <v>https://explore-education-statistics.service.gov.uk/find-statistics/employer-skills-survey</v>
      </c>
    </row>
    <row r="19" spans="1:6" ht="46.5" x14ac:dyDescent="0.35">
      <c r="A19" s="19" t="s">
        <v>11</v>
      </c>
      <c r="B19" s="28" t="s">
        <v>42</v>
      </c>
      <c r="C19" s="29" t="s">
        <v>43</v>
      </c>
      <c r="D19" s="19" t="s">
        <v>26</v>
      </c>
      <c r="E19" s="19"/>
      <c r="F19" s="15" t="str" cm="1">
        <f t="array" ref="F19">GetURL(B19)</f>
        <v>https://www.gov.uk/government/collections/further-education-and-skills-statistical-first-release-sfr</v>
      </c>
    </row>
    <row r="20" spans="1:6" ht="108.5" x14ac:dyDescent="0.35">
      <c r="A20" s="19" t="s">
        <v>11</v>
      </c>
      <c r="B20" s="21" t="s">
        <v>44</v>
      </c>
      <c r="C20" s="19" t="s">
        <v>45</v>
      </c>
      <c r="D20" s="19" t="s">
        <v>26</v>
      </c>
      <c r="E20" s="19"/>
      <c r="F20" s="15" t="str" cm="1">
        <f t="array" ref="F20">GetURL(B20)</f>
        <v>https://explore-education-statistics.service.gov.uk/find-statistics/further-education-and-skills</v>
      </c>
    </row>
    <row r="21" spans="1:6" ht="124" x14ac:dyDescent="0.35">
      <c r="A21" s="19" t="s">
        <v>11</v>
      </c>
      <c r="B21" s="33" t="s">
        <v>46</v>
      </c>
      <c r="C21" s="19" t="s">
        <v>47</v>
      </c>
      <c r="D21" s="21" t="s">
        <v>48</v>
      </c>
      <c r="E21" s="19"/>
      <c r="F21" s="15" t="str" cm="1">
        <f t="array" ref="F21">GetURL(B21)</f>
        <v>https://explore-education-statistics.service.gov.uk/find-statistics/fe-learners-going-into-employment-and-learning-destinations-by-local-authority-district</v>
      </c>
    </row>
    <row r="22" spans="1:6" ht="108.5" x14ac:dyDescent="0.35">
      <c r="A22" s="19" t="s">
        <v>11</v>
      </c>
      <c r="B22" s="30" t="s">
        <v>49</v>
      </c>
      <c r="C22" s="31" t="s">
        <v>50</v>
      </c>
      <c r="D22" s="19" t="s">
        <v>51</v>
      </c>
      <c r="E22" s="19"/>
      <c r="F22" s="15" t="str" cm="1">
        <f t="array" ref="F22">GetURL(B22)</f>
        <v>https://explore-education-statistics.service.gov.uk/find-statistics/further-education-skills-index</v>
      </c>
    </row>
    <row r="23" spans="1:6" ht="108.5" x14ac:dyDescent="0.35">
      <c r="A23" s="19" t="s">
        <v>52</v>
      </c>
      <c r="B23" s="20" t="s">
        <v>53</v>
      </c>
      <c r="C23" s="19" t="s">
        <v>54</v>
      </c>
      <c r="D23" s="21" t="s">
        <v>31</v>
      </c>
      <c r="E23" s="19"/>
      <c r="F23" s="15" t="str" cm="1">
        <f t="array" ref="F23">GetURL(B23)</f>
        <v>https://explore-education-statistics.service.gov.uk/find-statistics/further-education-outcome-based-success-measures/data-guidance</v>
      </c>
    </row>
    <row r="24" spans="1:6" ht="186" x14ac:dyDescent="0.35">
      <c r="A24" s="19" t="s">
        <v>11</v>
      </c>
      <c r="B24" s="21" t="s">
        <v>55</v>
      </c>
      <c r="C24" s="19" t="s">
        <v>56</v>
      </c>
      <c r="D24" s="19" t="s">
        <v>57</v>
      </c>
      <c r="E24" s="19"/>
      <c r="F24" s="15" t="str" cm="1">
        <f t="array" ref="F24">GetURL(B24)</f>
        <v>https://explore-education-statistics.service.gov.uk/find-statistics/graduate-labour-markets</v>
      </c>
    </row>
    <row r="25" spans="1:6" ht="46.5" x14ac:dyDescent="0.35">
      <c r="A25" s="19" t="s">
        <v>11</v>
      </c>
      <c r="B25" s="25" t="s">
        <v>58</v>
      </c>
      <c r="C25" s="26" t="s">
        <v>59</v>
      </c>
      <c r="D25" s="19" t="s">
        <v>60</v>
      </c>
      <c r="E25" s="19"/>
      <c r="F25" s="15" t="str" cm="1">
        <f t="array" ref="F25">GetURL(B25)</f>
        <v>https://explore-education-statistics.service.gov.uk/find-statistics/graduate-outcomes-leo</v>
      </c>
    </row>
    <row r="26" spans="1:6" ht="77.5" x14ac:dyDescent="0.35">
      <c r="A26" s="19" t="s">
        <v>11</v>
      </c>
      <c r="B26" s="21" t="s">
        <v>61</v>
      </c>
      <c r="C26" s="19" t="s">
        <v>62</v>
      </c>
      <c r="D26" s="19" t="s">
        <v>63</v>
      </c>
      <c r="E26" s="19"/>
      <c r="F26" s="15" t="str" cm="1">
        <f t="array" ref="F26">GetURL(B26)</f>
        <v>https://explore-education-statistics.service.gov.uk/find-statistics/higher-level-learners-in-england</v>
      </c>
    </row>
    <row r="27" spans="1:6" ht="93" x14ac:dyDescent="0.35">
      <c r="A27" s="19" t="s">
        <v>11</v>
      </c>
      <c r="B27" s="21" t="s">
        <v>64</v>
      </c>
      <c r="C27" s="19" t="s">
        <v>65</v>
      </c>
      <c r="D27" s="19" t="s">
        <v>23</v>
      </c>
      <c r="E27" s="19"/>
      <c r="F27" s="15" t="str" cm="1">
        <f t="array" ref="F27">GetURL(B27)</f>
        <v>https://explore-education-statistics.service.gov.uk/find-statistics/key-stage-4-destination-measures</v>
      </c>
    </row>
    <row r="28" spans="1:6" ht="77.5" x14ac:dyDescent="0.35">
      <c r="A28" s="19" t="s">
        <v>11</v>
      </c>
      <c r="B28" s="33" t="s">
        <v>66</v>
      </c>
      <c r="C28" s="19" t="s">
        <v>67</v>
      </c>
      <c r="D28" s="19" t="s">
        <v>68</v>
      </c>
      <c r="E28" s="19"/>
      <c r="F28" s="15" t="str" cm="1">
        <f t="array" ref="F28">GetURL(B28)</f>
        <v>https://explore-education-statistics.service.gov.uk/find-statistics/leo-graduate-and-postgraduate-outcomes/2019-20)</v>
      </c>
    </row>
    <row r="29" spans="1:6" ht="77.5" x14ac:dyDescent="0.35">
      <c r="A29" s="19" t="s">
        <v>11</v>
      </c>
      <c r="B29" s="21" t="s">
        <v>69</v>
      </c>
      <c r="C29" s="19" t="s">
        <v>70</v>
      </c>
      <c r="D29" s="19" t="s">
        <v>71</v>
      </c>
      <c r="E29" s="19"/>
      <c r="F29" s="15" t="str" cm="1">
        <f t="array" ref="F29">GetURL(B29)</f>
        <v>https://explore-education-statistics.service.gov.uk/find-statistics/graduate-outcomes-leo-provider-level-data/data-guidance</v>
      </c>
    </row>
    <row r="30" spans="1:6" ht="62" x14ac:dyDescent="0.35">
      <c r="A30" s="19" t="s">
        <v>11</v>
      </c>
      <c r="B30" s="21" t="s">
        <v>72</v>
      </c>
      <c r="C30" s="19" t="s">
        <v>73</v>
      </c>
      <c r="D30" s="19" t="s">
        <v>23</v>
      </c>
      <c r="E30" s="19"/>
      <c r="F30" s="15" t="str" cm="1">
        <f t="array" ref="F30">GetURL(B30)</f>
        <v>https://explore-education-statistics.service.gov.uk/find-statistics/longer-term-destinations</v>
      </c>
    </row>
    <row r="31" spans="1:6" ht="46.5" x14ac:dyDescent="0.35">
      <c r="A31" s="19" t="s">
        <v>11</v>
      </c>
      <c r="B31" s="21" t="s">
        <v>74</v>
      </c>
      <c r="C31" s="19" t="s">
        <v>75</v>
      </c>
      <c r="D31" s="21" t="s">
        <v>76</v>
      </c>
      <c r="E31" s="19"/>
      <c r="F31" s="15" t="str" cm="1">
        <f t="array" ref="F31">GetURL(B31)</f>
        <v>https://www.gov.uk/government/collections/sfa-national-success-rates-tables</v>
      </c>
    </row>
    <row r="32" spans="1:6" ht="46.5" x14ac:dyDescent="0.35">
      <c r="A32" s="19" t="s">
        <v>11</v>
      </c>
      <c r="B32" s="21" t="s">
        <v>77</v>
      </c>
      <c r="C32" s="19" t="s">
        <v>78</v>
      </c>
      <c r="D32" s="19" t="s">
        <v>79</v>
      </c>
      <c r="E32" s="19"/>
      <c r="F32" s="15" t="str" cm="1">
        <f t="array" ref="F32">GetURL(B32)</f>
        <v>https://explore-education-statistics.service.gov.uk/find-statistics/neet-statistics-annual-brief</v>
      </c>
    </row>
    <row r="33" spans="1:6" ht="108.5" x14ac:dyDescent="0.35">
      <c r="A33" s="19" t="s">
        <v>11</v>
      </c>
      <c r="B33" s="25" t="s">
        <v>80</v>
      </c>
      <c r="C33" s="32" t="s">
        <v>81</v>
      </c>
      <c r="D33" s="19" t="s">
        <v>82</v>
      </c>
      <c r="E33" s="19"/>
      <c r="F33" s="15" t="str" cm="1">
        <f t="array" ref="F33">GetURL(B33)</f>
        <v>https://www.gov.uk/government/collections/statistics-neet</v>
      </c>
    </row>
    <row r="34" spans="1:6" ht="155" x14ac:dyDescent="0.35">
      <c r="A34" s="19" t="s">
        <v>11</v>
      </c>
      <c r="B34" s="21" t="s">
        <v>83</v>
      </c>
      <c r="C34" s="19" t="s">
        <v>84</v>
      </c>
      <c r="D34" s="19" t="s">
        <v>82</v>
      </c>
      <c r="E34" s="19"/>
      <c r="F34" s="15" t="str" cm="1">
        <f t="array" ref="F34">GetURL(B34)</f>
        <v>https://explore-education-statistics.service.gov.uk/find-statistics/participation-in-education-and-training-and-employment</v>
      </c>
    </row>
    <row r="35" spans="1:6" ht="77.5" x14ac:dyDescent="0.35">
      <c r="A35" s="19" t="s">
        <v>11</v>
      </c>
      <c r="B35" s="21" t="s">
        <v>85</v>
      </c>
      <c r="C35" s="19" t="s">
        <v>86</v>
      </c>
      <c r="D35" s="19" t="s">
        <v>87</v>
      </c>
      <c r="E35" s="19"/>
      <c r="F35" s="15" t="str" cm="1">
        <f t="array" ref="F35">GetURL(B35)</f>
        <v>https://explore-education-statistics.service.gov.uk/find-statistics/participation-in-education-training-and-neet-age-16-to-17-by-local-authority</v>
      </c>
    </row>
    <row r="36" spans="1:6" ht="108.5" x14ac:dyDescent="0.35">
      <c r="A36" s="19" t="s">
        <v>11</v>
      </c>
      <c r="B36" s="21" t="s">
        <v>88</v>
      </c>
      <c r="C36" s="19" t="s">
        <v>89</v>
      </c>
      <c r="D36" s="19" t="s">
        <v>63</v>
      </c>
      <c r="E36" s="19"/>
      <c r="F36" s="15" t="str" cm="1">
        <f t="array" ref="F36">GetURL(B36)</f>
        <v>https://explore-education-statistics.service.gov.uk/find-statistics/participation-measures-in-higher-education</v>
      </c>
    </row>
    <row r="37" spans="1:6" ht="124" x14ac:dyDescent="0.35">
      <c r="A37" s="19" t="s">
        <v>11</v>
      </c>
      <c r="B37" s="21" t="s">
        <v>90</v>
      </c>
      <c r="C37" s="19" t="s">
        <v>91</v>
      </c>
      <c r="D37" s="19" t="s">
        <v>92</v>
      </c>
      <c r="E37" s="19"/>
      <c r="F37" s="15" t="str" cm="1">
        <f t="array" ref="F37">GetURL(B37)</f>
        <v>https://explore-education-statistics.service.gov.uk/find-statistics/progression-to-higher-education-or-training</v>
      </c>
    </row>
    <row r="38" spans="1:6" ht="124" x14ac:dyDescent="0.35">
      <c r="A38" s="19" t="s">
        <v>11</v>
      </c>
      <c r="B38" s="21" t="s">
        <v>93</v>
      </c>
      <c r="C38" s="19" t="s">
        <v>91</v>
      </c>
      <c r="D38" s="19" t="s">
        <v>92</v>
      </c>
      <c r="E38" s="19"/>
      <c r="F38" s="15" t="str" cm="1">
        <f t="array" ref="F38">GetURL(B38)</f>
        <v>https://explore-education-statistics.service.gov.uk/find-statistics/progression-to-higher-education-or-training</v>
      </c>
    </row>
    <row r="39" spans="1:6" ht="77.5" x14ac:dyDescent="0.35">
      <c r="A39" s="19" t="s">
        <v>11</v>
      </c>
      <c r="B39" s="33" t="s">
        <v>94</v>
      </c>
      <c r="C39" s="19" t="s">
        <v>95</v>
      </c>
      <c r="D39" s="19" t="s">
        <v>96</v>
      </c>
      <c r="E39" s="19"/>
      <c r="F39" s="15" t="str" cm="1">
        <f t="array" ref="F39">GetURL(B39)</f>
        <v>https://explore-education-statistics.service.gov.uk/find-statistics/skills-bootcamps-outcomes</v>
      </c>
    </row>
    <row r="40" spans="1:6" ht="46.5" x14ac:dyDescent="0.35">
      <c r="A40" s="19" t="s">
        <v>11</v>
      </c>
      <c r="B40" s="33" t="s">
        <v>97</v>
      </c>
      <c r="C40" s="19" t="s">
        <v>98</v>
      </c>
      <c r="D40" s="21" t="s">
        <v>99</v>
      </c>
      <c r="E40" s="19"/>
      <c r="F40" s="15" t="str" cm="1">
        <f t="array" ref="F40">GetURL(B40)</f>
        <v>https://explore-education-statistics.service.gov.uk/find-statistics/skills-bootcamps-starts</v>
      </c>
    </row>
    <row r="41" spans="1:6" ht="93" x14ac:dyDescent="0.35">
      <c r="A41" s="19" t="s">
        <v>11</v>
      </c>
      <c r="B41" s="33" t="s">
        <v>100</v>
      </c>
      <c r="C41" s="19" t="s">
        <v>101</v>
      </c>
      <c r="D41" s="19" t="s">
        <v>102</v>
      </c>
      <c r="E41" s="19"/>
      <c r="F41" s="15" t="str" cm="1">
        <f t="array" ref="F41">GetURL(B41)</f>
        <v>https://explore-education-statistics.service.gov.uk/find-statistics/widening-participation-in-higher-education</v>
      </c>
    </row>
    <row r="42" spans="1:6" ht="93" x14ac:dyDescent="0.35">
      <c r="A42" s="19" t="s">
        <v>103</v>
      </c>
      <c r="B42" s="21" t="s">
        <v>104</v>
      </c>
      <c r="C42" s="19" t="s">
        <v>105</v>
      </c>
      <c r="D42" s="19" t="s">
        <v>106</v>
      </c>
      <c r="E42" s="19"/>
      <c r="F42" s="15" t="str" cm="1">
        <f t="array" ref="F42">GetURL(B42)</f>
        <v>https://assets.publishing.service.gov.uk/government/uploads/system/uploads/attachment_data/file/835749/Further_Education_for_Benefit_Claimants.pdf</v>
      </c>
    </row>
    <row r="43" spans="1:6" ht="46.5" x14ac:dyDescent="0.35">
      <c r="A43" s="19" t="s">
        <v>107</v>
      </c>
      <c r="B43" s="36" t="s">
        <v>108</v>
      </c>
      <c r="C43" s="37" t="s">
        <v>109</v>
      </c>
      <c r="D43" s="19"/>
      <c r="E43" s="19"/>
      <c r="F43" s="15" t="str" cm="1">
        <f t="array" ref="F43">GetURL(B43)</f>
        <v>https://www.gov.uk/education/further-and-higher-education-skills-and-vocational-training</v>
      </c>
    </row>
    <row r="44" spans="1:6" ht="124" x14ac:dyDescent="0.35">
      <c r="A44" s="19" t="s">
        <v>110</v>
      </c>
      <c r="B44" s="36" t="s">
        <v>111</v>
      </c>
      <c r="C44" s="37" t="s">
        <v>112</v>
      </c>
      <c r="D44" s="19" t="s">
        <v>113</v>
      </c>
      <c r="E44" s="19"/>
      <c r="F44" s="15" t="str" cm="1">
        <f t="array" ref="F44">GetURL(B44)</f>
        <v>https://www.hesa.ac.uk/news/18-04-2023/ah2304-degree-attainment-socioeconomic-background</v>
      </c>
    </row>
    <row r="45" spans="1:6" ht="93" x14ac:dyDescent="0.35">
      <c r="A45" s="19" t="s">
        <v>110</v>
      </c>
      <c r="B45" s="36" t="s">
        <v>114</v>
      </c>
      <c r="C45" s="19" t="s">
        <v>115</v>
      </c>
      <c r="D45" s="19" t="s">
        <v>116</v>
      </c>
      <c r="E45" s="19"/>
      <c r="F45" s="15" t="str" cm="1">
        <f t="array" ref="F45">GetURL(B45)</f>
        <v>https://www.hesa.ac.uk/news/16-06-2022/sb263-higher-education-graduate-outcomes-statistics</v>
      </c>
    </row>
    <row r="46" spans="1:6" ht="186" x14ac:dyDescent="0.35">
      <c r="A46" s="19" t="s">
        <v>110</v>
      </c>
      <c r="B46" s="38" t="s">
        <v>117</v>
      </c>
      <c r="C46" s="37" t="s">
        <v>118</v>
      </c>
      <c r="D46" s="19" t="s">
        <v>119</v>
      </c>
      <c r="E46" s="19"/>
      <c r="F46" s="15" t="str" cm="1">
        <f t="array" ref="F46">GetURL(B46)</f>
        <v>https://www.hesa.ac.uk/data-and-analysis/students</v>
      </c>
    </row>
    <row r="47" spans="1:6" ht="31" x14ac:dyDescent="0.35">
      <c r="A47" s="19" t="s">
        <v>120</v>
      </c>
      <c r="B47" s="36" t="s">
        <v>121</v>
      </c>
      <c r="C47" s="19" t="s">
        <v>122</v>
      </c>
      <c r="D47" s="19" t="s">
        <v>123</v>
      </c>
      <c r="E47" s="19"/>
      <c r="F47" s="15" t="str" cm="1">
        <f t="array" ref="F47">GetURL(B47)</f>
        <v>https://www.ons.gov.uk/businessindustryandtrade/business/activitysizeandlocation/bulletins/businessdemography/2021</v>
      </c>
    </row>
    <row r="48" spans="1:6" ht="77.5" x14ac:dyDescent="0.35">
      <c r="A48" s="19" t="s">
        <v>120</v>
      </c>
      <c r="B48" s="36" t="s">
        <v>124</v>
      </c>
      <c r="C48" s="19" t="s">
        <v>125</v>
      </c>
      <c r="D48" s="19" t="s">
        <v>126</v>
      </c>
      <c r="E48" s="19"/>
      <c r="F48" s="15" t="str" cm="1">
        <f t="array" ref="F48">GetURL(B48)</f>
        <v>https://www.ons.gov.uk/businessindustryandtrade/business/activitysizeandlocation/bulletins/businessdemographyquarterlyexperimentalstatisticsuk/previousReleases</v>
      </c>
    </row>
    <row r="49" spans="1:6" ht="62" x14ac:dyDescent="0.35">
      <c r="A49" s="19" t="s">
        <v>120</v>
      </c>
      <c r="B49" s="36" t="s">
        <v>127</v>
      </c>
      <c r="C49" s="19" t="s">
        <v>128</v>
      </c>
      <c r="D49" s="19" t="s">
        <v>129</v>
      </c>
      <c r="E49" s="19"/>
      <c r="F49" s="15" t="str" cm="1">
        <f t="array" ref="F49">GetURL(B49)</f>
        <v>https://www.ons.gov.uk/employmentandlabourmarket/peopleinwork/employmentandemployeetypes/bulletins/businessregisterandemploymentsurveybresprovisionalresults/previousReleases</v>
      </c>
    </row>
    <row r="50" spans="1:6" ht="46.5" x14ac:dyDescent="0.35">
      <c r="A50" s="19" t="s">
        <v>120</v>
      </c>
      <c r="B50" s="36" t="s">
        <v>130</v>
      </c>
      <c r="C50" s="19" t="s">
        <v>131</v>
      </c>
      <c r="D50" s="19" t="s">
        <v>132</v>
      </c>
      <c r="E50" s="19"/>
      <c r="F50" s="15" t="str" cm="1">
        <f t="array" ref="F50">GetURL(B50)</f>
        <v>https://www.ons.gov.uk/businessindustryandtrade/business/activitysizeandlocation/methodologies/multiplebusinessregistrationsatasinglepostcode2020</v>
      </c>
    </row>
    <row r="51" spans="1:6" ht="62" x14ac:dyDescent="0.35">
      <c r="A51" s="19" t="s">
        <v>120</v>
      </c>
      <c r="B51" s="39" t="s">
        <v>133</v>
      </c>
      <c r="C51" s="40" t="s">
        <v>134</v>
      </c>
      <c r="D51" s="19" t="s">
        <v>135</v>
      </c>
      <c r="E51" s="19"/>
      <c r="F51" s="15" t="str" cm="1">
        <f t="array" ref="F51">GetURL(B51)</f>
        <v>https://www.ons.gov.uk/releases/qualificationlevelsbycountryofbirth</v>
      </c>
    </row>
    <row r="52" spans="1:6" ht="46.5" x14ac:dyDescent="0.35">
      <c r="A52" s="19" t="s">
        <v>120</v>
      </c>
      <c r="B52" s="36" t="s">
        <v>136</v>
      </c>
      <c r="C52" s="19" t="s">
        <v>137</v>
      </c>
      <c r="D52" s="19" t="s">
        <v>123</v>
      </c>
      <c r="E52" s="19"/>
      <c r="F52" s="15" t="str" cm="1">
        <f t="array" ref="F52">GetURL(B52)</f>
        <v>https://www.ons.gov.uk/businessindustryandtrade/business/activitysizeandlocation/bulletins/ukbusinessactivitysizeandlocation/previousReleases</v>
      </c>
    </row>
    <row r="53" spans="1:6" x14ac:dyDescent="0.35">
      <c r="A53" s="22"/>
      <c r="B53" s="22"/>
      <c r="C53" s="22"/>
      <c r="D53" s="22"/>
      <c r="E53" s="22"/>
    </row>
    <row r="54" spans="1:6" x14ac:dyDescent="0.35">
      <c r="A54" s="22"/>
      <c r="B54" s="22"/>
      <c r="C54" s="22"/>
      <c r="D54" s="22"/>
      <c r="E54" s="22"/>
    </row>
    <row r="55" spans="1:6" x14ac:dyDescent="0.35">
      <c r="A55" s="22"/>
      <c r="B55" s="22"/>
      <c r="C55" s="22"/>
      <c r="D55" s="22"/>
      <c r="E55" s="22"/>
    </row>
    <row r="56" spans="1:6" x14ac:dyDescent="0.35">
      <c r="A56" s="22"/>
      <c r="B56" s="22"/>
      <c r="C56" s="22"/>
      <c r="D56" s="22"/>
      <c r="E56" s="22"/>
    </row>
    <row r="57" spans="1:6" x14ac:dyDescent="0.35">
      <c r="A57" s="22"/>
      <c r="B57" s="22"/>
      <c r="C57" s="22"/>
      <c r="D57" s="22"/>
      <c r="E57" s="22"/>
    </row>
    <row r="58" spans="1:6" x14ac:dyDescent="0.35">
      <c r="A58" s="22"/>
      <c r="B58" s="22"/>
      <c r="C58" s="22"/>
      <c r="D58" s="22"/>
      <c r="E58" s="22"/>
    </row>
    <row r="59" spans="1:6" x14ac:dyDescent="0.35">
      <c r="A59" s="22"/>
      <c r="B59" s="22"/>
      <c r="C59" s="22"/>
      <c r="D59" s="22"/>
      <c r="E59" s="22"/>
    </row>
    <row r="60" spans="1:6" x14ac:dyDescent="0.35">
      <c r="A60" s="22"/>
      <c r="B60" s="22"/>
      <c r="C60" s="22"/>
      <c r="D60" s="22"/>
      <c r="E60" s="22"/>
    </row>
    <row r="61" spans="1:6" x14ac:dyDescent="0.35">
      <c r="A61" s="22"/>
      <c r="B61" s="22"/>
      <c r="C61" s="22"/>
      <c r="D61" s="22"/>
      <c r="E61" s="22"/>
    </row>
    <row r="62" spans="1:6" x14ac:dyDescent="0.35">
      <c r="A62" s="22"/>
      <c r="B62" s="22"/>
      <c r="C62" s="22"/>
      <c r="D62" s="22"/>
      <c r="E62" s="22"/>
    </row>
    <row r="63" spans="1:6" x14ac:dyDescent="0.35">
      <c r="A63" s="22"/>
      <c r="B63" s="22"/>
      <c r="C63" s="22"/>
      <c r="D63" s="22"/>
      <c r="E63" s="22"/>
    </row>
    <row r="64" spans="1:6" x14ac:dyDescent="0.35">
      <c r="A64" s="22"/>
      <c r="B64" s="22"/>
      <c r="C64" s="22"/>
      <c r="D64" s="22"/>
      <c r="E64" s="22"/>
    </row>
    <row r="65" spans="1:5" x14ac:dyDescent="0.35">
      <c r="A65" s="22"/>
      <c r="B65" s="22"/>
      <c r="C65" s="22"/>
      <c r="D65" s="22"/>
      <c r="E65" s="22"/>
    </row>
    <row r="66" spans="1:5" x14ac:dyDescent="0.35">
      <c r="A66" s="22"/>
      <c r="B66" s="22"/>
      <c r="C66" s="22"/>
      <c r="D66" s="22"/>
      <c r="E66" s="22"/>
    </row>
    <row r="67" spans="1:5" x14ac:dyDescent="0.35">
      <c r="A67" s="22"/>
      <c r="B67" s="22"/>
      <c r="C67" s="22"/>
      <c r="D67" s="22"/>
      <c r="E67" s="22"/>
    </row>
    <row r="68" spans="1:5" x14ac:dyDescent="0.35">
      <c r="A68" s="22"/>
      <c r="B68" s="22"/>
      <c r="C68" s="22"/>
      <c r="D68" s="22"/>
      <c r="E68" s="22"/>
    </row>
    <row r="69" spans="1:5" x14ac:dyDescent="0.35">
      <c r="A69" s="22"/>
      <c r="B69" s="22"/>
      <c r="C69" s="22"/>
      <c r="D69" s="22"/>
      <c r="E69" s="22"/>
    </row>
    <row r="70" spans="1:5" x14ac:dyDescent="0.35">
      <c r="A70" s="22"/>
      <c r="B70" s="22"/>
      <c r="C70" s="22"/>
      <c r="D70" s="22"/>
      <c r="E70" s="22"/>
    </row>
    <row r="71" spans="1:5" x14ac:dyDescent="0.35">
      <c r="A71" s="22"/>
      <c r="B71" s="22"/>
      <c r="C71" s="22"/>
      <c r="D71" s="22"/>
      <c r="E71" s="22"/>
    </row>
    <row r="72" spans="1:5" x14ac:dyDescent="0.35">
      <c r="A72" s="22"/>
      <c r="B72" s="22"/>
      <c r="C72" s="22"/>
      <c r="D72" s="22"/>
      <c r="E72" s="22"/>
    </row>
    <row r="73" spans="1:5" x14ac:dyDescent="0.35">
      <c r="A73" s="22"/>
      <c r="B73" s="22"/>
      <c r="C73" s="22"/>
      <c r="D73" s="22"/>
      <c r="E73" s="22"/>
    </row>
    <row r="74" spans="1:5" x14ac:dyDescent="0.35">
      <c r="A74" s="22"/>
      <c r="B74" s="22"/>
      <c r="C74" s="22"/>
      <c r="D74" s="22"/>
      <c r="E74" s="22"/>
    </row>
    <row r="75" spans="1:5" x14ac:dyDescent="0.35">
      <c r="A75" s="22"/>
      <c r="B75" s="22"/>
      <c r="C75" s="22"/>
      <c r="D75" s="22"/>
      <c r="E75" s="22"/>
    </row>
    <row r="76" spans="1:5" x14ac:dyDescent="0.35">
      <c r="A76" s="22"/>
      <c r="B76" s="22"/>
      <c r="C76" s="22"/>
      <c r="D76" s="22"/>
      <c r="E76" s="22"/>
    </row>
    <row r="77" spans="1:5" x14ac:dyDescent="0.35">
      <c r="A77" s="22"/>
      <c r="B77" s="22"/>
      <c r="C77" s="22"/>
      <c r="D77" s="22"/>
      <c r="E77" s="22"/>
    </row>
    <row r="78" spans="1:5" x14ac:dyDescent="0.35">
      <c r="A78" s="22"/>
      <c r="B78" s="22"/>
      <c r="C78" s="22"/>
      <c r="D78" s="22"/>
      <c r="E78" s="22"/>
    </row>
    <row r="79" spans="1:5" x14ac:dyDescent="0.35">
      <c r="A79" s="22"/>
      <c r="B79" s="22"/>
      <c r="C79" s="22"/>
      <c r="D79" s="22"/>
      <c r="E79" s="22"/>
    </row>
    <row r="80" spans="1:5" x14ac:dyDescent="0.35">
      <c r="A80" s="22"/>
      <c r="B80" s="22"/>
      <c r="C80" s="22"/>
      <c r="D80" s="22"/>
      <c r="E80" s="22"/>
    </row>
    <row r="81" spans="1:5" x14ac:dyDescent="0.35">
      <c r="A81" s="22"/>
      <c r="B81" s="22"/>
      <c r="C81" s="22"/>
      <c r="D81" s="22"/>
      <c r="E81" s="22"/>
    </row>
    <row r="82" spans="1:5" x14ac:dyDescent="0.35">
      <c r="A82" s="22"/>
      <c r="B82" s="22"/>
      <c r="C82" s="22"/>
      <c r="D82" s="22"/>
      <c r="E82" s="22"/>
    </row>
    <row r="83" spans="1:5" x14ac:dyDescent="0.35">
      <c r="A83" s="22"/>
      <c r="B83" s="22"/>
      <c r="C83" s="22"/>
      <c r="D83" s="22"/>
      <c r="E83" s="22"/>
    </row>
  </sheetData>
  <autoFilter ref="A6:J52" xr:uid="{7567677C-D2B7-43DB-A89C-21935B49E66E}"/>
  <mergeCells count="2">
    <mergeCell ref="A1:B1"/>
    <mergeCell ref="A2:B2"/>
  </mergeCells>
  <hyperlinks>
    <hyperlink ref="B19"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33" r:id="rId3" display="https://www.gov.uk/government/collections/statistics-neet" xr:uid="{CD5064AF-939C-4B4B-B59F-2B7078BF2D97}"/>
    <hyperlink ref="B22"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5" r:id="rId6" tooltip="https://explore-education-statistics.service.gov.uk/find-statistics/graduate-outcomes-leo" display="https://explore-education-statistics.service.gov.uk/find-statistics/graduate-outcomes-leo" xr:uid="{A0653CFF-5B3C-401C-9C26-D4DDC465E56A}"/>
    <hyperlink ref="B15"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6" r:id="rId10" xr:uid="{5969B157-8537-42BA-9221-E4F27488557C}"/>
    <hyperlink ref="B16" r:id="rId11" display="Deatailed destinations of 16 to 18 year olds in FE" xr:uid="{E193B429-1003-4AD6-A8EC-7CAD4FF4E83B}"/>
    <hyperlink ref="B31" r:id="rId12" location="full-publication-update-history" xr:uid="{226849C8-0B09-4BE2-97CD-022B507105EB}"/>
    <hyperlink ref="B38" r:id="rId13" display="https://explore-education-statistics.service.gov.uk/find-statistics/progression-to-higher-education-or-training" xr:uid="{E5C6FC45-0016-42A0-98BB-0EFFDFD0A805}"/>
    <hyperlink ref="B32" r:id="rId14" xr:uid="{D9FB4357-5A8A-4298-BEB5-24A03D30C97F}"/>
    <hyperlink ref="B35" r:id="rId15" xr:uid="{7160C659-735F-4135-AF31-FFDC343E2B0E}"/>
    <hyperlink ref="B37" r:id="rId16" xr:uid="{28171788-DA7F-4781-87F9-284691DDB1D0}"/>
    <hyperlink ref="B27" r:id="rId17" xr:uid="{B5B9BC61-D331-4EE8-9DA0-72550CE8797A}"/>
    <hyperlink ref="B30" r:id="rId18" xr:uid="{41E79EA5-4838-41F1-A5E1-583E8A64CAE3}"/>
    <hyperlink ref="B34" r:id="rId19" xr:uid="{9763409C-6A59-45DE-9E23-718E24DB3A3E}"/>
    <hyperlink ref="B20" r:id="rId20" display="Further education and skills" xr:uid="{56A1E562-91B3-4FDB-8D78-CE2F8E7A0440}"/>
    <hyperlink ref="B36" r:id="rId21" xr:uid="{80087533-C853-427B-830D-DEAF6E1D44E5}"/>
    <hyperlink ref="B29" r:id="rId22" xr:uid="{7600C959-8143-4A1D-A994-883C82E9BEFF}"/>
    <hyperlink ref="B24" r:id="rId23" location="contact-us" xr:uid="{EB07820C-E5A2-4EE4-8350-68D685F6F3BF}"/>
    <hyperlink ref="B12" r:id="rId24" location="contact-us" xr:uid="{F21300D0-7F08-475A-A621-F75CF8476824}"/>
    <hyperlink ref="B52" r:id="rId25" xr:uid="{5C4DE037-D452-47C7-BE6C-5700D6795C76}"/>
    <hyperlink ref="B7" r:id="rId26" xr:uid="{ED51507E-4A75-492F-BA2B-CB7666CA4304}"/>
    <hyperlink ref="B48" r:id="rId27" xr:uid="{95AA5078-8043-487C-B5D4-55DC3C42D4C4}"/>
    <hyperlink ref="B50" r:id="rId28" xr:uid="{5B92AFB7-3EE8-43C2-A4E6-36BA294F9B60}"/>
    <hyperlink ref="B49" r:id="rId29" xr:uid="{74C81B54-CA2C-4A46-8D74-0B8FC9A576A3}"/>
    <hyperlink ref="B47" r:id="rId30" xr:uid="{177E50DE-C988-4AF6-81A8-C7213CF83A92}"/>
    <hyperlink ref="B51" r:id="rId31" xr:uid="{20F5A550-09FA-4EA7-8518-7B939862E1B8}"/>
    <hyperlink ref="B43" r:id="rId32" xr:uid="{2058B6E8-888B-47BE-9853-1EAAC1E2CC7E}"/>
    <hyperlink ref="B11" r:id="rId33" xr:uid="{EFFD71A1-CBDB-4C8B-AC11-5BF2813602AA}"/>
    <hyperlink ref="B23" r:id="rId34" xr:uid="{5E8A21F3-D5F2-482F-BC43-B19BC98DC1E5}"/>
    <hyperlink ref="B44" r:id="rId35" location="intro" xr:uid="{2045FE45-32DD-45E5-8EE5-25A659371578}"/>
    <hyperlink ref="B46" r:id="rId36" xr:uid="{E3953D45-E165-4AD7-AA87-B755CB1B8C5D}"/>
    <hyperlink ref="B42" r:id="rId37" xr:uid="{CED9CAB7-06EE-413F-8A73-4C19A5788986}"/>
    <hyperlink ref="B45" r:id="rId38" xr:uid="{4820D305-54F3-425D-BC7E-28CCF2108C2B}"/>
    <hyperlink ref="D9" r:id="rId39" xr:uid="{BAEFDBF3-1362-43D8-A110-011099122A05}"/>
    <hyperlink ref="D8" r:id="rId40" xr:uid="{73C61E19-AB36-4F54-8D97-602EF3A1E122}"/>
    <hyperlink ref="D16" r:id="rId41" xr:uid="{A21DDA45-F4DC-4035-BD74-7C549B2D2121}"/>
    <hyperlink ref="D23" r:id="rId42" xr:uid="{06DB4697-4336-40D1-A3F5-B11A914179A7}"/>
    <hyperlink ref="D31" r:id="rId43" xr:uid="{FF09005F-3096-4F20-919C-B216A5D0F3DB}"/>
    <hyperlink ref="D14" r:id="rId44" xr:uid="{17698B0F-05CF-4435-9502-4F8E337CDD07}"/>
    <hyperlink ref="B18" r:id="rId45" xr:uid="{E8ED7F18-7AD0-426A-8B79-FCC616A00B9B}"/>
    <hyperlink ref="B21" r:id="rId46" xr:uid="{45DB7CF3-650F-4A90-8013-23072A703634}"/>
    <hyperlink ref="D21" r:id="rId47" display="FE.OUTCOMESDATA@education.gov.uk" xr:uid="{7D851D66-7BEB-4292-AAAE-AEE3BE4E5A2E}"/>
    <hyperlink ref="B28" r:id="rId48" xr:uid="{C9B17CD9-0B97-4762-9D85-565D11A82DEF}"/>
    <hyperlink ref="B39" r:id="rId49" xr:uid="{D49D8D6B-AB3A-4999-9DCD-9596BCFE8555}"/>
    <hyperlink ref="B40" r:id="rId50" xr:uid="{932288C4-9C24-4C6E-9451-E18B4E902D1E}"/>
    <hyperlink ref="D40" r:id="rId51" xr:uid="{BC0B3CA3-54C5-4D0A-B2BB-67B95D6AF35B}"/>
    <hyperlink ref="B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138</v>
      </c>
      <c r="C2" s="1" t="s">
        <v>139</v>
      </c>
      <c r="D2" s="1" t="s">
        <v>140</v>
      </c>
      <c r="E2" s="1" t="s">
        <v>141</v>
      </c>
      <c r="F2" s="1" t="s">
        <v>142</v>
      </c>
      <c r="G2" s="1" t="s">
        <v>143</v>
      </c>
      <c r="H2" s="1" t="s">
        <v>144</v>
      </c>
      <c r="I2" s="1" t="s">
        <v>145</v>
      </c>
      <c r="J2" s="1" t="s">
        <v>146</v>
      </c>
      <c r="K2" s="1" t="s">
        <v>147</v>
      </c>
      <c r="L2" s="1" t="s">
        <v>148</v>
      </c>
      <c r="M2" s="1" t="s">
        <v>149</v>
      </c>
      <c r="N2" s="1" t="s">
        <v>150</v>
      </c>
      <c r="O2" s="1" t="s">
        <v>151</v>
      </c>
      <c r="P2" s="1" t="s">
        <v>152</v>
      </c>
      <c r="Q2" s="1" t="s">
        <v>153</v>
      </c>
      <c r="R2" s="1" t="s">
        <v>154</v>
      </c>
      <c r="S2" s="1" t="s">
        <v>155</v>
      </c>
      <c r="T2" s="1" t="s">
        <v>156</v>
      </c>
      <c r="U2" s="1" t="s">
        <v>157</v>
      </c>
      <c r="V2" s="1" t="s">
        <v>158</v>
      </c>
      <c r="W2" s="1" t="s">
        <v>159</v>
      </c>
      <c r="X2" s="1" t="s">
        <v>160</v>
      </c>
      <c r="Y2" s="1" t="s">
        <v>161</v>
      </c>
      <c r="Z2" s="1" t="s">
        <v>162</v>
      </c>
      <c r="AA2" s="1" t="s">
        <v>163</v>
      </c>
      <c r="AB2" s="1" t="s">
        <v>164</v>
      </c>
      <c r="AC2" s="1" t="s">
        <v>165</v>
      </c>
      <c r="AD2" s="1" t="s">
        <v>166</v>
      </c>
      <c r="AE2" s="1" t="s">
        <v>167</v>
      </c>
      <c r="AF2" s="1" t="s">
        <v>168</v>
      </c>
      <c r="AG2" s="1" t="s">
        <v>169</v>
      </c>
      <c r="AH2" s="1" t="s">
        <v>170</v>
      </c>
      <c r="AI2" s="1" t="s">
        <v>171</v>
      </c>
      <c r="AJ2" s="1" t="s">
        <v>172</v>
      </c>
      <c r="AK2" s="1" t="s">
        <v>173</v>
      </c>
      <c r="AL2" s="1" t="s">
        <v>174</v>
      </c>
      <c r="AM2" s="1" t="s">
        <v>175</v>
      </c>
      <c r="AN2" s="1" t="s">
        <v>176</v>
      </c>
      <c r="AO2" s="1" t="s">
        <v>177</v>
      </c>
      <c r="AP2" s="1" t="s">
        <v>178</v>
      </c>
      <c r="AQ2" s="1" t="s">
        <v>179</v>
      </c>
      <c r="AR2" s="1" t="s">
        <v>180</v>
      </c>
      <c r="AS2" s="1" t="s">
        <v>181</v>
      </c>
      <c r="AT2" s="1" t="s">
        <v>182</v>
      </c>
      <c r="AU2" s="1" t="s">
        <v>183</v>
      </c>
      <c r="AV2" s="1" t="s">
        <v>184</v>
      </c>
      <c r="AW2" s="1" t="s">
        <v>185</v>
      </c>
      <c r="AX2" s="1" t="s">
        <v>186</v>
      </c>
      <c r="AY2" s="1" t="s">
        <v>187</v>
      </c>
      <c r="AZ2" s="1" t="s">
        <v>188</v>
      </c>
      <c r="BA2" s="1" t="s">
        <v>189</v>
      </c>
      <c r="BB2" s="1" t="s">
        <v>190</v>
      </c>
      <c r="BC2" s="1" t="s">
        <v>191</v>
      </c>
      <c r="BD2" s="1" t="s">
        <v>192</v>
      </c>
      <c r="BE2" s="1" t="s">
        <v>193</v>
      </c>
      <c r="BF2" s="1" t="s">
        <v>194</v>
      </c>
      <c r="BG2" s="1" t="s">
        <v>195</v>
      </c>
      <c r="BH2" s="1" t="s">
        <v>196</v>
      </c>
      <c r="BI2" s="1" t="s">
        <v>197</v>
      </c>
      <c r="BJ2" s="1" t="s">
        <v>198</v>
      </c>
      <c r="BK2" s="1" t="s">
        <v>199</v>
      </c>
      <c r="BL2" s="1" t="s">
        <v>200</v>
      </c>
      <c r="BM2" s="1" t="s">
        <v>201</v>
      </c>
      <c r="BN2" s="1" t="s">
        <v>202</v>
      </c>
      <c r="BO2" s="1" t="s">
        <v>203</v>
      </c>
      <c r="BP2" s="1" t="s">
        <v>204</v>
      </c>
      <c r="BQ2" s="1" t="s">
        <v>205</v>
      </c>
      <c r="BR2" s="1" t="s">
        <v>206</v>
      </c>
      <c r="BS2" s="1" t="s">
        <v>207</v>
      </c>
      <c r="BT2" s="1" t="s">
        <v>208</v>
      </c>
      <c r="BU2" s="1" t="s">
        <v>209</v>
      </c>
      <c r="BV2" s="1" t="s">
        <v>210</v>
      </c>
      <c r="BW2" s="1" t="s">
        <v>211</v>
      </c>
      <c r="BX2" s="1" t="s">
        <v>212</v>
      </c>
      <c r="BY2" s="1" t="s">
        <v>213</v>
      </c>
      <c r="BZ2" s="1" t="s">
        <v>214</v>
      </c>
      <c r="CA2" s="1" t="s">
        <v>215</v>
      </c>
      <c r="CB2" s="1" t="s">
        <v>216</v>
      </c>
      <c r="CC2" s="1" t="s">
        <v>217</v>
      </c>
      <c r="CD2" s="1" t="s">
        <v>218</v>
      </c>
      <c r="CE2" s="1" t="s">
        <v>219</v>
      </c>
      <c r="CF2" s="1" t="s">
        <v>220</v>
      </c>
      <c r="CG2" s="1" t="s">
        <v>221</v>
      </c>
      <c r="CH2" s="1" t="s">
        <v>222</v>
      </c>
      <c r="CI2" s="1" t="s">
        <v>223</v>
      </c>
      <c r="CJ2" s="1" t="s">
        <v>224</v>
      </c>
      <c r="CK2" s="1" t="s">
        <v>225</v>
      </c>
      <c r="CL2" s="1" t="s">
        <v>226</v>
      </c>
      <c r="CM2" s="1" t="s">
        <v>227</v>
      </c>
      <c r="CN2" s="1" t="s">
        <v>228</v>
      </c>
      <c r="CO2" s="1" t="s">
        <v>229</v>
      </c>
      <c r="CP2" s="1" t="s">
        <v>230</v>
      </c>
      <c r="CQ2" s="1" t="s">
        <v>231</v>
      </c>
      <c r="CR2" s="1" t="s">
        <v>232</v>
      </c>
      <c r="CS2" s="1" t="s">
        <v>233</v>
      </c>
      <c r="CT2" s="1" t="s">
        <v>234</v>
      </c>
      <c r="CU2" s="1" t="s">
        <v>235</v>
      </c>
      <c r="CV2" s="1" t="s">
        <v>236</v>
      </c>
      <c r="CW2" s="1" t="s">
        <v>237</v>
      </c>
      <c r="CX2" s="1" t="s">
        <v>238</v>
      </c>
      <c r="CY2" s="1" t="s">
        <v>239</v>
      </c>
      <c r="CZ2" s="1" t="s">
        <v>240</v>
      </c>
      <c r="DA2" s="1" t="s">
        <v>241</v>
      </c>
      <c r="DB2" s="1" t="s">
        <v>242</v>
      </c>
      <c r="DC2" s="1" t="s">
        <v>243</v>
      </c>
      <c r="DD2" s="1" t="s">
        <v>244</v>
      </c>
      <c r="DE2" s="1" t="s">
        <v>245</v>
      </c>
      <c r="DF2" s="1" t="s">
        <v>246</v>
      </c>
      <c r="DG2" s="1" t="s">
        <v>247</v>
      </c>
      <c r="DH2" s="1" t="s">
        <v>248</v>
      </c>
      <c r="DI2" s="1" t="s">
        <v>249</v>
      </c>
      <c r="DJ2" s="1" t="s">
        <v>250</v>
      </c>
      <c r="DK2" s="1" t="s">
        <v>251</v>
      </c>
      <c r="DL2" s="1" t="s">
        <v>252</v>
      </c>
      <c r="DM2" s="1" t="s">
        <v>253</v>
      </c>
      <c r="DN2" s="1" t="s">
        <v>254</v>
      </c>
      <c r="DO2" s="1" t="s">
        <v>255</v>
      </c>
      <c r="DP2" s="1" t="s">
        <v>256</v>
      </c>
      <c r="DQ2" s="1" t="s">
        <v>257</v>
      </c>
      <c r="DR2" s="1" t="s">
        <v>258</v>
      </c>
      <c r="DS2" s="1" t="s">
        <v>259</v>
      </c>
      <c r="DT2" s="1" t="s">
        <v>260</v>
      </c>
      <c r="DU2" s="1" t="s">
        <v>261</v>
      </c>
      <c r="DV2" s="1" t="s">
        <v>262</v>
      </c>
      <c r="DW2" s="1" t="s">
        <v>263</v>
      </c>
      <c r="DX2" s="1" t="s">
        <v>264</v>
      </c>
      <c r="DY2" s="1" t="s">
        <v>265</v>
      </c>
      <c r="DZ2" s="1" t="s">
        <v>266</v>
      </c>
      <c r="EA2" s="1" t="s">
        <v>267</v>
      </c>
      <c r="EB2" s="1" t="s">
        <v>268</v>
      </c>
      <c r="EC2" s="1" t="s">
        <v>269</v>
      </c>
      <c r="ED2" s="1" t="s">
        <v>270</v>
      </c>
      <c r="EE2" s="1" t="s">
        <v>271</v>
      </c>
      <c r="EF2" s="1" t="s">
        <v>272</v>
      </c>
      <c r="EG2" s="1" t="s">
        <v>273</v>
      </c>
      <c r="EH2" s="1" t="s">
        <v>274</v>
      </c>
      <c r="EI2" s="1" t="s">
        <v>275</v>
      </c>
      <c r="EJ2" s="1" t="s">
        <v>276</v>
      </c>
      <c r="EK2" s="1" t="s">
        <v>277</v>
      </c>
      <c r="EL2" s="1" t="s">
        <v>278</v>
      </c>
      <c r="EM2" s="1" t="s">
        <v>279</v>
      </c>
      <c r="EN2" s="1" t="s">
        <v>280</v>
      </c>
      <c r="EO2" s="1" t="s">
        <v>281</v>
      </c>
      <c r="EP2" s="1" t="s">
        <v>282</v>
      </c>
      <c r="EQ2" s="1" t="s">
        <v>283</v>
      </c>
      <c r="ER2" s="1" t="s">
        <v>284</v>
      </c>
      <c r="ES2" s="1" t="s">
        <v>285</v>
      </c>
      <c r="ET2" s="1" t="s">
        <v>286</v>
      </c>
      <c r="EU2" s="1" t="s">
        <v>287</v>
      </c>
      <c r="EV2" s="1" t="s">
        <v>288</v>
      </c>
      <c r="EW2" s="1" t="s">
        <v>289</v>
      </c>
      <c r="EX2" s="1" t="s">
        <v>290</v>
      </c>
      <c r="EY2" s="1" t="s">
        <v>291</v>
      </c>
      <c r="EZ2" s="1" t="s">
        <v>292</v>
      </c>
      <c r="FA2" s="1" t="s">
        <v>293</v>
      </c>
      <c r="FB2" s="1" t="s">
        <v>294</v>
      </c>
      <c r="FC2" s="1" t="s">
        <v>295</v>
      </c>
      <c r="FD2" s="1" t="s">
        <v>296</v>
      </c>
      <c r="FE2" s="1" t="s">
        <v>297</v>
      </c>
      <c r="FF2" s="1" t="s">
        <v>298</v>
      </c>
      <c r="FG2" s="1" t="s">
        <v>299</v>
      </c>
      <c r="FH2" s="1" t="s">
        <v>300</v>
      </c>
      <c r="FI2" s="1" t="s">
        <v>301</v>
      </c>
      <c r="FJ2" s="1" t="s">
        <v>302</v>
      </c>
      <c r="FK2" s="1" t="s">
        <v>303</v>
      </c>
      <c r="FL2" s="1" t="s">
        <v>304</v>
      </c>
      <c r="FM2" s="1" t="s">
        <v>305</v>
      </c>
      <c r="FN2" s="1" t="s">
        <v>306</v>
      </c>
      <c r="FO2" s="1" t="s">
        <v>307</v>
      </c>
      <c r="FP2" s="1" t="s">
        <v>308</v>
      </c>
      <c r="FQ2" s="1" t="s">
        <v>309</v>
      </c>
      <c r="FR2" s="1" t="s">
        <v>310</v>
      </c>
      <c r="FS2" s="1" t="s">
        <v>311</v>
      </c>
      <c r="FT2" s="1" t="s">
        <v>312</v>
      </c>
      <c r="FU2" s="1" t="s">
        <v>313</v>
      </c>
      <c r="FV2" s="1" t="s">
        <v>314</v>
      </c>
      <c r="FW2" s="1" t="s">
        <v>315</v>
      </c>
      <c r="FX2" s="1" t="s">
        <v>316</v>
      </c>
      <c r="FY2" s="1" t="s">
        <v>317</v>
      </c>
      <c r="FZ2" s="1" t="s">
        <v>318</v>
      </c>
      <c r="GA2" s="1" t="s">
        <v>319</v>
      </c>
      <c r="GB2" s="1" t="s">
        <v>320</v>
      </c>
      <c r="GC2" s="1" t="s">
        <v>321</v>
      </c>
      <c r="GD2" s="1" t="s">
        <v>322</v>
      </c>
      <c r="GE2" s="1" t="s">
        <v>323</v>
      </c>
      <c r="GF2" s="1" t="s">
        <v>324</v>
      </c>
      <c r="GG2" s="1" t="s">
        <v>325</v>
      </c>
      <c r="GH2" s="1" t="s">
        <v>326</v>
      </c>
      <c r="GI2" s="1" t="s">
        <v>327</v>
      </c>
      <c r="GJ2" s="1" t="s">
        <v>328</v>
      </c>
      <c r="GK2" s="1" t="s">
        <v>329</v>
      </c>
      <c r="GL2" s="1" t="s">
        <v>330</v>
      </c>
      <c r="GM2" s="1" t="s">
        <v>331</v>
      </c>
      <c r="GN2" s="1" t="s">
        <v>332</v>
      </c>
      <c r="GO2" s="1" t="s">
        <v>333</v>
      </c>
      <c r="GP2" s="1" t="s">
        <v>334</v>
      </c>
      <c r="GQ2" s="1" t="s">
        <v>335</v>
      </c>
      <c r="GR2" s="1" t="s">
        <v>336</v>
      </c>
      <c r="GS2" s="1" t="s">
        <v>337</v>
      </c>
      <c r="GT2" s="1" t="s">
        <v>338</v>
      </c>
      <c r="GU2" s="1" t="s">
        <v>339</v>
      </c>
      <c r="GV2" s="1" t="s">
        <v>340</v>
      </c>
      <c r="GW2" s="1" t="s">
        <v>341</v>
      </c>
      <c r="GX2" s="1" t="s">
        <v>342</v>
      </c>
      <c r="GY2" s="1" t="s">
        <v>343</v>
      </c>
      <c r="GZ2" s="1" t="s">
        <v>344</v>
      </c>
      <c r="HA2" s="1" t="s">
        <v>345</v>
      </c>
      <c r="HB2" s="1" t="s">
        <v>346</v>
      </c>
      <c r="HC2" s="1" t="s">
        <v>347</v>
      </c>
      <c r="HD2" s="1" t="s">
        <v>348</v>
      </c>
      <c r="HE2" s="1" t="s">
        <v>349</v>
      </c>
      <c r="HF2" s="1" t="s">
        <v>350</v>
      </c>
      <c r="HG2" s="1" t="s">
        <v>351</v>
      </c>
      <c r="HH2" s="1" t="s">
        <v>352</v>
      </c>
      <c r="HI2" s="1" t="s">
        <v>353</v>
      </c>
      <c r="HJ2" s="1" t="s">
        <v>354</v>
      </c>
      <c r="HK2" s="1" t="s">
        <v>355</v>
      </c>
      <c r="HL2" s="1" t="s">
        <v>356</v>
      </c>
      <c r="HM2" s="1" t="s">
        <v>357</v>
      </c>
      <c r="HN2" s="1" t="s">
        <v>358</v>
      </c>
      <c r="HO2" s="1" t="s">
        <v>359</v>
      </c>
      <c r="HP2" s="1" t="s">
        <v>360</v>
      </c>
      <c r="HQ2" s="1" t="s">
        <v>361</v>
      </c>
      <c r="HR2" s="1" t="s">
        <v>362</v>
      </c>
      <c r="HS2" s="1" t="s">
        <v>363</v>
      </c>
      <c r="HT2" s="1" t="s">
        <v>364</v>
      </c>
      <c r="HU2" s="1" t="s">
        <v>365</v>
      </c>
      <c r="HV2" s="1" t="s">
        <v>366</v>
      </c>
      <c r="HW2" s="1" t="s">
        <v>367</v>
      </c>
      <c r="HX2" s="1" t="s">
        <v>368</v>
      </c>
      <c r="HY2" s="1" t="s">
        <v>369</v>
      </c>
      <c r="HZ2" s="1" t="s">
        <v>370</v>
      </c>
      <c r="IA2" s="1" t="s">
        <v>371</v>
      </c>
      <c r="IB2" s="1" t="s">
        <v>372</v>
      </c>
      <c r="IC2" s="1" t="s">
        <v>373</v>
      </c>
      <c r="ID2" s="1" t="s">
        <v>374</v>
      </c>
      <c r="IE2" s="1" t="s">
        <v>375</v>
      </c>
      <c r="IF2" s="1" t="s">
        <v>376</v>
      </c>
      <c r="IG2" s="1" t="s">
        <v>377</v>
      </c>
      <c r="IH2" s="1" t="s">
        <v>378</v>
      </c>
      <c r="II2" s="1" t="s">
        <v>379</v>
      </c>
      <c r="IJ2" s="1" t="s">
        <v>380</v>
      </c>
      <c r="IK2" s="1" t="s">
        <v>381</v>
      </c>
      <c r="IL2" s="1" t="s">
        <v>382</v>
      </c>
      <c r="IM2" s="1" t="s">
        <v>383</v>
      </c>
      <c r="IN2" s="1" t="s">
        <v>384</v>
      </c>
      <c r="IO2" s="1" t="s">
        <v>385</v>
      </c>
      <c r="IP2" s="1" t="s">
        <v>386</v>
      </c>
      <c r="IQ2" s="1" t="s">
        <v>387</v>
      </c>
      <c r="IR2" s="1" t="s">
        <v>388</v>
      </c>
      <c r="IS2" s="1" t="s">
        <v>389</v>
      </c>
      <c r="IT2" s="1" t="s">
        <v>390</v>
      </c>
      <c r="IU2" s="1" t="s">
        <v>391</v>
      </c>
      <c r="IV2" s="1" t="s">
        <v>392</v>
      </c>
      <c r="IW2" s="1" t="s">
        <v>393</v>
      </c>
      <c r="IX2" s="1" t="s">
        <v>394</v>
      </c>
      <c r="IY2" s="1" t="s">
        <v>395</v>
      </c>
      <c r="IZ2" s="1" t="s">
        <v>396</v>
      </c>
      <c r="JA2" s="1" t="s">
        <v>397</v>
      </c>
      <c r="JB2" s="1" t="s">
        <v>398</v>
      </c>
      <c r="JC2" s="1" t="s">
        <v>399</v>
      </c>
      <c r="JD2" s="1" t="s">
        <v>400</v>
      </c>
      <c r="JE2" s="1" t="s">
        <v>401</v>
      </c>
      <c r="JF2" s="1" t="s">
        <v>402</v>
      </c>
      <c r="JG2" s="1" t="s">
        <v>403</v>
      </c>
      <c r="JH2" s="1" t="s">
        <v>404</v>
      </c>
      <c r="JI2" s="1" t="s">
        <v>405</v>
      </c>
      <c r="JJ2" s="1" t="s">
        <v>406</v>
      </c>
      <c r="JK2" s="1" t="s">
        <v>407</v>
      </c>
      <c r="JL2" s="1" t="s">
        <v>408</v>
      </c>
      <c r="JM2" s="1" t="s">
        <v>409</v>
      </c>
      <c r="JN2" s="1" t="s">
        <v>410</v>
      </c>
      <c r="JO2" s="1" t="s">
        <v>411</v>
      </c>
      <c r="JP2" s="1" t="s">
        <v>412</v>
      </c>
      <c r="JQ2" s="1" t="s">
        <v>413</v>
      </c>
      <c r="JR2" s="1" t="s">
        <v>414</v>
      </c>
      <c r="JS2" s="1" t="s">
        <v>415</v>
      </c>
      <c r="JT2" s="1" t="s">
        <v>416</v>
      </c>
      <c r="JU2" s="1" t="s">
        <v>417</v>
      </c>
      <c r="JV2" s="1" t="s">
        <v>418</v>
      </c>
      <c r="JW2" s="1" t="s">
        <v>419</v>
      </c>
      <c r="JX2" s="1" t="s">
        <v>420</v>
      </c>
      <c r="JY2" s="1" t="s">
        <v>421</v>
      </c>
      <c r="JZ2" s="1" t="s">
        <v>422</v>
      </c>
      <c r="KA2" s="1" t="s">
        <v>423</v>
      </c>
      <c r="KB2" s="1" t="s">
        <v>424</v>
      </c>
      <c r="KC2" s="1" t="s">
        <v>425</v>
      </c>
      <c r="KD2" s="1" t="s">
        <v>426</v>
      </c>
      <c r="KE2" s="1" t="s">
        <v>427</v>
      </c>
      <c r="KF2" s="1" t="s">
        <v>428</v>
      </c>
      <c r="KG2" s="1" t="s">
        <v>429</v>
      </c>
      <c r="KH2" s="1" t="s">
        <v>430</v>
      </c>
      <c r="KI2" s="1" t="s">
        <v>431</v>
      </c>
      <c r="KJ2" s="1" t="s">
        <v>432</v>
      </c>
      <c r="KK2" s="1" t="s">
        <v>433</v>
      </c>
      <c r="KL2" s="1" t="s">
        <v>434</v>
      </c>
      <c r="KM2" s="1" t="s">
        <v>435</v>
      </c>
      <c r="KN2" s="1" t="s">
        <v>436</v>
      </c>
      <c r="KO2" s="1" t="s">
        <v>437</v>
      </c>
      <c r="KP2" s="1" t="s">
        <v>438</v>
      </c>
      <c r="KQ2" s="1" t="s">
        <v>439</v>
      </c>
      <c r="KR2" s="1" t="s">
        <v>440</v>
      </c>
      <c r="KS2" s="1" t="s">
        <v>441</v>
      </c>
      <c r="KT2" s="1" t="s">
        <v>442</v>
      </c>
      <c r="KU2" s="1" t="s">
        <v>443</v>
      </c>
      <c r="KV2" s="1" t="s">
        <v>444</v>
      </c>
      <c r="KW2" s="1" t="s">
        <v>445</v>
      </c>
      <c r="KX2" s="1" t="s">
        <v>446</v>
      </c>
      <c r="KY2" s="1" t="s">
        <v>447</v>
      </c>
      <c r="KZ2" s="1" t="s">
        <v>448</v>
      </c>
      <c r="LA2" s="1" t="s">
        <v>449</v>
      </c>
      <c r="LB2" s="1" t="s">
        <v>450</v>
      </c>
      <c r="LC2" s="1" t="s">
        <v>451</v>
      </c>
      <c r="LD2" s="1" t="s">
        <v>452</v>
      </c>
      <c r="LE2" s="1" t="s">
        <v>453</v>
      </c>
      <c r="LF2" s="1" t="s">
        <v>454</v>
      </c>
      <c r="LG2" s="1" t="s">
        <v>455</v>
      </c>
      <c r="LH2" s="1" t="s">
        <v>456</v>
      </c>
      <c r="LI2" s="1" t="s">
        <v>457</v>
      </c>
      <c r="LJ2" s="1" t="s">
        <v>458</v>
      </c>
      <c r="LK2" s="1" t="s">
        <v>459</v>
      </c>
      <c r="LL2" s="1" t="s">
        <v>460</v>
      </c>
      <c r="LM2" s="1" t="s">
        <v>461</v>
      </c>
      <c r="LN2" s="1" t="s">
        <v>462</v>
      </c>
      <c r="LO2" s="1" t="s">
        <v>463</v>
      </c>
      <c r="LP2" s="1" t="s">
        <v>464</v>
      </c>
      <c r="LQ2" s="1" t="s">
        <v>465</v>
      </c>
      <c r="LR2" s="1" t="s">
        <v>466</v>
      </c>
      <c r="LS2" s="1" t="s">
        <v>467</v>
      </c>
      <c r="LT2" s="1" t="s">
        <v>468</v>
      </c>
      <c r="LU2" s="1" t="s">
        <v>469</v>
      </c>
      <c r="LV2" s="1" t="s">
        <v>470</v>
      </c>
      <c r="LW2" s="1" t="s">
        <v>471</v>
      </c>
      <c r="LX2" s="1" t="s">
        <v>472</v>
      </c>
      <c r="LY2" s="1" t="s">
        <v>473</v>
      </c>
      <c r="LZ2" s="1" t="s">
        <v>474</v>
      </c>
      <c r="MA2" s="1" t="s">
        <v>475</v>
      </c>
      <c r="MB2" s="1" t="s">
        <v>476</v>
      </c>
      <c r="MC2" s="1" t="s">
        <v>477</v>
      </c>
      <c r="MD2" s="1" t="s">
        <v>478</v>
      </c>
      <c r="ME2" s="1" t="s">
        <v>479</v>
      </c>
      <c r="MF2" s="1" t="s">
        <v>480</v>
      </c>
      <c r="MG2" s="1" t="s">
        <v>481</v>
      </c>
      <c r="MH2" s="1" t="s">
        <v>482</v>
      </c>
      <c r="MI2" s="1" t="s">
        <v>483</v>
      </c>
      <c r="MJ2" s="1" t="s">
        <v>484</v>
      </c>
      <c r="MK2" s="1" t="s">
        <v>485</v>
      </c>
      <c r="ML2" s="1" t="s">
        <v>486</v>
      </c>
      <c r="MM2" s="1" t="s">
        <v>487</v>
      </c>
      <c r="MN2" s="1" t="s">
        <v>488</v>
      </c>
      <c r="MO2" s="1" t="s">
        <v>489</v>
      </c>
      <c r="MP2" s="1" t="s">
        <v>490</v>
      </c>
      <c r="MQ2" s="1" t="s">
        <v>491</v>
      </c>
      <c r="MR2" s="1" t="s">
        <v>492</v>
      </c>
      <c r="MS2" s="1" t="s">
        <v>493</v>
      </c>
      <c r="MT2" s="1" t="s">
        <v>494</v>
      </c>
      <c r="MU2" s="1" t="s">
        <v>495</v>
      </c>
      <c r="MV2" s="1" t="s">
        <v>496</v>
      </c>
      <c r="MW2" s="1" t="s">
        <v>497</v>
      </c>
      <c r="MX2" s="1" t="s">
        <v>498</v>
      </c>
      <c r="MY2" s="1" t="s">
        <v>499</v>
      </c>
      <c r="MZ2" s="1" t="s">
        <v>500</v>
      </c>
      <c r="NA2" s="1" t="s">
        <v>501</v>
      </c>
      <c r="NB2" s="1" t="s">
        <v>502</v>
      </c>
      <c r="NC2" s="1" t="s">
        <v>503</v>
      </c>
      <c r="ND2" s="1" t="s">
        <v>504</v>
      </c>
      <c r="NE2" s="1" t="s">
        <v>505</v>
      </c>
      <c r="NF2" s="1" t="s">
        <v>506</v>
      </c>
      <c r="NG2" s="1" t="s">
        <v>507</v>
      </c>
      <c r="NH2" s="1" t="s">
        <v>508</v>
      </c>
      <c r="NI2" s="1" t="s">
        <v>509</v>
      </c>
      <c r="NJ2" s="1" t="s">
        <v>510</v>
      </c>
      <c r="NK2" s="1" t="s">
        <v>511</v>
      </c>
      <c r="NL2" s="1" t="s">
        <v>512</v>
      </c>
      <c r="NM2" s="1" t="s">
        <v>513</v>
      </c>
      <c r="NN2" s="1" t="s">
        <v>514</v>
      </c>
      <c r="NO2" s="1" t="s">
        <v>515</v>
      </c>
      <c r="NP2" s="1" t="s">
        <v>516</v>
      </c>
      <c r="NQ2" s="1" t="s">
        <v>517</v>
      </c>
      <c r="NR2" s="1" t="s">
        <v>518</v>
      </c>
      <c r="NS2" s="1" t="s">
        <v>519</v>
      </c>
      <c r="NT2" s="1" t="s">
        <v>520</v>
      </c>
      <c r="NU2" s="1" t="s">
        <v>521</v>
      </c>
      <c r="NV2" s="1" t="s">
        <v>522</v>
      </c>
      <c r="NW2" s="1" t="s">
        <v>523</v>
      </c>
      <c r="NX2" s="1" t="s">
        <v>524</v>
      </c>
      <c r="NY2" s="1" t="s">
        <v>525</v>
      </c>
      <c r="NZ2" s="1" t="s">
        <v>526</v>
      </c>
      <c r="OA2" s="1" t="s">
        <v>527</v>
      </c>
      <c r="OB2" s="1" t="s">
        <v>528</v>
      </c>
      <c r="OC2" s="1" t="s">
        <v>529</v>
      </c>
      <c r="OD2" s="1" t="s">
        <v>530</v>
      </c>
      <c r="OE2" s="1" t="s">
        <v>531</v>
      </c>
      <c r="OF2" s="1" t="s">
        <v>532</v>
      </c>
      <c r="OG2" s="1" t="s">
        <v>533</v>
      </c>
      <c r="OH2" s="1" t="s">
        <v>534</v>
      </c>
      <c r="OI2" s="1" t="s">
        <v>535</v>
      </c>
      <c r="OJ2" s="1" t="s">
        <v>536</v>
      </c>
      <c r="OK2" s="1" t="s">
        <v>537</v>
      </c>
      <c r="OL2" s="1" t="s">
        <v>538</v>
      </c>
      <c r="OM2" s="1" t="s">
        <v>539</v>
      </c>
      <c r="ON2" s="1" t="s">
        <v>540</v>
      </c>
      <c r="OO2" s="1" t="s">
        <v>541</v>
      </c>
      <c r="OP2" s="1" t="s">
        <v>542</v>
      </c>
      <c r="OQ2" s="1" t="s">
        <v>543</v>
      </c>
      <c r="OR2" s="1" t="s">
        <v>544</v>
      </c>
      <c r="OS2" s="1" t="s">
        <v>545</v>
      </c>
      <c r="OT2" s="1" t="s">
        <v>546</v>
      </c>
      <c r="OU2" s="1" t="s">
        <v>547</v>
      </c>
      <c r="OV2" s="1" t="s">
        <v>548</v>
      </c>
      <c r="OW2" s="1" t="s">
        <v>549</v>
      </c>
      <c r="OX2" s="1" t="s">
        <v>550</v>
      </c>
      <c r="OY2" s="1" t="s">
        <v>551</v>
      </c>
      <c r="OZ2" s="1" t="s">
        <v>552</v>
      </c>
      <c r="PA2" s="1" t="s">
        <v>553</v>
      </c>
      <c r="PB2" s="1" t="s">
        <v>554</v>
      </c>
      <c r="PC2" s="1" t="s">
        <v>555</v>
      </c>
      <c r="PD2" s="1" t="s">
        <v>556</v>
      </c>
      <c r="PE2" s="1" t="s">
        <v>557</v>
      </c>
      <c r="PF2" s="1" t="s">
        <v>558</v>
      </c>
      <c r="PG2" s="1" t="s">
        <v>559</v>
      </c>
      <c r="PH2" s="1" t="s">
        <v>560</v>
      </c>
      <c r="PI2" s="1" t="s">
        <v>561</v>
      </c>
      <c r="PJ2" s="1" t="s">
        <v>562</v>
      </c>
      <c r="PK2" s="1" t="s">
        <v>563</v>
      </c>
      <c r="PL2" s="1" t="s">
        <v>564</v>
      </c>
      <c r="PM2" s="1" t="s">
        <v>565</v>
      </c>
      <c r="PN2" s="1" t="s">
        <v>566</v>
      </c>
      <c r="PO2" s="1" t="s">
        <v>567</v>
      </c>
      <c r="PP2" s="1" t="s">
        <v>568</v>
      </c>
      <c r="PQ2" s="1" t="s">
        <v>569</v>
      </c>
      <c r="PR2" s="1" t="s">
        <v>570</v>
      </c>
      <c r="PS2" s="1" t="s">
        <v>571</v>
      </c>
      <c r="PT2" s="1" t="s">
        <v>572</v>
      </c>
      <c r="PU2" s="1" t="s">
        <v>573</v>
      </c>
      <c r="PV2" s="1" t="s">
        <v>574</v>
      </c>
      <c r="PW2" s="1" t="s">
        <v>575</v>
      </c>
      <c r="PX2" s="1" t="s">
        <v>576</v>
      </c>
      <c r="PY2" s="1" t="s">
        <v>577</v>
      </c>
      <c r="PZ2" s="1" t="s">
        <v>578</v>
      </c>
      <c r="QA2" s="1" t="s">
        <v>579</v>
      </c>
      <c r="QB2" s="1" t="s">
        <v>580</v>
      </c>
      <c r="QC2" s="1" t="s">
        <v>581</v>
      </c>
      <c r="QD2" s="1" t="s">
        <v>582</v>
      </c>
      <c r="QE2" s="1" t="s">
        <v>583</v>
      </c>
      <c r="QF2" s="1" t="s">
        <v>584</v>
      </c>
      <c r="QG2" s="1" t="s">
        <v>585</v>
      </c>
      <c r="QH2" s="1" t="s">
        <v>586</v>
      </c>
      <c r="QI2" s="1" t="s">
        <v>587</v>
      </c>
      <c r="QJ2" s="1" t="s">
        <v>588</v>
      </c>
      <c r="QK2" s="1" t="s">
        <v>589</v>
      </c>
      <c r="QL2" s="1" t="s">
        <v>590</v>
      </c>
      <c r="QM2" s="1" t="s">
        <v>591</v>
      </c>
      <c r="QN2" s="1" t="s">
        <v>592</v>
      </c>
      <c r="QO2" s="1" t="s">
        <v>593</v>
      </c>
      <c r="QP2" s="1" t="s">
        <v>594</v>
      </c>
      <c r="QQ2" s="1" t="s">
        <v>595</v>
      </c>
      <c r="QR2" s="1" t="s">
        <v>596</v>
      </c>
      <c r="QS2" s="1" t="s">
        <v>597</v>
      </c>
      <c r="QT2" s="1" t="s">
        <v>598</v>
      </c>
      <c r="QU2" s="1" t="s">
        <v>599</v>
      </c>
      <c r="QV2" s="1" t="s">
        <v>600</v>
      </c>
      <c r="QW2" s="1" t="s">
        <v>601</v>
      </c>
      <c r="QX2" s="1" t="s">
        <v>602</v>
      </c>
      <c r="QY2" s="1" t="s">
        <v>603</v>
      </c>
      <c r="QZ2" s="1" t="s">
        <v>604</v>
      </c>
      <c r="RA2" s="1" t="s">
        <v>605</v>
      </c>
      <c r="RB2" s="1" t="s">
        <v>606</v>
      </c>
      <c r="RC2" s="1" t="s">
        <v>607</v>
      </c>
      <c r="RD2" s="1" t="s">
        <v>608</v>
      </c>
      <c r="RE2" s="1" t="s">
        <v>609</v>
      </c>
      <c r="RF2" s="1" t="s">
        <v>610</v>
      </c>
      <c r="RG2" s="1" t="s">
        <v>611</v>
      </c>
      <c r="RH2" s="1" t="s">
        <v>612</v>
      </c>
      <c r="RI2" s="1" t="s">
        <v>613</v>
      </c>
      <c r="RJ2" s="1" t="s">
        <v>614</v>
      </c>
      <c r="RK2" s="1" t="s">
        <v>615</v>
      </c>
      <c r="RL2" s="1" t="s">
        <v>616</v>
      </c>
      <c r="RM2" s="1" t="s">
        <v>617</v>
      </c>
      <c r="RN2" s="1" t="s">
        <v>618</v>
      </c>
      <c r="RO2" s="1" t="s">
        <v>619</v>
      </c>
      <c r="RP2" s="1" t="s">
        <v>620</v>
      </c>
      <c r="RQ2" s="1" t="s">
        <v>621</v>
      </c>
      <c r="RR2" s="1" t="s">
        <v>622</v>
      </c>
      <c r="RS2" s="1" t="s">
        <v>623</v>
      </c>
      <c r="RT2" s="1" t="s">
        <v>624</v>
      </c>
      <c r="RU2" s="1" t="s">
        <v>625</v>
      </c>
      <c r="RV2" s="1" t="s">
        <v>626</v>
      </c>
      <c r="RW2" s="1" t="s">
        <v>627</v>
      </c>
      <c r="RX2" s="1" t="s">
        <v>628</v>
      </c>
      <c r="RY2" s="1" t="s">
        <v>629</v>
      </c>
      <c r="RZ2" s="1" t="s">
        <v>630</v>
      </c>
      <c r="SA2" s="1" t="s">
        <v>631</v>
      </c>
      <c r="SB2" s="1" t="s">
        <v>632</v>
      </c>
      <c r="SC2" s="1" t="s">
        <v>633</v>
      </c>
      <c r="SD2" s="1" t="s">
        <v>634</v>
      </c>
      <c r="SE2" s="1" t="s">
        <v>635</v>
      </c>
      <c r="SF2" s="1" t="s">
        <v>636</v>
      </c>
      <c r="SG2" s="1" t="s">
        <v>637</v>
      </c>
      <c r="SH2" s="1" t="s">
        <v>638</v>
      </c>
      <c r="SI2" s="1" t="s">
        <v>639</v>
      </c>
      <c r="SJ2" s="1" t="s">
        <v>640</v>
      </c>
      <c r="SK2" s="1" t="s">
        <v>641</v>
      </c>
      <c r="SL2" s="1" t="s">
        <v>642</v>
      </c>
      <c r="SM2" s="1" t="s">
        <v>643</v>
      </c>
      <c r="SN2" s="1" t="s">
        <v>644</v>
      </c>
      <c r="SO2" s="1" t="s">
        <v>645</v>
      </c>
      <c r="SP2" s="1" t="s">
        <v>646</v>
      </c>
      <c r="SQ2" s="1" t="s">
        <v>647</v>
      </c>
      <c r="SR2" s="1" t="s">
        <v>648</v>
      </c>
      <c r="SS2" s="1" t="s">
        <v>649</v>
      </c>
      <c r="ST2" s="1" t="s">
        <v>650</v>
      </c>
      <c r="SU2" s="1" t="s">
        <v>651</v>
      </c>
      <c r="SV2" s="1" t="s">
        <v>652</v>
      </c>
      <c r="SW2" s="1" t="s">
        <v>653</v>
      </c>
      <c r="SX2" s="1" t="s">
        <v>654</v>
      </c>
      <c r="SY2" s="1" t="s">
        <v>655</v>
      </c>
      <c r="SZ2" s="1" t="s">
        <v>656</v>
      </c>
      <c r="TA2" s="1" t="s">
        <v>657</v>
      </c>
      <c r="TB2" s="1" t="s">
        <v>658</v>
      </c>
      <c r="TC2" s="1" t="s">
        <v>659</v>
      </c>
      <c r="TD2" s="1" t="s">
        <v>660</v>
      </c>
      <c r="TE2" s="1" t="s">
        <v>661</v>
      </c>
      <c r="TF2" s="1" t="s">
        <v>662</v>
      </c>
      <c r="TG2" s="1" t="s">
        <v>663</v>
      </c>
      <c r="TH2" s="1" t="s">
        <v>664</v>
      </c>
      <c r="TI2" s="1" t="s">
        <v>665</v>
      </c>
      <c r="TJ2" s="1" t="s">
        <v>666</v>
      </c>
      <c r="TK2" s="1" t="s">
        <v>667</v>
      </c>
      <c r="TL2" s="1" t="s">
        <v>668</v>
      </c>
      <c r="TM2" s="1" t="s">
        <v>669</v>
      </c>
      <c r="TN2" s="1" t="s">
        <v>670</v>
      </c>
      <c r="TO2" s="1" t="s">
        <v>671</v>
      </c>
      <c r="TP2" s="1" t="s">
        <v>672</v>
      </c>
      <c r="TQ2" s="1" t="s">
        <v>673</v>
      </c>
      <c r="TR2" s="1" t="s">
        <v>674</v>
      </c>
      <c r="TS2" s="1" t="s">
        <v>675</v>
      </c>
      <c r="TT2" s="1" t="s">
        <v>676</v>
      </c>
      <c r="TU2" s="1" t="s">
        <v>677</v>
      </c>
      <c r="TV2" s="1" t="s">
        <v>678</v>
      </c>
      <c r="TW2" s="1" t="s">
        <v>679</v>
      </c>
      <c r="TX2" s="1" t="s">
        <v>680</v>
      </c>
      <c r="TY2" s="1" t="s">
        <v>681</v>
      </c>
      <c r="TZ2" s="1" t="s">
        <v>682</v>
      </c>
      <c r="UA2" s="1" t="s">
        <v>683</v>
      </c>
      <c r="UB2" s="1" t="s">
        <v>684</v>
      </c>
      <c r="UC2" s="1" t="s">
        <v>685</v>
      </c>
      <c r="UD2" s="1" t="s">
        <v>686</v>
      </c>
      <c r="UE2" s="1" t="s">
        <v>687</v>
      </c>
      <c r="UF2" s="1" t="s">
        <v>688</v>
      </c>
      <c r="UG2" s="1" t="s">
        <v>689</v>
      </c>
      <c r="UH2" s="1" t="s">
        <v>690</v>
      </c>
      <c r="UI2" s="1" t="s">
        <v>691</v>
      </c>
      <c r="UJ2" s="1" t="s">
        <v>692</v>
      </c>
      <c r="UK2" s="1" t="s">
        <v>693</v>
      </c>
      <c r="UL2" s="1" t="s">
        <v>694</v>
      </c>
      <c r="UM2" s="1" t="s">
        <v>695</v>
      </c>
      <c r="UN2" s="1" t="s">
        <v>696</v>
      </c>
      <c r="UO2" s="1" t="s">
        <v>697</v>
      </c>
      <c r="UP2" s="1" t="s">
        <v>698</v>
      </c>
      <c r="UQ2" s="1" t="s">
        <v>699</v>
      </c>
      <c r="UR2" s="1" t="s">
        <v>700</v>
      </c>
      <c r="US2" s="1" t="s">
        <v>701</v>
      </c>
      <c r="UT2" s="1" t="s">
        <v>702</v>
      </c>
      <c r="UU2" s="1" t="s">
        <v>703</v>
      </c>
      <c r="UV2" s="1" t="s">
        <v>704</v>
      </c>
      <c r="UW2" s="1" t="s">
        <v>705</v>
      </c>
      <c r="UX2" s="1" t="s">
        <v>706</v>
      </c>
      <c r="UY2" s="1" t="s">
        <v>707</v>
      </c>
      <c r="UZ2" s="1" t="s">
        <v>708</v>
      </c>
      <c r="VA2" s="1" t="s">
        <v>709</v>
      </c>
      <c r="VB2" s="1" t="s">
        <v>710</v>
      </c>
      <c r="VC2" s="1" t="s">
        <v>711</v>
      </c>
      <c r="VD2" s="1" t="s">
        <v>712</v>
      </c>
      <c r="VE2" s="1" t="s">
        <v>713</v>
      </c>
      <c r="VF2" s="1" t="s">
        <v>714</v>
      </c>
      <c r="VG2" s="1" t="s">
        <v>715</v>
      </c>
      <c r="VH2" s="1" t="s">
        <v>716</v>
      </c>
      <c r="VI2" s="1" t="s">
        <v>717</v>
      </c>
      <c r="VJ2" s="1" t="s">
        <v>718</v>
      </c>
      <c r="VK2" s="1" t="s">
        <v>719</v>
      </c>
      <c r="VL2" s="1" t="s">
        <v>720</v>
      </c>
      <c r="VM2" s="1" t="s">
        <v>721</v>
      </c>
      <c r="VN2" s="1" t="s">
        <v>722</v>
      </c>
      <c r="VO2" s="1" t="s">
        <v>723</v>
      </c>
      <c r="VP2" s="1" t="s">
        <v>724</v>
      </c>
      <c r="VQ2" s="1" t="s">
        <v>725</v>
      </c>
      <c r="VR2" s="1" t="s">
        <v>726</v>
      </c>
      <c r="VS2" s="1" t="s">
        <v>727</v>
      </c>
      <c r="VT2" s="1" t="s">
        <v>728</v>
      </c>
      <c r="VU2" s="1" t="s">
        <v>729</v>
      </c>
      <c r="VV2" s="1" t="s">
        <v>730</v>
      </c>
      <c r="VW2" s="1" t="s">
        <v>731</v>
      </c>
      <c r="VX2" s="1" t="s">
        <v>732</v>
      </c>
      <c r="VY2" s="1" t="s">
        <v>733</v>
      </c>
      <c r="VZ2" s="1" t="s">
        <v>734</v>
      </c>
      <c r="WA2" s="1" t="s">
        <v>735</v>
      </c>
      <c r="WB2" s="1" t="s">
        <v>736</v>
      </c>
      <c r="WC2" s="1" t="s">
        <v>737</v>
      </c>
      <c r="WD2" s="1" t="s">
        <v>738</v>
      </c>
      <c r="WE2" s="1" t="s">
        <v>739</v>
      </c>
      <c r="WF2" s="1" t="s">
        <v>740</v>
      </c>
      <c r="WG2" s="1" t="s">
        <v>741</v>
      </c>
      <c r="WH2" s="1" t="s">
        <v>742</v>
      </c>
      <c r="WI2" s="1" t="s">
        <v>743</v>
      </c>
      <c r="WJ2" s="1" t="s">
        <v>744</v>
      </c>
      <c r="WK2" s="1" t="s">
        <v>745</v>
      </c>
      <c r="WL2" s="1" t="s">
        <v>746</v>
      </c>
      <c r="WM2" s="1" t="s">
        <v>747</v>
      </c>
      <c r="WN2" s="1" t="s">
        <v>748</v>
      </c>
      <c r="WO2" s="1" t="s">
        <v>749</v>
      </c>
      <c r="WP2" s="1" t="s">
        <v>750</v>
      </c>
      <c r="WQ2" s="1" t="s">
        <v>751</v>
      </c>
      <c r="WR2" s="1" t="s">
        <v>752</v>
      </c>
      <c r="WS2" s="1" t="s">
        <v>753</v>
      </c>
      <c r="WT2" s="1" t="s">
        <v>754</v>
      </c>
      <c r="WU2" s="1" t="s">
        <v>755</v>
      </c>
      <c r="WV2" s="1" t="s">
        <v>756</v>
      </c>
      <c r="WW2" s="1" t="s">
        <v>757</v>
      </c>
      <c r="WX2" s="1" t="s">
        <v>758</v>
      </c>
      <c r="WY2" s="1" t="s">
        <v>759</v>
      </c>
      <c r="WZ2" s="1" t="s">
        <v>760</v>
      </c>
      <c r="XA2" s="1" t="s">
        <v>761</v>
      </c>
      <c r="XB2" s="1" t="s">
        <v>762</v>
      </c>
      <c r="XC2" s="1" t="s">
        <v>763</v>
      </c>
      <c r="XD2" s="1" t="s">
        <v>764</v>
      </c>
      <c r="XE2" s="1" t="s">
        <v>765</v>
      </c>
      <c r="XF2" s="1" t="s">
        <v>766</v>
      </c>
      <c r="XG2" s="1" t="s">
        <v>767</v>
      </c>
      <c r="XH2" s="1" t="s">
        <v>768</v>
      </c>
      <c r="XI2" s="1" t="s">
        <v>769</v>
      </c>
      <c r="XJ2" s="1" t="s">
        <v>770</v>
      </c>
      <c r="XK2" s="1" t="s">
        <v>771</v>
      </c>
      <c r="XL2" s="1" t="s">
        <v>772</v>
      </c>
      <c r="XM2" s="1" t="s">
        <v>773</v>
      </c>
      <c r="XN2" s="1" t="s">
        <v>774</v>
      </c>
      <c r="XO2" s="1" t="s">
        <v>775</v>
      </c>
      <c r="XP2" s="1" t="s">
        <v>776</v>
      </c>
      <c r="XQ2" s="1" t="s">
        <v>777</v>
      </c>
    </row>
    <row r="3" spans="1:641" ht="43.5" x14ac:dyDescent="0.35">
      <c r="A3" s="1" t="s">
        <v>778</v>
      </c>
      <c r="B3" s="1" t="s">
        <v>24</v>
      </c>
      <c r="C3" s="1" t="s">
        <v>779</v>
      </c>
      <c r="D3" s="1" t="s">
        <v>780</v>
      </c>
      <c r="E3" s="1" t="s">
        <v>780</v>
      </c>
      <c r="F3" s="1" t="s">
        <v>780</v>
      </c>
      <c r="G3" s="1" t="s">
        <v>780</v>
      </c>
      <c r="H3" s="1" t="s">
        <v>780</v>
      </c>
      <c r="AJ3" s="1" t="s">
        <v>780</v>
      </c>
      <c r="AQ3" s="1" t="s">
        <v>780</v>
      </c>
      <c r="AS3" s="1" t="s">
        <v>780</v>
      </c>
      <c r="AX3" s="1" t="s">
        <v>780</v>
      </c>
      <c r="AY3"/>
      <c r="AZ3"/>
      <c r="BA3"/>
      <c r="BB3"/>
      <c r="BC3"/>
      <c r="BJ3" s="1" t="s">
        <v>780</v>
      </c>
      <c r="BR3" s="1" t="s">
        <v>780</v>
      </c>
      <c r="BS3" s="1" t="s">
        <v>780</v>
      </c>
      <c r="BZ3" s="1" t="s">
        <v>780</v>
      </c>
      <c r="CA3" s="1" t="s">
        <v>780</v>
      </c>
      <c r="CB3" s="1" t="s">
        <v>780</v>
      </c>
      <c r="CC3" s="1" t="s">
        <v>780</v>
      </c>
      <c r="CD3" s="1" t="s">
        <v>780</v>
      </c>
      <c r="CE3" s="1" t="s">
        <v>780</v>
      </c>
      <c r="FG3"/>
      <c r="FL3"/>
    </row>
    <row r="4" spans="1:641" ht="72.5" x14ac:dyDescent="0.35">
      <c r="A4" s="1" t="s">
        <v>778</v>
      </c>
      <c r="B4" s="1" t="s">
        <v>24</v>
      </c>
      <c r="C4" s="1" t="s">
        <v>781</v>
      </c>
      <c r="D4" s="1" t="s">
        <v>780</v>
      </c>
      <c r="E4" s="1" t="s">
        <v>780</v>
      </c>
      <c r="F4" s="1" t="s">
        <v>780</v>
      </c>
      <c r="G4" s="1" t="s">
        <v>780</v>
      </c>
      <c r="H4" s="1" t="s">
        <v>780</v>
      </c>
      <c r="AB4" s="1" t="s">
        <v>780</v>
      </c>
      <c r="AJ4" s="1" t="s">
        <v>780</v>
      </c>
      <c r="AO4" s="1" t="s">
        <v>780</v>
      </c>
      <c r="AQ4" s="1" t="s">
        <v>780</v>
      </c>
      <c r="AS4" s="1" t="s">
        <v>780</v>
      </c>
      <c r="AY4" t="s">
        <v>780</v>
      </c>
      <c r="AZ4"/>
      <c r="BA4"/>
      <c r="BB4"/>
      <c r="BC4" t="s">
        <v>780</v>
      </c>
      <c r="BN4" s="1" t="s">
        <v>780</v>
      </c>
      <c r="BZ4" s="1" t="s">
        <v>780</v>
      </c>
      <c r="CA4" s="1" t="s">
        <v>780</v>
      </c>
      <c r="CB4" s="1" t="s">
        <v>780</v>
      </c>
      <c r="CC4" s="1" t="s">
        <v>780</v>
      </c>
      <c r="CD4" s="1" t="s">
        <v>780</v>
      </c>
      <c r="CE4" s="1" t="s">
        <v>780</v>
      </c>
      <c r="FG4"/>
      <c r="FL4"/>
    </row>
    <row r="5" spans="1:641" ht="58" x14ac:dyDescent="0.35">
      <c r="A5" s="1" t="s">
        <v>778</v>
      </c>
      <c r="B5" s="1" t="s">
        <v>24</v>
      </c>
      <c r="C5" s="1" t="s">
        <v>782</v>
      </c>
      <c r="D5" s="1" t="s">
        <v>780</v>
      </c>
      <c r="E5" s="1" t="s">
        <v>780</v>
      </c>
      <c r="F5" s="1" t="s">
        <v>780</v>
      </c>
      <c r="G5" s="1" t="s">
        <v>780</v>
      </c>
      <c r="H5" s="1" t="s">
        <v>780</v>
      </c>
      <c r="AJ5" s="1" t="s">
        <v>780</v>
      </c>
      <c r="AQ5" s="1" t="s">
        <v>780</v>
      </c>
      <c r="AS5" s="1" t="s">
        <v>780</v>
      </c>
      <c r="AY5"/>
      <c r="AZ5"/>
      <c r="BA5"/>
      <c r="BB5"/>
      <c r="BC5" t="s">
        <v>780</v>
      </c>
      <c r="BZ5" s="1" t="s">
        <v>780</v>
      </c>
      <c r="CA5" s="1" t="s">
        <v>780</v>
      </c>
      <c r="CB5" s="1" t="s">
        <v>780</v>
      </c>
      <c r="CC5" s="1" t="s">
        <v>780</v>
      </c>
      <c r="CD5" s="1" t="s">
        <v>780</v>
      </c>
      <c r="CE5" s="1" t="s">
        <v>780</v>
      </c>
      <c r="FG5" t="s">
        <v>780</v>
      </c>
      <c r="FL5"/>
    </row>
    <row r="6" spans="1:641" ht="43.5" x14ac:dyDescent="0.35">
      <c r="A6" s="1" t="s">
        <v>778</v>
      </c>
      <c r="B6" s="1" t="s">
        <v>24</v>
      </c>
      <c r="C6" s="1" t="s">
        <v>783</v>
      </c>
      <c r="D6" s="1" t="s">
        <v>780</v>
      </c>
      <c r="E6" s="1" t="s">
        <v>780</v>
      </c>
      <c r="F6" s="1" t="s">
        <v>780</v>
      </c>
      <c r="G6" s="1" t="s">
        <v>780</v>
      </c>
      <c r="H6" s="1" t="s">
        <v>780</v>
      </c>
      <c r="AJ6" s="1" t="s">
        <v>780</v>
      </c>
      <c r="AQ6" s="1" t="s">
        <v>780</v>
      </c>
      <c r="AS6" s="1" t="s">
        <v>780</v>
      </c>
      <c r="AX6" s="1" t="s">
        <v>780</v>
      </c>
      <c r="BJ6" s="1" t="s">
        <v>780</v>
      </c>
      <c r="BR6" s="1" t="s">
        <v>780</v>
      </c>
      <c r="BS6" s="1" t="s">
        <v>780</v>
      </c>
      <c r="BZ6" s="1" t="s">
        <v>780</v>
      </c>
      <c r="CA6" s="1" t="s">
        <v>780</v>
      </c>
    </row>
    <row r="7" spans="1:641" ht="43.5" x14ac:dyDescent="0.35">
      <c r="A7" s="1" t="s">
        <v>778</v>
      </c>
      <c r="B7" s="1" t="s">
        <v>24</v>
      </c>
      <c r="C7" s="1" t="s">
        <v>784</v>
      </c>
      <c r="D7" s="1" t="s">
        <v>780</v>
      </c>
      <c r="E7" s="1" t="s">
        <v>780</v>
      </c>
      <c r="F7" s="1" t="s">
        <v>780</v>
      </c>
      <c r="G7" s="1" t="s">
        <v>780</v>
      </c>
      <c r="AB7" s="1" t="s">
        <v>780</v>
      </c>
      <c r="AJ7" s="1" t="s">
        <v>780</v>
      </c>
      <c r="AO7" s="1" t="s">
        <v>780</v>
      </c>
      <c r="AQ7" s="1" t="s">
        <v>780</v>
      </c>
      <c r="AS7" s="1" t="s">
        <v>780</v>
      </c>
      <c r="AY7" s="1" t="s">
        <v>780</v>
      </c>
      <c r="BC7" s="1" t="s">
        <v>780</v>
      </c>
      <c r="BN7" s="1" t="s">
        <v>780</v>
      </c>
      <c r="BZ7" s="1" t="s">
        <v>780</v>
      </c>
      <c r="CA7" s="1" t="s">
        <v>780</v>
      </c>
      <c r="CB7" s="1" t="s">
        <v>780</v>
      </c>
      <c r="CC7" s="1" t="s">
        <v>780</v>
      </c>
      <c r="CD7" s="1" t="s">
        <v>780</v>
      </c>
      <c r="CE7" s="1" t="s">
        <v>780</v>
      </c>
    </row>
    <row r="8" spans="1:641" ht="43.5" x14ac:dyDescent="0.35">
      <c r="A8" s="1" t="s">
        <v>778</v>
      </c>
      <c r="B8" s="1" t="s">
        <v>24</v>
      </c>
      <c r="C8" s="1" t="s">
        <v>785</v>
      </c>
      <c r="D8" s="1" t="s">
        <v>780</v>
      </c>
      <c r="E8" s="1" t="s">
        <v>780</v>
      </c>
      <c r="F8" s="1" t="s">
        <v>780</v>
      </c>
      <c r="G8" s="1" t="s">
        <v>780</v>
      </c>
      <c r="H8" s="1" t="s">
        <v>780</v>
      </c>
      <c r="AJ8" s="1" t="s">
        <v>780</v>
      </c>
      <c r="AQ8" s="1" t="s">
        <v>780</v>
      </c>
      <c r="AS8" s="1" t="s">
        <v>780</v>
      </c>
      <c r="BC8" s="1" t="s">
        <v>780</v>
      </c>
      <c r="BZ8" s="1" t="s">
        <v>780</v>
      </c>
      <c r="CA8" s="1" t="s">
        <v>780</v>
      </c>
      <c r="CB8" s="1" t="s">
        <v>780</v>
      </c>
      <c r="CC8" s="1" t="s">
        <v>780</v>
      </c>
      <c r="CD8" s="1" t="s">
        <v>780</v>
      </c>
      <c r="CE8" s="1" t="s">
        <v>780</v>
      </c>
      <c r="FG8" s="1" t="s">
        <v>780</v>
      </c>
    </row>
    <row r="9" spans="1:641" ht="43.5" x14ac:dyDescent="0.35">
      <c r="A9" s="1" t="s">
        <v>778</v>
      </c>
      <c r="B9" s="1" t="s">
        <v>24</v>
      </c>
      <c r="C9" s="1" t="s">
        <v>786</v>
      </c>
      <c r="D9" s="1" t="s">
        <v>780</v>
      </c>
      <c r="E9" s="1" t="s">
        <v>780</v>
      </c>
      <c r="F9" s="1" t="s">
        <v>780</v>
      </c>
      <c r="G9" s="1" t="s">
        <v>780</v>
      </c>
      <c r="H9" s="1" t="s">
        <v>780</v>
      </c>
      <c r="AB9" s="1" t="s">
        <v>780</v>
      </c>
      <c r="AJ9" s="1" t="s">
        <v>780</v>
      </c>
      <c r="AQ9" s="1" t="s">
        <v>780</v>
      </c>
      <c r="AS9" s="1" t="s">
        <v>780</v>
      </c>
      <c r="BC9" s="1" t="s">
        <v>780</v>
      </c>
      <c r="BZ9" s="1" t="s">
        <v>780</v>
      </c>
      <c r="CA9" s="1" t="s">
        <v>780</v>
      </c>
      <c r="CB9" s="1" t="s">
        <v>780</v>
      </c>
      <c r="CC9" s="1" t="s">
        <v>780</v>
      </c>
      <c r="CD9" s="1" t="s">
        <v>780</v>
      </c>
      <c r="CE9" s="1" t="s">
        <v>780</v>
      </c>
      <c r="FH9" s="1" t="s">
        <v>780</v>
      </c>
      <c r="FI9" s="1" t="s">
        <v>780</v>
      </c>
    </row>
    <row r="10" spans="1:641" ht="43.5" x14ac:dyDescent="0.35">
      <c r="A10" s="1" t="s">
        <v>778</v>
      </c>
      <c r="B10" s="1" t="s">
        <v>24</v>
      </c>
      <c r="C10" s="1" t="s">
        <v>787</v>
      </c>
      <c r="D10" s="1" t="s">
        <v>780</v>
      </c>
      <c r="E10" s="1" t="s">
        <v>780</v>
      </c>
      <c r="F10" s="1" t="s">
        <v>780</v>
      </c>
      <c r="G10" s="1" t="s">
        <v>780</v>
      </c>
      <c r="H10" s="1" t="s">
        <v>780</v>
      </c>
      <c r="AB10" s="1" t="s">
        <v>780</v>
      </c>
      <c r="AC10" s="1" t="s">
        <v>780</v>
      </c>
      <c r="AJ10" s="1" t="s">
        <v>780</v>
      </c>
      <c r="AO10" s="1" t="s">
        <v>780</v>
      </c>
      <c r="AQ10" s="1" t="s">
        <v>780</v>
      </c>
      <c r="AS10" s="1" t="s">
        <v>780</v>
      </c>
      <c r="AY10" s="1" t="s">
        <v>788</v>
      </c>
      <c r="BC10" s="1" t="s">
        <v>788</v>
      </c>
      <c r="BD10" s="1" t="s">
        <v>780</v>
      </c>
      <c r="BZ10" s="1" t="s">
        <v>780</v>
      </c>
      <c r="CA10" s="1" t="s">
        <v>780</v>
      </c>
      <c r="CB10" s="1" t="s">
        <v>780</v>
      </c>
      <c r="CC10" s="1" t="s">
        <v>780</v>
      </c>
      <c r="CD10" s="1" t="s">
        <v>780</v>
      </c>
      <c r="CE10" s="1" t="s">
        <v>780</v>
      </c>
      <c r="FK10" s="1" t="s">
        <v>780</v>
      </c>
    </row>
    <row r="11" spans="1:641" ht="58" x14ac:dyDescent="0.35">
      <c r="A11" s="1" t="s">
        <v>778</v>
      </c>
      <c r="B11" s="1" t="s">
        <v>24</v>
      </c>
      <c r="C11" s="1" t="s">
        <v>789</v>
      </c>
      <c r="D11" s="1" t="s">
        <v>780</v>
      </c>
      <c r="E11" s="1" t="s">
        <v>780</v>
      </c>
      <c r="F11" s="1" t="s">
        <v>780</v>
      </c>
      <c r="G11" s="1" t="s">
        <v>780</v>
      </c>
      <c r="H11" s="1" t="s">
        <v>780</v>
      </c>
      <c r="AJ11" s="1" t="s">
        <v>780</v>
      </c>
      <c r="AO11" s="1" t="s">
        <v>780</v>
      </c>
      <c r="AY11" s="1" t="s">
        <v>780</v>
      </c>
      <c r="BC11" s="1" t="s">
        <v>780</v>
      </c>
      <c r="BZ11" s="1" t="s">
        <v>780</v>
      </c>
      <c r="CA11" s="1" t="s">
        <v>780</v>
      </c>
      <c r="CB11" s="1" t="s">
        <v>780</v>
      </c>
      <c r="CC11" s="1" t="s">
        <v>780</v>
      </c>
      <c r="CD11" s="1" t="s">
        <v>780</v>
      </c>
      <c r="CE11" s="1" t="s">
        <v>780</v>
      </c>
    </row>
    <row r="12" spans="1:641" ht="43.5" x14ac:dyDescent="0.35">
      <c r="A12" s="1" t="s">
        <v>778</v>
      </c>
      <c r="B12" s="1" t="s">
        <v>24</v>
      </c>
      <c r="C12" s="1" t="s">
        <v>790</v>
      </c>
      <c r="D12" s="1" t="s">
        <v>780</v>
      </c>
      <c r="E12" s="1" t="s">
        <v>780</v>
      </c>
      <c r="F12" s="1" t="s">
        <v>780</v>
      </c>
      <c r="G12" s="1" t="s">
        <v>780</v>
      </c>
      <c r="H12" s="1" t="s">
        <v>780</v>
      </c>
      <c r="AJ12" s="1" t="s">
        <v>780</v>
      </c>
      <c r="CF12" s="1" t="s">
        <v>780</v>
      </c>
      <c r="CG12" s="1" t="s">
        <v>780</v>
      </c>
      <c r="CH12" s="1" t="s">
        <v>780</v>
      </c>
    </row>
    <row r="13" spans="1:641" ht="43.5" x14ac:dyDescent="0.35">
      <c r="A13" s="1" t="s">
        <v>778</v>
      </c>
      <c r="B13" s="1" t="s">
        <v>24</v>
      </c>
      <c r="C13" s="1" t="s">
        <v>791</v>
      </c>
      <c r="D13" s="1" t="s">
        <v>780</v>
      </c>
      <c r="E13" s="1" t="s">
        <v>780</v>
      </c>
      <c r="F13" s="1" t="s">
        <v>780</v>
      </c>
      <c r="G13" s="1" t="s">
        <v>780</v>
      </c>
      <c r="H13" s="1" t="s">
        <v>780</v>
      </c>
      <c r="AJ13" s="1" t="s">
        <v>780</v>
      </c>
      <c r="AS13" s="1" t="s">
        <v>780</v>
      </c>
      <c r="CJ13" s="1" t="s">
        <v>780</v>
      </c>
      <c r="CK13" s="1" t="s">
        <v>780</v>
      </c>
      <c r="CR13" s="1" t="s">
        <v>780</v>
      </c>
      <c r="CS13" s="1" t="s">
        <v>780</v>
      </c>
      <c r="CT13" s="1" t="s">
        <v>780</v>
      </c>
      <c r="CU13" s="1" t="s">
        <v>780</v>
      </c>
    </row>
    <row r="14" spans="1:641" ht="43.5" x14ac:dyDescent="0.35">
      <c r="A14" s="1" t="s">
        <v>778</v>
      </c>
      <c r="B14" s="1" t="s">
        <v>24</v>
      </c>
      <c r="C14" s="1" t="s">
        <v>792</v>
      </c>
      <c r="D14" s="1" t="s">
        <v>780</v>
      </c>
      <c r="E14" s="1" t="s">
        <v>780</v>
      </c>
      <c r="F14" s="1" t="s">
        <v>780</v>
      </c>
      <c r="G14" s="1" t="s">
        <v>780</v>
      </c>
      <c r="H14" s="1" t="s">
        <v>780</v>
      </c>
      <c r="AT14" s="1" t="s">
        <v>780</v>
      </c>
      <c r="CV14" s="1" t="s">
        <v>780</v>
      </c>
      <c r="CW14" s="1" t="s">
        <v>780</v>
      </c>
      <c r="CX14" s="1" t="s">
        <v>780</v>
      </c>
      <c r="CY14" s="1" t="s">
        <v>780</v>
      </c>
      <c r="CZ14" s="1" t="s">
        <v>780</v>
      </c>
      <c r="EI14" s="1" t="s">
        <v>780</v>
      </c>
    </row>
    <row r="15" spans="1:641" ht="43.5" x14ac:dyDescent="0.35">
      <c r="A15" s="1" t="s">
        <v>778</v>
      </c>
      <c r="B15" s="1" t="s">
        <v>24</v>
      </c>
      <c r="C15" s="1" t="s">
        <v>793</v>
      </c>
      <c r="D15" s="1" t="s">
        <v>780</v>
      </c>
      <c r="E15" s="1" t="s">
        <v>780</v>
      </c>
      <c r="F15" s="1" t="s">
        <v>780</v>
      </c>
      <c r="G15" s="1" t="s">
        <v>780</v>
      </c>
      <c r="H15" s="1" t="s">
        <v>780</v>
      </c>
      <c r="I15" s="1" t="s">
        <v>780</v>
      </c>
      <c r="J15" s="1" t="s">
        <v>780</v>
      </c>
      <c r="K15" s="1" t="s">
        <v>780</v>
      </c>
      <c r="L15" s="1" t="s">
        <v>780</v>
      </c>
      <c r="M15" s="1" t="s">
        <v>780</v>
      </c>
      <c r="P15" s="1" t="s">
        <v>780</v>
      </c>
      <c r="Q15" s="1" t="s">
        <v>780</v>
      </c>
      <c r="CI15" s="1" t="s">
        <v>780</v>
      </c>
      <c r="CZ15" s="1" t="s">
        <v>780</v>
      </c>
    </row>
    <row r="16" spans="1:641" ht="58" x14ac:dyDescent="0.35">
      <c r="A16" s="1" t="s">
        <v>778</v>
      </c>
      <c r="B16" s="1" t="s">
        <v>24</v>
      </c>
      <c r="C16" s="1" t="s">
        <v>794</v>
      </c>
      <c r="D16" s="1" t="s">
        <v>780</v>
      </c>
      <c r="E16" s="1" t="s">
        <v>780</v>
      </c>
      <c r="F16" s="1" t="s">
        <v>780</v>
      </c>
      <c r="G16" s="1" t="s">
        <v>780</v>
      </c>
      <c r="H16" s="1" t="s">
        <v>780</v>
      </c>
      <c r="N16" s="1" t="s">
        <v>780</v>
      </c>
      <c r="O16" s="1" t="s">
        <v>780</v>
      </c>
      <c r="P16" s="1" t="s">
        <v>780</v>
      </c>
      <c r="Q16" s="1" t="s">
        <v>780</v>
      </c>
      <c r="AS16" s="1" t="s">
        <v>780</v>
      </c>
      <c r="AX16" s="1" t="s">
        <v>780</v>
      </c>
      <c r="CZ16" s="1" t="s">
        <v>780</v>
      </c>
      <c r="DF16" s="1" t="s">
        <v>780</v>
      </c>
      <c r="DQ16" s="1" t="s">
        <v>780</v>
      </c>
      <c r="EH16" s="1" t="s">
        <v>780</v>
      </c>
    </row>
    <row r="17" spans="1:187" ht="101.5" x14ac:dyDescent="0.35">
      <c r="A17" s="1" t="s">
        <v>778</v>
      </c>
      <c r="B17" s="1" t="s">
        <v>24</v>
      </c>
      <c r="C17" s="1" t="s">
        <v>795</v>
      </c>
      <c r="D17" s="1" t="s">
        <v>780</v>
      </c>
      <c r="E17" s="1" t="s">
        <v>780</v>
      </c>
      <c r="F17" s="1" t="s">
        <v>780</v>
      </c>
      <c r="G17" s="1" t="s">
        <v>780</v>
      </c>
      <c r="H17" s="1" t="s">
        <v>780</v>
      </c>
      <c r="X17" s="1" t="s">
        <v>780</v>
      </c>
      <c r="Y17" s="1" t="s">
        <v>780</v>
      </c>
      <c r="Z17" s="1" t="s">
        <v>780</v>
      </c>
      <c r="AA17" s="1" t="s">
        <v>780</v>
      </c>
      <c r="AT17" s="1" t="s">
        <v>780</v>
      </c>
      <c r="AX17" s="1" t="s">
        <v>780</v>
      </c>
      <c r="BE17" s="1" t="s">
        <v>780</v>
      </c>
      <c r="BS17" s="1" t="s">
        <v>780</v>
      </c>
      <c r="CZ17" s="1" t="s">
        <v>780</v>
      </c>
      <c r="DF17" s="1" t="s">
        <v>780</v>
      </c>
      <c r="EH17" s="1" t="s">
        <v>780</v>
      </c>
    </row>
    <row r="18" spans="1:187" ht="130.5" x14ac:dyDescent="0.35">
      <c r="A18" s="1" t="s">
        <v>778</v>
      </c>
      <c r="B18" s="1" t="s">
        <v>24</v>
      </c>
      <c r="C18" s="1" t="s">
        <v>796</v>
      </c>
      <c r="D18" s="1" t="s">
        <v>780</v>
      </c>
      <c r="E18" s="1" t="s">
        <v>780</v>
      </c>
      <c r="F18" s="1" t="s">
        <v>780</v>
      </c>
      <c r="G18" s="1" t="s">
        <v>780</v>
      </c>
      <c r="H18" s="1" t="s">
        <v>780</v>
      </c>
      <c r="I18" s="1" t="s">
        <v>780</v>
      </c>
      <c r="J18" s="1" t="s">
        <v>780</v>
      </c>
      <c r="K18" s="1" t="s">
        <v>780</v>
      </c>
      <c r="L18" s="1" t="s">
        <v>780</v>
      </c>
      <c r="M18" s="1" t="s">
        <v>780</v>
      </c>
      <c r="N18" s="1" t="s">
        <v>780</v>
      </c>
      <c r="P18" s="1" t="s">
        <v>780</v>
      </c>
      <c r="Q18" s="1" t="s">
        <v>780</v>
      </c>
      <c r="AS18" s="1" t="s">
        <v>780</v>
      </c>
      <c r="CZ18" s="1" t="s">
        <v>780</v>
      </c>
      <c r="DB18" s="1" t="s">
        <v>780</v>
      </c>
      <c r="DF18" s="1" t="s">
        <v>780</v>
      </c>
      <c r="DH18" s="1" t="s">
        <v>780</v>
      </c>
      <c r="DQ18" s="1" t="s">
        <v>780</v>
      </c>
      <c r="DW18" s="1" t="s">
        <v>780</v>
      </c>
      <c r="EH18" s="1" t="s">
        <v>780</v>
      </c>
    </row>
    <row r="19" spans="1:187" ht="72.5" x14ac:dyDescent="0.35">
      <c r="A19" s="1" t="s">
        <v>778</v>
      </c>
      <c r="B19" s="1" t="s">
        <v>24</v>
      </c>
      <c r="C19" s="1" t="s">
        <v>797</v>
      </c>
      <c r="D19" s="1" t="s">
        <v>780</v>
      </c>
      <c r="E19" s="1" t="s">
        <v>780</v>
      </c>
      <c r="F19" s="1" t="s">
        <v>780</v>
      </c>
      <c r="G19" s="1" t="s">
        <v>780</v>
      </c>
      <c r="H19" s="1" t="s">
        <v>780</v>
      </c>
      <c r="I19" s="1" t="s">
        <v>780</v>
      </c>
      <c r="J19" s="1" t="s">
        <v>780</v>
      </c>
      <c r="N19" s="1" t="s">
        <v>780</v>
      </c>
      <c r="O19" s="1" t="s">
        <v>780</v>
      </c>
      <c r="AX19" s="1" t="s">
        <v>780</v>
      </c>
      <c r="BE19" s="1" t="s">
        <v>780</v>
      </c>
      <c r="BS19" s="1" t="s">
        <v>780</v>
      </c>
      <c r="CZ19" s="1" t="s">
        <v>780</v>
      </c>
      <c r="DF19" s="1" t="s">
        <v>780</v>
      </c>
      <c r="EH19" s="1" t="s">
        <v>780</v>
      </c>
    </row>
    <row r="20" spans="1:187" ht="72.5" x14ac:dyDescent="0.35">
      <c r="A20" s="1" t="s">
        <v>778</v>
      </c>
      <c r="B20" s="1" t="s">
        <v>24</v>
      </c>
      <c r="C20" s="1" t="s">
        <v>798</v>
      </c>
      <c r="D20" s="1" t="s">
        <v>780</v>
      </c>
      <c r="E20" s="1" t="s">
        <v>780</v>
      </c>
      <c r="F20" s="1" t="s">
        <v>780</v>
      </c>
      <c r="G20" s="1" t="s">
        <v>780</v>
      </c>
      <c r="H20" s="1" t="s">
        <v>780</v>
      </c>
      <c r="I20" s="1" t="s">
        <v>780</v>
      </c>
      <c r="J20" s="1" t="s">
        <v>780</v>
      </c>
      <c r="AJ20" s="1" t="s">
        <v>780</v>
      </c>
      <c r="AQ20" s="1" t="s">
        <v>780</v>
      </c>
      <c r="AS20" s="1" t="s">
        <v>780</v>
      </c>
      <c r="CZ20" s="1" t="s">
        <v>780</v>
      </c>
      <c r="DC20" s="1" t="s">
        <v>780</v>
      </c>
      <c r="DD20" s="1" t="s">
        <v>780</v>
      </c>
      <c r="DF20" s="1" t="s">
        <v>780</v>
      </c>
      <c r="DJ20" s="1" t="s">
        <v>780</v>
      </c>
      <c r="DK20" s="1" t="s">
        <v>780</v>
      </c>
      <c r="DQ20" s="1" t="s">
        <v>780</v>
      </c>
      <c r="FG20" s="1" t="s">
        <v>780</v>
      </c>
      <c r="FK20" s="1" t="s">
        <v>780</v>
      </c>
    </row>
    <row r="21" spans="1:187" ht="43.5" x14ac:dyDescent="0.35">
      <c r="A21" s="1" t="s">
        <v>778</v>
      </c>
      <c r="B21" s="1" t="s">
        <v>24</v>
      </c>
      <c r="C21" s="1" t="s">
        <v>799</v>
      </c>
      <c r="D21" s="1" t="s">
        <v>780</v>
      </c>
      <c r="E21" s="1" t="s">
        <v>780</v>
      </c>
      <c r="F21" s="1" t="s">
        <v>780</v>
      </c>
      <c r="G21" s="1" t="s">
        <v>780</v>
      </c>
      <c r="H21" s="1" t="s">
        <v>780</v>
      </c>
      <c r="I21" s="1" t="s">
        <v>780</v>
      </c>
      <c r="J21" s="1" t="s">
        <v>780</v>
      </c>
      <c r="AJ21" s="1" t="s">
        <v>780</v>
      </c>
      <c r="AQ21" s="1" t="s">
        <v>780</v>
      </c>
      <c r="AS21" s="1" t="s">
        <v>780</v>
      </c>
      <c r="CZ21" s="1" t="s">
        <v>780</v>
      </c>
      <c r="DC21" s="1" t="s">
        <v>780</v>
      </c>
      <c r="DD21" s="1" t="s">
        <v>780</v>
      </c>
      <c r="DF21" s="1" t="s">
        <v>780</v>
      </c>
      <c r="DJ21" s="1" t="s">
        <v>780</v>
      </c>
      <c r="DK21" s="1" t="s">
        <v>780</v>
      </c>
      <c r="DQ21" s="1" t="s">
        <v>780</v>
      </c>
      <c r="FG21" s="1" t="s">
        <v>780</v>
      </c>
      <c r="FK21" s="1" t="s">
        <v>780</v>
      </c>
    </row>
    <row r="22" spans="1:187" ht="58" x14ac:dyDescent="0.35">
      <c r="A22" s="1" t="s">
        <v>778</v>
      </c>
      <c r="B22" s="1" t="s">
        <v>24</v>
      </c>
      <c r="C22" s="1" t="s">
        <v>800</v>
      </c>
      <c r="D22" s="1" t="s">
        <v>780</v>
      </c>
      <c r="E22" s="1" t="s">
        <v>780</v>
      </c>
      <c r="F22" s="1" t="s">
        <v>780</v>
      </c>
      <c r="G22" s="1" t="s">
        <v>780</v>
      </c>
      <c r="H22" s="1" t="s">
        <v>780</v>
      </c>
      <c r="AQ22" s="1" t="s">
        <v>780</v>
      </c>
      <c r="AT22" s="1" t="s">
        <v>780</v>
      </c>
      <c r="BN22" s="1" t="s">
        <v>780</v>
      </c>
      <c r="DQ22" s="1" t="s">
        <v>780</v>
      </c>
      <c r="EP22" s="1" t="s">
        <v>780</v>
      </c>
      <c r="EQ22" s="1" t="s">
        <v>780</v>
      </c>
      <c r="FF22" s="1" t="s">
        <v>780</v>
      </c>
    </row>
    <row r="23" spans="1:187" ht="72.5" x14ac:dyDescent="0.35">
      <c r="A23" s="1" t="s">
        <v>778</v>
      </c>
      <c r="B23" s="1" t="s">
        <v>24</v>
      </c>
      <c r="C23" s="1" t="s">
        <v>801</v>
      </c>
      <c r="D23" s="1" t="s">
        <v>780</v>
      </c>
      <c r="E23" s="1" t="s">
        <v>780</v>
      </c>
      <c r="F23" s="1" t="s">
        <v>780</v>
      </c>
      <c r="G23" s="1" t="s">
        <v>780</v>
      </c>
      <c r="H23" s="1" t="s">
        <v>780</v>
      </c>
      <c r="AQ23" s="1" t="s">
        <v>780</v>
      </c>
      <c r="AT23" s="1" t="s">
        <v>780</v>
      </c>
      <c r="BE23" s="1" t="s">
        <v>780</v>
      </c>
      <c r="BN23" s="1" t="s">
        <v>780</v>
      </c>
      <c r="CZ23" s="1" t="s">
        <v>780</v>
      </c>
      <c r="DF23" s="1" t="s">
        <v>780</v>
      </c>
      <c r="EI23" s="1" t="s">
        <v>780</v>
      </c>
    </row>
    <row r="24" spans="1:187" ht="51" x14ac:dyDescent="0.35">
      <c r="A24" s="1" t="s">
        <v>778</v>
      </c>
      <c r="B24" s="1" t="s">
        <v>24</v>
      </c>
      <c r="C24" s="2" t="s">
        <v>802</v>
      </c>
      <c r="D24" s="1" t="s">
        <v>780</v>
      </c>
      <c r="E24" s="1" t="s">
        <v>780</v>
      </c>
      <c r="F24" s="1" t="s">
        <v>780</v>
      </c>
      <c r="G24" s="1" t="s">
        <v>780</v>
      </c>
      <c r="H24" s="1" t="s">
        <v>780</v>
      </c>
      <c r="I24" s="1" t="s">
        <v>780</v>
      </c>
      <c r="J24" s="1" t="s">
        <v>780</v>
      </c>
      <c r="AJ24" s="1" t="s">
        <v>780</v>
      </c>
      <c r="AQ24" s="1" t="s">
        <v>780</v>
      </c>
      <c r="AS24" s="1" t="s">
        <v>780</v>
      </c>
      <c r="CZ24" s="1" t="s">
        <v>780</v>
      </c>
      <c r="DC24" s="1" t="s">
        <v>780</v>
      </c>
      <c r="DD24" s="1" t="s">
        <v>780</v>
      </c>
      <c r="DF24" s="1" t="s">
        <v>780</v>
      </c>
      <c r="DJ24" s="1" t="s">
        <v>780</v>
      </c>
      <c r="DK24" s="1" t="s">
        <v>780</v>
      </c>
      <c r="DQ24" s="1" t="s">
        <v>780</v>
      </c>
      <c r="FG24" s="1" t="s">
        <v>780</v>
      </c>
      <c r="FK24" s="1" t="s">
        <v>780</v>
      </c>
    </row>
    <row r="25" spans="1:187" ht="72.5" x14ac:dyDescent="0.35">
      <c r="A25" s="1" t="s">
        <v>778</v>
      </c>
      <c r="B25" s="1" t="s">
        <v>24</v>
      </c>
      <c r="C25" s="1" t="s">
        <v>803</v>
      </c>
      <c r="D25" s="1" t="s">
        <v>780</v>
      </c>
      <c r="E25" s="1" t="s">
        <v>780</v>
      </c>
      <c r="F25" s="1" t="s">
        <v>780</v>
      </c>
      <c r="G25" s="1" t="s">
        <v>780</v>
      </c>
      <c r="H25" s="1" t="s">
        <v>780</v>
      </c>
      <c r="AQ25" s="1" t="s">
        <v>780</v>
      </c>
      <c r="AT25" s="1" t="s">
        <v>780</v>
      </c>
      <c r="BN25" s="1" t="s">
        <v>780</v>
      </c>
      <c r="DQ25" s="1" t="s">
        <v>780</v>
      </c>
      <c r="EP25" s="1" t="s">
        <v>780</v>
      </c>
      <c r="EQ25" s="1" t="s">
        <v>780</v>
      </c>
      <c r="FF25" s="1" t="s">
        <v>780</v>
      </c>
    </row>
    <row r="26" spans="1:187" ht="72.5" x14ac:dyDescent="0.35">
      <c r="A26" s="1" t="s">
        <v>778</v>
      </c>
      <c r="B26" s="1" t="s">
        <v>24</v>
      </c>
      <c r="C26" s="1" t="s">
        <v>804</v>
      </c>
      <c r="D26" s="1" t="s">
        <v>780</v>
      </c>
      <c r="E26" s="1" t="s">
        <v>780</v>
      </c>
      <c r="F26" s="1" t="s">
        <v>780</v>
      </c>
      <c r="G26" s="1" t="s">
        <v>780</v>
      </c>
      <c r="H26" s="1" t="s">
        <v>780</v>
      </c>
      <c r="AJ26" s="1" t="s">
        <v>780</v>
      </c>
      <c r="AQ26" s="1" t="s">
        <v>780</v>
      </c>
      <c r="AT26" s="1" t="s">
        <v>780</v>
      </c>
      <c r="AX26" s="1" t="s">
        <v>780</v>
      </c>
      <c r="BJ26" s="1" t="s">
        <v>780</v>
      </c>
      <c r="BR26" s="1" t="s">
        <v>780</v>
      </c>
      <c r="BS26" s="1" t="s">
        <v>780</v>
      </c>
      <c r="BT26" s="1" t="s">
        <v>780</v>
      </c>
      <c r="CZ26" s="1" t="s">
        <v>780</v>
      </c>
      <c r="DF26" s="1" t="s">
        <v>780</v>
      </c>
      <c r="DQ26" s="1" t="s">
        <v>780</v>
      </c>
    </row>
    <row r="27" spans="1:187" ht="43.5" x14ac:dyDescent="0.35">
      <c r="A27" s="1" t="s">
        <v>778</v>
      </c>
      <c r="B27" s="1" t="s">
        <v>24</v>
      </c>
      <c r="C27" s="1" t="s">
        <v>805</v>
      </c>
      <c r="D27" s="1" t="s">
        <v>780</v>
      </c>
      <c r="E27" s="1" t="s">
        <v>780</v>
      </c>
      <c r="F27" s="1" t="s">
        <v>780</v>
      </c>
      <c r="G27" s="1" t="s">
        <v>780</v>
      </c>
      <c r="H27" s="1" t="s">
        <v>780</v>
      </c>
      <c r="AM27" s="1" t="s">
        <v>780</v>
      </c>
      <c r="AN27" s="1" t="s">
        <v>780</v>
      </c>
      <c r="CZ27" s="1" t="s">
        <v>780</v>
      </c>
      <c r="DA27" s="1" t="s">
        <v>780</v>
      </c>
      <c r="DF27" s="1" t="s">
        <v>780</v>
      </c>
      <c r="DI27" s="1" t="s">
        <v>780</v>
      </c>
    </row>
    <row r="28" spans="1:187" ht="43.5" x14ac:dyDescent="0.35">
      <c r="A28" s="1" t="s">
        <v>778</v>
      </c>
      <c r="B28" s="1" t="s">
        <v>24</v>
      </c>
      <c r="C28" s="1" t="s">
        <v>806</v>
      </c>
      <c r="D28" s="1" t="s">
        <v>780</v>
      </c>
      <c r="E28" s="1" t="s">
        <v>780</v>
      </c>
      <c r="F28" s="1" t="s">
        <v>780</v>
      </c>
      <c r="G28" s="1" t="s">
        <v>780</v>
      </c>
      <c r="H28" s="1" t="s">
        <v>780</v>
      </c>
      <c r="AJ28" s="1" t="s">
        <v>780</v>
      </c>
      <c r="AQ28" s="1" t="s">
        <v>780</v>
      </c>
      <c r="AT28" s="1" t="s">
        <v>780</v>
      </c>
      <c r="BJ28" s="1" t="s">
        <v>780</v>
      </c>
      <c r="BK28" s="1" t="s">
        <v>780</v>
      </c>
      <c r="BR28" s="1" t="s">
        <v>780</v>
      </c>
      <c r="CZ28" s="1" t="s">
        <v>780</v>
      </c>
      <c r="DF28" s="1" t="s">
        <v>780</v>
      </c>
      <c r="DQ28" s="1" t="s">
        <v>780</v>
      </c>
    </row>
    <row r="29" spans="1:187" ht="58" x14ac:dyDescent="0.35">
      <c r="A29" s="1" t="s">
        <v>778</v>
      </c>
      <c r="B29" s="1" t="s">
        <v>24</v>
      </c>
      <c r="C29" s="1" t="s">
        <v>807</v>
      </c>
      <c r="D29" s="1" t="s">
        <v>780</v>
      </c>
      <c r="E29" s="1" t="s">
        <v>780</v>
      </c>
      <c r="F29" s="1" t="s">
        <v>780</v>
      </c>
      <c r="G29" s="1" t="s">
        <v>780</v>
      </c>
      <c r="H29" s="1" t="s">
        <v>780</v>
      </c>
      <c r="AB29" s="1" t="s">
        <v>780</v>
      </c>
      <c r="AJ29" s="1" t="s">
        <v>780</v>
      </c>
      <c r="AT29" s="1" t="s">
        <v>780</v>
      </c>
      <c r="CK29" s="1" t="s">
        <v>780</v>
      </c>
      <c r="CZ29" s="1" t="s">
        <v>780</v>
      </c>
      <c r="FK29" s="1" t="s">
        <v>780</v>
      </c>
    </row>
    <row r="30" spans="1:187" ht="72.5" x14ac:dyDescent="0.35">
      <c r="A30" s="1" t="s">
        <v>778</v>
      </c>
      <c r="B30" s="1" t="s">
        <v>24</v>
      </c>
      <c r="C30" s="1" t="s">
        <v>808</v>
      </c>
      <c r="D30" s="1" t="s">
        <v>780</v>
      </c>
      <c r="E30" s="1" t="s">
        <v>780</v>
      </c>
      <c r="F30" s="1" t="s">
        <v>780</v>
      </c>
      <c r="G30" s="1" t="s">
        <v>780</v>
      </c>
      <c r="H30" s="1" t="s">
        <v>780</v>
      </c>
      <c r="BE30" s="1" t="s">
        <v>780</v>
      </c>
      <c r="CZ30" s="1" t="s">
        <v>780</v>
      </c>
      <c r="DF30" s="1" t="s">
        <v>780</v>
      </c>
      <c r="EH30" s="1" t="s">
        <v>780</v>
      </c>
      <c r="FH30" s="1" t="s">
        <v>780</v>
      </c>
      <c r="FI30" s="1" t="s">
        <v>780</v>
      </c>
    </row>
    <row r="31" spans="1:187" ht="72.5" x14ac:dyDescent="0.35">
      <c r="A31" s="1" t="s">
        <v>778</v>
      </c>
      <c r="B31" s="1" t="s">
        <v>24</v>
      </c>
      <c r="C31" s="1" t="s">
        <v>809</v>
      </c>
      <c r="D31" s="1" t="s">
        <v>780</v>
      </c>
      <c r="E31" s="1" t="s">
        <v>780</v>
      </c>
      <c r="F31" s="1" t="s">
        <v>780</v>
      </c>
      <c r="G31" s="1" t="s">
        <v>780</v>
      </c>
      <c r="H31" s="1" t="s">
        <v>780</v>
      </c>
      <c r="FL31" s="1" t="s">
        <v>780</v>
      </c>
      <c r="FM31" s="1" t="s">
        <v>780</v>
      </c>
      <c r="FN31" s="1" t="s">
        <v>780</v>
      </c>
      <c r="FS31" s="1" t="s">
        <v>780</v>
      </c>
      <c r="FT31" s="1" t="s">
        <v>780</v>
      </c>
      <c r="FU31" s="1" t="s">
        <v>780</v>
      </c>
      <c r="FV31" s="1" t="s">
        <v>780</v>
      </c>
      <c r="FW31" s="1" t="s">
        <v>780</v>
      </c>
      <c r="FX31" s="1" t="s">
        <v>780</v>
      </c>
      <c r="FY31" s="1" t="s">
        <v>780</v>
      </c>
      <c r="FZ31" s="1" t="s">
        <v>780</v>
      </c>
      <c r="GA31" s="1" t="s">
        <v>780</v>
      </c>
      <c r="GB31" s="1" t="s">
        <v>780</v>
      </c>
      <c r="GC31" s="1" t="s">
        <v>780</v>
      </c>
      <c r="GD31" s="1" t="s">
        <v>780</v>
      </c>
    </row>
    <row r="32" spans="1:187" ht="43.5" x14ac:dyDescent="0.35">
      <c r="A32" s="1" t="s">
        <v>778</v>
      </c>
      <c r="B32" s="1" t="s">
        <v>24</v>
      </c>
      <c r="C32" s="1" t="s">
        <v>810</v>
      </c>
      <c r="D32" s="1" t="s">
        <v>780</v>
      </c>
      <c r="E32" s="1" t="s">
        <v>780</v>
      </c>
      <c r="F32" s="1" t="s">
        <v>780</v>
      </c>
      <c r="G32" s="1" t="s">
        <v>780</v>
      </c>
      <c r="H32" s="1" t="s">
        <v>780</v>
      </c>
      <c r="AS32" s="1" t="s">
        <v>780</v>
      </c>
      <c r="CF32" s="1" t="s">
        <v>780</v>
      </c>
      <c r="CI32" s="1" t="s">
        <v>780</v>
      </c>
      <c r="EH32" s="1" t="s">
        <v>780</v>
      </c>
      <c r="GE32" s="1" t="s">
        <v>780</v>
      </c>
    </row>
    <row r="33" spans="1:202" ht="72.5" x14ac:dyDescent="0.35">
      <c r="A33" s="1" t="s">
        <v>778</v>
      </c>
      <c r="B33" s="1" t="s">
        <v>24</v>
      </c>
      <c r="C33" s="1" t="s">
        <v>811</v>
      </c>
      <c r="D33" s="1" t="s">
        <v>780</v>
      </c>
      <c r="E33" s="1" t="s">
        <v>780</v>
      </c>
      <c r="F33" s="1" t="s">
        <v>780</v>
      </c>
      <c r="G33" s="1" t="s">
        <v>780</v>
      </c>
      <c r="H33" s="1" t="s">
        <v>780</v>
      </c>
      <c r="AB33" s="1" t="s">
        <v>780</v>
      </c>
      <c r="BE33" s="1" t="s">
        <v>780</v>
      </c>
      <c r="BF33" s="1" t="s">
        <v>780</v>
      </c>
      <c r="CZ33" s="1" t="s">
        <v>780</v>
      </c>
      <c r="DA33" s="1" t="s">
        <v>780</v>
      </c>
      <c r="DF33" s="1" t="s">
        <v>780</v>
      </c>
      <c r="DI33" s="1" t="s">
        <v>780</v>
      </c>
    </row>
    <row r="34" spans="1:202" ht="43.5" x14ac:dyDescent="0.35">
      <c r="A34" s="1" t="s">
        <v>778</v>
      </c>
      <c r="B34" s="1" t="s">
        <v>24</v>
      </c>
      <c r="C34" s="1" t="s">
        <v>812</v>
      </c>
      <c r="D34" s="1" t="s">
        <v>780</v>
      </c>
      <c r="E34" s="1" t="s">
        <v>780</v>
      </c>
      <c r="F34" s="1" t="s">
        <v>780</v>
      </c>
      <c r="G34" s="1" t="s">
        <v>780</v>
      </c>
      <c r="H34" s="1" t="s">
        <v>780</v>
      </c>
      <c r="AQ34" s="1" t="s">
        <v>780</v>
      </c>
      <c r="AT34" s="1" t="s">
        <v>780</v>
      </c>
      <c r="AX34" s="1" t="s">
        <v>780</v>
      </c>
      <c r="BJ34" s="1" t="s">
        <v>780</v>
      </c>
      <c r="CZ34" s="1" t="s">
        <v>780</v>
      </c>
      <c r="DF34" s="1" t="s">
        <v>780</v>
      </c>
      <c r="EH34" s="1" t="s">
        <v>780</v>
      </c>
      <c r="FK34" s="1" t="s">
        <v>780</v>
      </c>
    </row>
    <row r="35" spans="1:202" ht="72.5" x14ac:dyDescent="0.35">
      <c r="A35" s="1" t="s">
        <v>778</v>
      </c>
      <c r="B35" s="1" t="s">
        <v>24</v>
      </c>
      <c r="C35" s="1" t="s">
        <v>813</v>
      </c>
      <c r="D35" s="1" t="s">
        <v>780</v>
      </c>
      <c r="E35" s="1" t="s">
        <v>780</v>
      </c>
      <c r="F35" s="1" t="s">
        <v>780</v>
      </c>
      <c r="G35" s="1" t="s">
        <v>780</v>
      </c>
      <c r="H35" s="1" t="s">
        <v>780</v>
      </c>
      <c r="AB35" s="1" t="s">
        <v>780</v>
      </c>
      <c r="AF35" s="1" t="s">
        <v>780</v>
      </c>
      <c r="AH35" s="1" t="s">
        <v>780</v>
      </c>
      <c r="BE35" s="1" t="s">
        <v>780</v>
      </c>
      <c r="CZ35" s="1" t="s">
        <v>780</v>
      </c>
      <c r="DF35" s="1" t="s">
        <v>780</v>
      </c>
      <c r="EI35" s="1" t="s">
        <v>780</v>
      </c>
      <c r="GJ35" s="1" t="s">
        <v>780</v>
      </c>
    </row>
    <row r="36" spans="1:202" ht="58" x14ac:dyDescent="0.35">
      <c r="A36" s="1" t="s">
        <v>778</v>
      </c>
      <c r="B36" s="1" t="s">
        <v>24</v>
      </c>
      <c r="C36" s="1" t="s">
        <v>814</v>
      </c>
      <c r="D36" s="1" t="s">
        <v>780</v>
      </c>
      <c r="E36" s="1" t="s">
        <v>780</v>
      </c>
      <c r="F36" s="1" t="s">
        <v>780</v>
      </c>
      <c r="G36" s="1" t="s">
        <v>780</v>
      </c>
      <c r="H36" s="1" t="s">
        <v>780</v>
      </c>
      <c r="AB36" s="1" t="s">
        <v>780</v>
      </c>
      <c r="AY36" s="1" t="s">
        <v>780</v>
      </c>
      <c r="BE36" s="1" t="s">
        <v>780</v>
      </c>
      <c r="BF36" s="1" t="s">
        <v>780</v>
      </c>
      <c r="CZ36" s="1" t="s">
        <v>780</v>
      </c>
      <c r="DF36" s="1" t="s">
        <v>780</v>
      </c>
      <c r="EG36" s="1" t="s">
        <v>780</v>
      </c>
      <c r="EH36" s="1" t="s">
        <v>780</v>
      </c>
      <c r="EI36" s="1" t="s">
        <v>780</v>
      </c>
      <c r="EN36" s="1" t="s">
        <v>780</v>
      </c>
      <c r="EO36" s="1" t="s">
        <v>780</v>
      </c>
    </row>
    <row r="37" spans="1:202" ht="72.5" x14ac:dyDescent="0.35">
      <c r="A37" s="1" t="s">
        <v>778</v>
      </c>
      <c r="B37" s="1" t="s">
        <v>24</v>
      </c>
      <c r="C37" s="1" t="s">
        <v>815</v>
      </c>
      <c r="D37" s="1" t="s">
        <v>780</v>
      </c>
      <c r="E37" s="1" t="s">
        <v>780</v>
      </c>
      <c r="F37" s="1" t="s">
        <v>780</v>
      </c>
      <c r="G37" s="1" t="s">
        <v>780</v>
      </c>
      <c r="H37" s="1" t="s">
        <v>780</v>
      </c>
      <c r="AE37" s="1" t="s">
        <v>780</v>
      </c>
      <c r="AH37" s="1" t="s">
        <v>780</v>
      </c>
      <c r="CZ37" s="1" t="s">
        <v>780</v>
      </c>
    </row>
    <row r="38" spans="1:202" ht="43.5" x14ac:dyDescent="0.35">
      <c r="A38" s="1" t="s">
        <v>778</v>
      </c>
      <c r="B38" s="1" t="s">
        <v>24</v>
      </c>
      <c r="C38" s="1" t="s">
        <v>816</v>
      </c>
      <c r="D38" s="1" t="s">
        <v>780</v>
      </c>
      <c r="E38" s="1" t="s">
        <v>780</v>
      </c>
      <c r="F38" s="1" t="s">
        <v>780</v>
      </c>
      <c r="G38" s="1" t="s">
        <v>780</v>
      </c>
      <c r="H38" s="1" t="s">
        <v>780</v>
      </c>
      <c r="I38" s="1" t="s">
        <v>780</v>
      </c>
      <c r="J38" s="1" t="s">
        <v>780</v>
      </c>
      <c r="DE38" s="1" t="s">
        <v>780</v>
      </c>
    </row>
    <row r="39" spans="1:202" ht="43.5" x14ac:dyDescent="0.35">
      <c r="A39" s="1" t="s">
        <v>778</v>
      </c>
      <c r="B39" s="1" t="s">
        <v>24</v>
      </c>
      <c r="C39" s="1" t="s">
        <v>816</v>
      </c>
      <c r="D39" s="1" t="s">
        <v>780</v>
      </c>
      <c r="E39" s="1" t="s">
        <v>780</v>
      </c>
      <c r="F39" s="1" t="s">
        <v>780</v>
      </c>
      <c r="G39" s="1" t="s">
        <v>780</v>
      </c>
      <c r="H39" s="1" t="s">
        <v>780</v>
      </c>
      <c r="AV39" s="1" t="s">
        <v>780</v>
      </c>
      <c r="AX39" s="1" t="s">
        <v>780</v>
      </c>
      <c r="AY39" s="1" t="s">
        <v>780</v>
      </c>
      <c r="BE39" s="1" t="s">
        <v>780</v>
      </c>
      <c r="BJ39" s="1" t="s">
        <v>780</v>
      </c>
      <c r="BR39" s="1" t="s">
        <v>780</v>
      </c>
      <c r="CZ39" s="1" t="s">
        <v>780</v>
      </c>
      <c r="EI39" s="1" t="s">
        <v>780</v>
      </c>
      <c r="GJ39" s="1" t="s">
        <v>780</v>
      </c>
    </row>
    <row r="40" spans="1:202" ht="58" x14ac:dyDescent="0.35">
      <c r="A40" s="1" t="s">
        <v>778</v>
      </c>
      <c r="B40" s="1" t="s">
        <v>24</v>
      </c>
      <c r="C40" s="1" t="s">
        <v>817</v>
      </c>
      <c r="D40" s="1" t="s">
        <v>780</v>
      </c>
      <c r="E40" s="1" t="s">
        <v>780</v>
      </c>
      <c r="F40" s="1" t="s">
        <v>780</v>
      </c>
      <c r="G40" s="1" t="s">
        <v>780</v>
      </c>
      <c r="H40" s="1" t="s">
        <v>780</v>
      </c>
      <c r="AE40" s="1" t="s">
        <v>780</v>
      </c>
      <c r="AH40" s="1" t="s">
        <v>780</v>
      </c>
      <c r="CZ40" s="1" t="s">
        <v>780</v>
      </c>
    </row>
    <row r="41" spans="1:202" ht="43.5" x14ac:dyDescent="0.35">
      <c r="A41" s="1" t="s">
        <v>778</v>
      </c>
      <c r="B41" s="1" t="s">
        <v>24</v>
      </c>
      <c r="C41" s="1" t="s">
        <v>818</v>
      </c>
      <c r="D41" s="1" t="s">
        <v>780</v>
      </c>
      <c r="E41" s="1" t="s">
        <v>780</v>
      </c>
      <c r="F41" s="1" t="s">
        <v>780</v>
      </c>
      <c r="G41" s="1" t="s">
        <v>780</v>
      </c>
      <c r="H41" s="1" t="s">
        <v>780</v>
      </c>
      <c r="AW41" s="1" t="s">
        <v>780</v>
      </c>
      <c r="AX41" s="1" t="s">
        <v>780</v>
      </c>
      <c r="BL41" s="1" t="s">
        <v>780</v>
      </c>
      <c r="BR41" s="1" t="s">
        <v>780</v>
      </c>
      <c r="BS41" s="1" t="s">
        <v>780</v>
      </c>
      <c r="BZ41" s="1" t="s">
        <v>780</v>
      </c>
      <c r="CA41" s="1" t="s">
        <v>780</v>
      </c>
      <c r="CC41" s="1" t="s">
        <v>780</v>
      </c>
      <c r="GF41" s="1" t="s">
        <v>780</v>
      </c>
      <c r="GG41" s="1" t="s">
        <v>780</v>
      </c>
    </row>
    <row r="42" spans="1:202" ht="43.5" x14ac:dyDescent="0.35">
      <c r="A42" s="1" t="s">
        <v>778</v>
      </c>
      <c r="B42" s="1" t="s">
        <v>24</v>
      </c>
      <c r="C42" s="1" t="s">
        <v>818</v>
      </c>
      <c r="D42" s="1" t="s">
        <v>780</v>
      </c>
      <c r="E42" s="1" t="s">
        <v>780</v>
      </c>
      <c r="F42" s="1" t="s">
        <v>780</v>
      </c>
      <c r="G42" s="1" t="s">
        <v>780</v>
      </c>
      <c r="H42" s="1" t="s">
        <v>780</v>
      </c>
      <c r="AW42" s="1" t="s">
        <v>780</v>
      </c>
      <c r="BZ42" s="1" t="s">
        <v>780</v>
      </c>
      <c r="CA42" s="1" t="s">
        <v>780</v>
      </c>
      <c r="CC42" s="1" t="s">
        <v>780</v>
      </c>
      <c r="FH42" s="1" t="s">
        <v>780</v>
      </c>
      <c r="FI42" s="1" t="s">
        <v>780</v>
      </c>
      <c r="GF42" s="1" t="s">
        <v>780</v>
      </c>
      <c r="GG42" s="1" t="s">
        <v>780</v>
      </c>
    </row>
    <row r="43" spans="1:202" ht="43.5" x14ac:dyDescent="0.35">
      <c r="A43" s="1" t="s">
        <v>778</v>
      </c>
      <c r="B43" s="1" t="s">
        <v>24</v>
      </c>
      <c r="C43" s="1" t="s">
        <v>819</v>
      </c>
      <c r="D43" s="1" t="s">
        <v>780</v>
      </c>
      <c r="E43" s="1" t="s">
        <v>780</v>
      </c>
      <c r="F43" s="1" t="s">
        <v>780</v>
      </c>
      <c r="G43" s="1" t="s">
        <v>780</v>
      </c>
      <c r="H43" s="1" t="s">
        <v>780</v>
      </c>
      <c r="FH43" s="1" t="s">
        <v>780</v>
      </c>
      <c r="FI43" s="1" t="s">
        <v>780</v>
      </c>
    </row>
    <row r="44" spans="1:202" ht="43.5" x14ac:dyDescent="0.35">
      <c r="A44" s="1" t="s">
        <v>778</v>
      </c>
      <c r="B44" s="1" t="s">
        <v>24</v>
      </c>
      <c r="C44" s="1" t="s">
        <v>820</v>
      </c>
      <c r="D44" s="1" t="s">
        <v>780</v>
      </c>
      <c r="E44" s="1" t="s">
        <v>780</v>
      </c>
      <c r="F44" s="1" t="s">
        <v>780</v>
      </c>
      <c r="G44" s="1" t="s">
        <v>780</v>
      </c>
      <c r="H44" s="1" t="s">
        <v>780</v>
      </c>
      <c r="I44" s="1" t="s">
        <v>780</v>
      </c>
      <c r="CM44" s="1" t="s">
        <v>780</v>
      </c>
      <c r="CN44" s="1" t="s">
        <v>780</v>
      </c>
      <c r="CO44" s="1" t="s">
        <v>780</v>
      </c>
      <c r="CP44" s="1" t="s">
        <v>780</v>
      </c>
      <c r="CQ44" s="1" t="s">
        <v>780</v>
      </c>
      <c r="DE44" s="1" t="s">
        <v>780</v>
      </c>
    </row>
    <row r="45" spans="1:202" ht="43.5" x14ac:dyDescent="0.35">
      <c r="A45" s="1" t="s">
        <v>778</v>
      </c>
      <c r="B45" s="1" t="s">
        <v>24</v>
      </c>
      <c r="C45" s="1" t="s">
        <v>821</v>
      </c>
      <c r="D45" s="1" t="s">
        <v>780</v>
      </c>
      <c r="E45" s="1" t="s">
        <v>780</v>
      </c>
      <c r="F45" s="1" t="s">
        <v>780</v>
      </c>
      <c r="G45" s="1" t="s">
        <v>780</v>
      </c>
      <c r="H45" s="1" t="s">
        <v>780</v>
      </c>
      <c r="EJ45" s="1" t="s">
        <v>780</v>
      </c>
      <c r="EK45" s="1" t="s">
        <v>780</v>
      </c>
      <c r="EL45" s="1" t="s">
        <v>780</v>
      </c>
      <c r="EM45" s="1" t="s">
        <v>780</v>
      </c>
      <c r="GJ45" s="1" t="s">
        <v>780</v>
      </c>
      <c r="GK45" s="1" t="s">
        <v>780</v>
      </c>
      <c r="GL45" s="1" t="s">
        <v>780</v>
      </c>
      <c r="GM45" s="1" t="s">
        <v>780</v>
      </c>
      <c r="GN45" s="1" t="s">
        <v>780</v>
      </c>
      <c r="GO45" s="1" t="s">
        <v>780</v>
      </c>
      <c r="GP45" s="1" t="s">
        <v>780</v>
      </c>
    </row>
    <row r="46" spans="1:202" ht="43.5" x14ac:dyDescent="0.35">
      <c r="A46" s="1" t="s">
        <v>778</v>
      </c>
      <c r="B46" s="1" t="s">
        <v>822</v>
      </c>
      <c r="C46" s="1" t="s">
        <v>823</v>
      </c>
      <c r="D46" s="1" t="s">
        <v>780</v>
      </c>
      <c r="E46" s="1" t="s">
        <v>780</v>
      </c>
      <c r="F46" s="1" t="s">
        <v>780</v>
      </c>
      <c r="G46" s="1" t="s">
        <v>780</v>
      </c>
      <c r="H46" s="1" t="s">
        <v>780</v>
      </c>
      <c r="AW46" s="1" t="s">
        <v>780</v>
      </c>
      <c r="BC46" s="1" t="s">
        <v>780</v>
      </c>
      <c r="BZ46" s="1" t="s">
        <v>780</v>
      </c>
      <c r="CA46" s="1" t="s">
        <v>780</v>
      </c>
      <c r="CB46" s="1" t="s">
        <v>780</v>
      </c>
      <c r="CC46" s="1" t="s">
        <v>780</v>
      </c>
      <c r="CD46" s="1" t="s">
        <v>780</v>
      </c>
      <c r="CE46" s="1" t="s">
        <v>780</v>
      </c>
      <c r="GS46" s="1" t="s">
        <v>780</v>
      </c>
      <c r="GT46" s="1" t="s">
        <v>780</v>
      </c>
    </row>
    <row r="47" spans="1:202" ht="43.5" x14ac:dyDescent="0.35">
      <c r="A47" s="1" t="s">
        <v>778</v>
      </c>
      <c r="B47" s="1" t="s">
        <v>822</v>
      </c>
      <c r="C47" s="1" t="s">
        <v>824</v>
      </c>
      <c r="D47" s="1" t="s">
        <v>780</v>
      </c>
      <c r="E47" s="1" t="s">
        <v>780</v>
      </c>
      <c r="F47" s="1" t="s">
        <v>780</v>
      </c>
      <c r="G47" s="1" t="s">
        <v>780</v>
      </c>
      <c r="H47" s="1" t="s">
        <v>780</v>
      </c>
      <c r="AW47" s="1" t="s">
        <v>780</v>
      </c>
      <c r="AX47" s="1" t="s">
        <v>780</v>
      </c>
      <c r="BL47" s="1" t="s">
        <v>780</v>
      </c>
      <c r="BR47" s="1" t="s">
        <v>780</v>
      </c>
      <c r="BS47" s="1" t="s">
        <v>780</v>
      </c>
      <c r="BZ47" s="1" t="s">
        <v>780</v>
      </c>
      <c r="CA47" s="1" t="s">
        <v>780</v>
      </c>
      <c r="CB47" s="1" t="s">
        <v>780</v>
      </c>
      <c r="CC47" s="1" t="s">
        <v>780</v>
      </c>
      <c r="CD47" s="1" t="s">
        <v>780</v>
      </c>
      <c r="CE47" s="1" t="s">
        <v>780</v>
      </c>
      <c r="GS47" s="1" t="s">
        <v>780</v>
      </c>
    </row>
    <row r="48" spans="1:202" ht="43.5" x14ac:dyDescent="0.35">
      <c r="A48" s="1" t="s">
        <v>778</v>
      </c>
      <c r="B48" s="1" t="s">
        <v>822</v>
      </c>
      <c r="C48" s="1" t="s">
        <v>825</v>
      </c>
      <c r="D48" s="1" t="s">
        <v>780</v>
      </c>
      <c r="E48" s="1" t="s">
        <v>780</v>
      </c>
      <c r="F48" s="1" t="s">
        <v>780</v>
      </c>
      <c r="G48" s="1" t="s">
        <v>780</v>
      </c>
      <c r="AW48" s="1" t="s">
        <v>780</v>
      </c>
      <c r="BC48" s="1" t="s">
        <v>780</v>
      </c>
      <c r="BN48" s="1" t="s">
        <v>780</v>
      </c>
      <c r="BZ48" s="1" t="s">
        <v>780</v>
      </c>
      <c r="CA48" s="1" t="s">
        <v>780</v>
      </c>
      <c r="CB48" s="1" t="s">
        <v>780</v>
      </c>
      <c r="CC48" s="1" t="s">
        <v>780</v>
      </c>
      <c r="CD48" s="1" t="s">
        <v>780</v>
      </c>
      <c r="CE48" s="1" t="s">
        <v>780</v>
      </c>
      <c r="GS48" s="1" t="s">
        <v>780</v>
      </c>
      <c r="GT48" s="1" t="s">
        <v>780</v>
      </c>
    </row>
    <row r="49" spans="1:245" ht="43.5" x14ac:dyDescent="0.35">
      <c r="A49" s="1" t="s">
        <v>778</v>
      </c>
      <c r="B49" s="1" t="s">
        <v>822</v>
      </c>
      <c r="C49" s="1" t="s">
        <v>826</v>
      </c>
      <c r="D49" s="1" t="s">
        <v>780</v>
      </c>
      <c r="E49" s="1" t="s">
        <v>780</v>
      </c>
      <c r="F49" s="1" t="s">
        <v>780</v>
      </c>
      <c r="G49" s="1" t="s">
        <v>780</v>
      </c>
      <c r="H49" s="1" t="s">
        <v>780</v>
      </c>
      <c r="BC49" s="1" t="s">
        <v>780</v>
      </c>
      <c r="BZ49" s="1" t="s">
        <v>780</v>
      </c>
      <c r="CA49" s="1" t="s">
        <v>780</v>
      </c>
      <c r="CB49" s="1" t="s">
        <v>780</v>
      </c>
      <c r="CC49" s="1" t="s">
        <v>780</v>
      </c>
      <c r="CD49" s="1" t="s">
        <v>780</v>
      </c>
      <c r="CE49" s="1" t="s">
        <v>780</v>
      </c>
      <c r="FG49" s="1" t="s">
        <v>780</v>
      </c>
      <c r="GS49" s="1" t="s">
        <v>780</v>
      </c>
      <c r="GT49" s="1" t="s">
        <v>780</v>
      </c>
    </row>
    <row r="50" spans="1:245" ht="58" x14ac:dyDescent="0.35">
      <c r="A50" s="1" t="s">
        <v>778</v>
      </c>
      <c r="B50" s="1" t="s">
        <v>822</v>
      </c>
      <c r="C50" s="1" t="s">
        <v>827</v>
      </c>
      <c r="D50" s="1" t="s">
        <v>780</v>
      </c>
      <c r="E50" s="1" t="s">
        <v>780</v>
      </c>
      <c r="F50" s="1" t="s">
        <v>780</v>
      </c>
      <c r="G50" s="1" t="s">
        <v>780</v>
      </c>
      <c r="H50" s="1" t="s">
        <v>780</v>
      </c>
      <c r="AW50" s="1" t="s">
        <v>780</v>
      </c>
      <c r="BC50" s="1" t="s">
        <v>780</v>
      </c>
      <c r="BZ50" s="1" t="s">
        <v>780</v>
      </c>
      <c r="CA50" s="1" t="s">
        <v>780</v>
      </c>
      <c r="CB50" s="1" t="s">
        <v>780</v>
      </c>
      <c r="CC50" s="1" t="s">
        <v>780</v>
      </c>
      <c r="CD50" s="1" t="s">
        <v>780</v>
      </c>
      <c r="CE50" s="1" t="s">
        <v>780</v>
      </c>
      <c r="FH50" s="1" t="s">
        <v>780</v>
      </c>
      <c r="GS50" s="1" t="s">
        <v>780</v>
      </c>
      <c r="GT50" s="1" t="s">
        <v>780</v>
      </c>
    </row>
    <row r="51" spans="1:245" ht="58" x14ac:dyDescent="0.35">
      <c r="A51" s="1" t="s">
        <v>778</v>
      </c>
      <c r="B51" s="1" t="s">
        <v>822</v>
      </c>
      <c r="C51" s="1" t="s">
        <v>828</v>
      </c>
      <c r="D51" s="1" t="s">
        <v>780</v>
      </c>
      <c r="E51" s="1" t="s">
        <v>780</v>
      </c>
      <c r="F51" s="1" t="s">
        <v>780</v>
      </c>
      <c r="G51" s="1" t="s">
        <v>780</v>
      </c>
      <c r="H51" s="1" t="s">
        <v>780</v>
      </c>
      <c r="AJ51" s="1" t="s">
        <v>780</v>
      </c>
      <c r="AW51" s="1" t="s">
        <v>780</v>
      </c>
      <c r="BC51" s="1" t="s">
        <v>780</v>
      </c>
      <c r="BZ51" s="1" t="s">
        <v>780</v>
      </c>
      <c r="CA51" s="1" t="s">
        <v>780</v>
      </c>
      <c r="CB51" s="1" t="s">
        <v>780</v>
      </c>
      <c r="CC51" s="1" t="s">
        <v>780</v>
      </c>
      <c r="CD51" s="1" t="s">
        <v>780</v>
      </c>
      <c r="CE51" s="1" t="s">
        <v>780</v>
      </c>
      <c r="GT51" s="1" t="s">
        <v>780</v>
      </c>
      <c r="GW51" s="1" t="s">
        <v>780</v>
      </c>
    </row>
    <row r="52" spans="1:245" ht="43.5" x14ac:dyDescent="0.35">
      <c r="A52" s="1" t="s">
        <v>778</v>
      </c>
      <c r="B52" s="1" t="s">
        <v>822</v>
      </c>
      <c r="C52" s="3" t="s">
        <v>829</v>
      </c>
      <c r="D52" s="1" t="s">
        <v>780</v>
      </c>
      <c r="E52" s="1" t="s">
        <v>780</v>
      </c>
      <c r="F52" s="1" t="s">
        <v>780</v>
      </c>
      <c r="G52" s="1" t="s">
        <v>780</v>
      </c>
      <c r="H52" s="1" t="s">
        <v>780</v>
      </c>
      <c r="AE52" s="1" t="s">
        <v>780</v>
      </c>
      <c r="AH52" s="1" t="s">
        <v>780</v>
      </c>
      <c r="AW52" s="1" t="s">
        <v>780</v>
      </c>
      <c r="BC52" s="1" t="s">
        <v>780</v>
      </c>
      <c r="BZ52" s="1" t="s">
        <v>780</v>
      </c>
      <c r="CA52" s="1" t="s">
        <v>780</v>
      </c>
      <c r="CB52" s="1" t="s">
        <v>780</v>
      </c>
      <c r="CC52" s="1" t="s">
        <v>780</v>
      </c>
      <c r="CD52" s="1" t="s">
        <v>780</v>
      </c>
      <c r="CE52" s="1" t="s">
        <v>780</v>
      </c>
      <c r="GS52" s="1" t="s">
        <v>780</v>
      </c>
    </row>
    <row r="53" spans="1:245" ht="58" x14ac:dyDescent="0.35">
      <c r="A53" s="1" t="s">
        <v>778</v>
      </c>
      <c r="B53" s="1" t="s">
        <v>822</v>
      </c>
      <c r="C53" s="1" t="s">
        <v>830</v>
      </c>
      <c r="D53" s="1" t="s">
        <v>780</v>
      </c>
      <c r="E53" s="1" t="s">
        <v>780</v>
      </c>
      <c r="F53" s="1" t="s">
        <v>780</v>
      </c>
      <c r="G53" s="1" t="s">
        <v>780</v>
      </c>
      <c r="H53" s="1" t="s">
        <v>780</v>
      </c>
      <c r="I53" s="1" t="s">
        <v>780</v>
      </c>
      <c r="J53" s="1" t="s">
        <v>780</v>
      </c>
      <c r="AD53" s="1" t="s">
        <v>780</v>
      </c>
      <c r="AF53" s="1" t="s">
        <v>780</v>
      </c>
      <c r="BE53" s="1" t="s">
        <v>780</v>
      </c>
      <c r="FG53" s="1" t="s">
        <v>780</v>
      </c>
      <c r="GT53" s="1" t="s">
        <v>780</v>
      </c>
      <c r="HA53" s="1" t="s">
        <v>780</v>
      </c>
      <c r="HB53" s="1" t="s">
        <v>780</v>
      </c>
      <c r="HC53" s="1" t="s">
        <v>780</v>
      </c>
    </row>
    <row r="54" spans="1:245" ht="72.5" x14ac:dyDescent="0.35">
      <c r="A54" s="1" t="s">
        <v>778</v>
      </c>
      <c r="B54" s="1" t="s">
        <v>822</v>
      </c>
      <c r="C54" s="1" t="s">
        <v>831</v>
      </c>
      <c r="D54" s="1" t="s">
        <v>780</v>
      </c>
      <c r="E54" s="1" t="s">
        <v>780</v>
      </c>
      <c r="F54" s="1" t="s">
        <v>780</v>
      </c>
      <c r="G54" s="1" t="s">
        <v>780</v>
      </c>
      <c r="H54" s="1" t="s">
        <v>780</v>
      </c>
      <c r="AK54" s="1" t="s">
        <v>780</v>
      </c>
      <c r="AL54" s="1" t="s">
        <v>780</v>
      </c>
      <c r="AS54" s="1" t="s">
        <v>780</v>
      </c>
      <c r="ER54" s="1" t="s">
        <v>780</v>
      </c>
    </row>
    <row r="55" spans="1:245" ht="58" x14ac:dyDescent="0.35">
      <c r="A55" s="1" t="s">
        <v>778</v>
      </c>
      <c r="B55" s="1" t="s">
        <v>822</v>
      </c>
      <c r="C55" s="1" t="s">
        <v>832</v>
      </c>
      <c r="D55" s="1" t="s">
        <v>780</v>
      </c>
      <c r="E55" s="1" t="s">
        <v>780</v>
      </c>
      <c r="F55" s="1" t="s">
        <v>780</v>
      </c>
      <c r="G55" s="1" t="s">
        <v>780</v>
      </c>
      <c r="H55" s="1" t="s">
        <v>780</v>
      </c>
      <c r="HD55" s="1" t="s">
        <v>780</v>
      </c>
      <c r="HE55" s="1" t="s">
        <v>780</v>
      </c>
      <c r="HF55" s="1" t="s">
        <v>780</v>
      </c>
      <c r="HG55" s="1" t="s">
        <v>780</v>
      </c>
      <c r="HH55" s="1" t="s">
        <v>780</v>
      </c>
      <c r="HI55" s="1" t="s">
        <v>780</v>
      </c>
      <c r="HJ55" s="1" t="s">
        <v>780</v>
      </c>
      <c r="HL55" s="1" t="s">
        <v>780</v>
      </c>
      <c r="HM55" s="1" t="s">
        <v>780</v>
      </c>
      <c r="HN55" s="1" t="s">
        <v>780</v>
      </c>
      <c r="HO55" s="1" t="s">
        <v>780</v>
      </c>
      <c r="HP55" s="1" t="s">
        <v>780</v>
      </c>
      <c r="HQ55" s="1" t="s">
        <v>780</v>
      </c>
      <c r="HR55" s="1" t="s">
        <v>780</v>
      </c>
      <c r="HS55" s="1" t="s">
        <v>780</v>
      </c>
      <c r="HU55" s="1" t="s">
        <v>780</v>
      </c>
    </row>
    <row r="56" spans="1:245" ht="43.5" x14ac:dyDescent="0.35">
      <c r="A56" s="1" t="s">
        <v>778</v>
      </c>
      <c r="B56" s="1" t="s">
        <v>822</v>
      </c>
      <c r="C56" s="1" t="s">
        <v>833</v>
      </c>
      <c r="D56" s="1" t="s">
        <v>780</v>
      </c>
      <c r="E56" s="1" t="s">
        <v>780</v>
      </c>
      <c r="F56" s="1" t="s">
        <v>780</v>
      </c>
      <c r="G56" s="1" t="s">
        <v>780</v>
      </c>
      <c r="H56" s="1" t="s">
        <v>780</v>
      </c>
      <c r="HD56" s="1" t="s">
        <v>780</v>
      </c>
      <c r="HE56" s="1" t="s">
        <v>780</v>
      </c>
      <c r="HF56" s="1" t="s">
        <v>780</v>
      </c>
      <c r="HG56" s="1" t="s">
        <v>780</v>
      </c>
      <c r="HH56" s="1" t="s">
        <v>780</v>
      </c>
      <c r="HI56" s="1" t="s">
        <v>780</v>
      </c>
      <c r="HJ56" s="1" t="s">
        <v>780</v>
      </c>
      <c r="HL56" s="1" t="s">
        <v>780</v>
      </c>
    </row>
    <row r="57" spans="1:245" ht="58" x14ac:dyDescent="0.35">
      <c r="A57" s="1" t="s">
        <v>778</v>
      </c>
      <c r="B57" s="1" t="s">
        <v>822</v>
      </c>
      <c r="C57" s="1" t="s">
        <v>834</v>
      </c>
      <c r="D57" s="1" t="s">
        <v>780</v>
      </c>
      <c r="E57" s="1" t="s">
        <v>780</v>
      </c>
      <c r="F57" s="1" t="s">
        <v>780</v>
      </c>
      <c r="G57" s="1" t="s">
        <v>780</v>
      </c>
      <c r="H57" s="1" t="s">
        <v>780</v>
      </c>
      <c r="AJ57" s="1" t="s">
        <v>780</v>
      </c>
      <c r="AQ57" s="1" t="s">
        <v>780</v>
      </c>
      <c r="BG57" s="1" t="s">
        <v>780</v>
      </c>
      <c r="DN57" s="1" t="s">
        <v>780</v>
      </c>
      <c r="DO57" s="1" t="s">
        <v>780</v>
      </c>
      <c r="DP57" s="1" t="s">
        <v>780</v>
      </c>
      <c r="DX57" s="1" t="s">
        <v>780</v>
      </c>
      <c r="DY57" s="1" t="s">
        <v>780</v>
      </c>
      <c r="DZ57" s="1" t="s">
        <v>780</v>
      </c>
      <c r="EA57" s="1" t="s">
        <v>780</v>
      </c>
      <c r="HV57" s="1" t="s">
        <v>780</v>
      </c>
    </row>
    <row r="58" spans="1:245" ht="58" x14ac:dyDescent="0.35">
      <c r="A58" s="1" t="s">
        <v>778</v>
      </c>
      <c r="B58" s="1" t="s">
        <v>822</v>
      </c>
      <c r="C58" s="1" t="s">
        <v>835</v>
      </c>
      <c r="D58" s="1" t="s">
        <v>780</v>
      </c>
      <c r="E58" s="1" t="s">
        <v>780</v>
      </c>
      <c r="F58" s="1" t="s">
        <v>780</v>
      </c>
      <c r="G58" s="1" t="s">
        <v>780</v>
      </c>
      <c r="H58" s="1" t="s">
        <v>780</v>
      </c>
      <c r="I58" s="1" t="s">
        <v>780</v>
      </c>
      <c r="J58" s="1" t="s">
        <v>780</v>
      </c>
      <c r="M58" s="1" t="s">
        <v>780</v>
      </c>
      <c r="O58" s="1" t="s">
        <v>780</v>
      </c>
      <c r="P58" s="1" t="s">
        <v>780</v>
      </c>
      <c r="Q58" s="1" t="s">
        <v>780</v>
      </c>
      <c r="AQ58" s="1" t="s">
        <v>780</v>
      </c>
      <c r="BH58" s="1" t="s">
        <v>780</v>
      </c>
      <c r="DF58" s="1" t="s">
        <v>780</v>
      </c>
      <c r="DQ58" s="1" t="s">
        <v>780</v>
      </c>
    </row>
    <row r="59" spans="1:245" ht="43.5" x14ac:dyDescent="0.35">
      <c r="A59" s="1" t="s">
        <v>778</v>
      </c>
      <c r="B59" s="1" t="s">
        <v>822</v>
      </c>
      <c r="C59" s="1" t="s">
        <v>836</v>
      </c>
      <c r="D59" s="1" t="s">
        <v>780</v>
      </c>
      <c r="E59" s="1" t="s">
        <v>780</v>
      </c>
      <c r="F59" s="1" t="s">
        <v>780</v>
      </c>
      <c r="G59" s="1" t="s">
        <v>780</v>
      </c>
      <c r="H59" s="1" t="s">
        <v>780</v>
      </c>
      <c r="I59" s="1" t="s">
        <v>780</v>
      </c>
      <c r="J59" s="1" t="s">
        <v>780</v>
      </c>
      <c r="M59" s="1" t="s">
        <v>780</v>
      </c>
      <c r="N59" s="1" t="s">
        <v>780</v>
      </c>
      <c r="AV59" s="1" t="s">
        <v>780</v>
      </c>
      <c r="AX59" s="1" t="s">
        <v>780</v>
      </c>
      <c r="BS59" s="1" t="s">
        <v>780</v>
      </c>
      <c r="HM59" s="1" t="s">
        <v>780</v>
      </c>
      <c r="HW59" s="1" t="s">
        <v>780</v>
      </c>
      <c r="HX59" s="1" t="s">
        <v>780</v>
      </c>
      <c r="HY59" s="1" t="s">
        <v>780</v>
      </c>
      <c r="HZ59" s="1" t="s">
        <v>780</v>
      </c>
      <c r="IA59" s="1" t="s">
        <v>780</v>
      </c>
      <c r="IB59" s="1" t="s">
        <v>780</v>
      </c>
      <c r="IC59" s="1" t="s">
        <v>780</v>
      </c>
      <c r="ID59" s="1" t="s">
        <v>780</v>
      </c>
      <c r="IE59" s="1" t="s">
        <v>780</v>
      </c>
    </row>
    <row r="60" spans="1:245" ht="43.5" x14ac:dyDescent="0.35">
      <c r="A60" s="1" t="s">
        <v>778</v>
      </c>
      <c r="B60" s="1" t="s">
        <v>822</v>
      </c>
      <c r="C60" s="1" t="s">
        <v>837</v>
      </c>
      <c r="D60" s="1" t="s">
        <v>780</v>
      </c>
      <c r="E60" s="1" t="s">
        <v>780</v>
      </c>
      <c r="F60" s="1" t="s">
        <v>780</v>
      </c>
      <c r="G60" s="1" t="s">
        <v>780</v>
      </c>
      <c r="H60" s="1" t="s">
        <v>780</v>
      </c>
      <c r="AV60" s="1" t="s">
        <v>780</v>
      </c>
      <c r="AX60" s="1" t="s">
        <v>780</v>
      </c>
      <c r="BJ60" s="1" t="s">
        <v>780</v>
      </c>
      <c r="BK60" s="1" t="s">
        <v>780</v>
      </c>
      <c r="BR60" s="1" t="s">
        <v>780</v>
      </c>
      <c r="HM60" s="1" t="s">
        <v>780</v>
      </c>
      <c r="HW60" s="1" t="s">
        <v>780</v>
      </c>
      <c r="HX60" s="1" t="s">
        <v>780</v>
      </c>
      <c r="HY60" s="1" t="s">
        <v>780</v>
      </c>
      <c r="HZ60" s="1" t="s">
        <v>780</v>
      </c>
      <c r="IA60" s="1" t="s">
        <v>780</v>
      </c>
      <c r="IB60" s="1" t="s">
        <v>780</v>
      </c>
      <c r="IC60" s="1" t="s">
        <v>780</v>
      </c>
      <c r="ID60" s="1" t="s">
        <v>780</v>
      </c>
      <c r="IE60" s="1" t="s">
        <v>780</v>
      </c>
    </row>
    <row r="61" spans="1:245" ht="43.5" x14ac:dyDescent="0.35">
      <c r="A61" s="1" t="s">
        <v>778</v>
      </c>
      <c r="B61" s="1" t="s">
        <v>822</v>
      </c>
      <c r="C61" s="1" t="s">
        <v>838</v>
      </c>
      <c r="D61" s="1" t="s">
        <v>780</v>
      </c>
      <c r="E61" s="1" t="s">
        <v>780</v>
      </c>
      <c r="F61" s="1" t="s">
        <v>780</v>
      </c>
      <c r="G61" s="1" t="s">
        <v>780</v>
      </c>
      <c r="H61" s="1" t="s">
        <v>780</v>
      </c>
      <c r="AV61" s="1" t="s">
        <v>780</v>
      </c>
      <c r="BS61" s="1" t="s">
        <v>780</v>
      </c>
      <c r="BT61" s="1" t="s">
        <v>780</v>
      </c>
      <c r="HM61" s="1" t="s">
        <v>780</v>
      </c>
      <c r="HW61" s="1" t="s">
        <v>780</v>
      </c>
      <c r="HX61" s="1" t="s">
        <v>780</v>
      </c>
      <c r="HY61" s="1" t="s">
        <v>780</v>
      </c>
      <c r="HZ61" s="1" t="s">
        <v>780</v>
      </c>
      <c r="IA61" s="1" t="s">
        <v>780</v>
      </c>
      <c r="IB61" s="1" t="s">
        <v>780</v>
      </c>
      <c r="IC61" s="1" t="s">
        <v>780</v>
      </c>
      <c r="ID61" s="1" t="s">
        <v>780</v>
      </c>
      <c r="IE61" s="1" t="s">
        <v>780</v>
      </c>
    </row>
    <row r="62" spans="1:245" ht="43.5" x14ac:dyDescent="0.35">
      <c r="A62" s="1" t="s">
        <v>778</v>
      </c>
      <c r="B62" s="1" t="s">
        <v>822</v>
      </c>
      <c r="C62" s="1" t="s">
        <v>839</v>
      </c>
      <c r="D62" s="1" t="s">
        <v>780</v>
      </c>
      <c r="E62" s="1" t="s">
        <v>780</v>
      </c>
      <c r="F62" s="1" t="s">
        <v>780</v>
      </c>
      <c r="G62" s="1" t="s">
        <v>780</v>
      </c>
      <c r="H62" s="1" t="s">
        <v>780</v>
      </c>
      <c r="HD62" s="1" t="s">
        <v>780</v>
      </c>
      <c r="HM62" s="1" t="s">
        <v>780</v>
      </c>
      <c r="HW62" s="1" t="s">
        <v>780</v>
      </c>
      <c r="HX62" s="1" t="s">
        <v>780</v>
      </c>
      <c r="HY62" s="1" t="s">
        <v>780</v>
      </c>
      <c r="HZ62" s="1" t="s">
        <v>780</v>
      </c>
      <c r="IB62" s="1" t="s">
        <v>780</v>
      </c>
      <c r="IC62" s="1" t="s">
        <v>780</v>
      </c>
      <c r="ID62" s="1" t="s">
        <v>780</v>
      </c>
      <c r="IE62" s="1" t="s">
        <v>780</v>
      </c>
    </row>
    <row r="63" spans="1:245" ht="58" x14ac:dyDescent="0.35">
      <c r="A63" s="1" t="s">
        <v>778</v>
      </c>
      <c r="B63" s="1" t="s">
        <v>822</v>
      </c>
      <c r="C63" s="1" t="s">
        <v>840</v>
      </c>
      <c r="D63" s="1" t="s">
        <v>780</v>
      </c>
      <c r="E63" s="1" t="s">
        <v>780</v>
      </c>
      <c r="F63" s="1" t="s">
        <v>780</v>
      </c>
      <c r="G63" s="1" t="s">
        <v>780</v>
      </c>
      <c r="H63" s="1" t="s">
        <v>780</v>
      </c>
      <c r="AQ63" s="1" t="s">
        <v>780</v>
      </c>
      <c r="AU63" s="1" t="s">
        <v>780</v>
      </c>
      <c r="BN63" s="1" t="s">
        <v>780</v>
      </c>
      <c r="FH63" s="1" t="s">
        <v>780</v>
      </c>
      <c r="FI63" s="1" t="s">
        <v>780</v>
      </c>
      <c r="FJ63" s="1" t="s">
        <v>780</v>
      </c>
      <c r="HD63" s="1" t="s">
        <v>780</v>
      </c>
      <c r="HE63" s="1" t="s">
        <v>780</v>
      </c>
      <c r="HF63" s="1" t="s">
        <v>780</v>
      </c>
      <c r="HG63" s="1" t="s">
        <v>780</v>
      </c>
      <c r="HH63" s="1" t="s">
        <v>780</v>
      </c>
      <c r="HI63" s="1" t="s">
        <v>780</v>
      </c>
      <c r="HJ63" s="1" t="s">
        <v>780</v>
      </c>
      <c r="HK63" s="1" t="s">
        <v>780</v>
      </c>
      <c r="HL63" s="1" t="s">
        <v>780</v>
      </c>
    </row>
    <row r="64" spans="1:245" ht="58" x14ac:dyDescent="0.35">
      <c r="A64" s="1" t="s">
        <v>778</v>
      </c>
      <c r="B64" s="1" t="s">
        <v>822</v>
      </c>
      <c r="C64" s="1" t="s">
        <v>841</v>
      </c>
      <c r="D64" s="1" t="s">
        <v>780</v>
      </c>
      <c r="E64" s="1" t="s">
        <v>780</v>
      </c>
      <c r="F64" s="1" t="s">
        <v>780</v>
      </c>
      <c r="G64" s="1" t="s">
        <v>780</v>
      </c>
      <c r="H64" s="1" t="s">
        <v>780</v>
      </c>
      <c r="CK64" s="1" t="s">
        <v>780</v>
      </c>
      <c r="CL64" s="1" t="s">
        <v>780</v>
      </c>
      <c r="IF64" s="1" t="s">
        <v>780</v>
      </c>
      <c r="IG64" s="1" t="s">
        <v>780</v>
      </c>
      <c r="IH64" s="1" t="s">
        <v>780</v>
      </c>
      <c r="II64" s="1" t="s">
        <v>780</v>
      </c>
      <c r="IJ64" s="1" t="s">
        <v>780</v>
      </c>
      <c r="IK64" s="1" t="s">
        <v>780</v>
      </c>
    </row>
    <row r="65" spans="1:258" ht="58" x14ac:dyDescent="0.35">
      <c r="A65" s="1" t="s">
        <v>778</v>
      </c>
      <c r="B65" s="1" t="s">
        <v>822</v>
      </c>
      <c r="C65" s="1" t="s">
        <v>842</v>
      </c>
      <c r="D65" s="1" t="s">
        <v>780</v>
      </c>
      <c r="E65" s="1" t="s">
        <v>780</v>
      </c>
      <c r="F65" s="1" t="s">
        <v>780</v>
      </c>
      <c r="G65" s="1" t="s">
        <v>780</v>
      </c>
      <c r="H65" s="1" t="s">
        <v>780</v>
      </c>
      <c r="I65" s="1" t="s">
        <v>780</v>
      </c>
      <c r="J65" s="1" t="s">
        <v>780</v>
      </c>
      <c r="N65" s="1" t="s">
        <v>780</v>
      </c>
      <c r="O65" s="1" t="s">
        <v>780</v>
      </c>
      <c r="P65" s="1" t="s">
        <v>780</v>
      </c>
      <c r="Q65" s="1" t="s">
        <v>780</v>
      </c>
      <c r="AF65" s="1" t="s">
        <v>780</v>
      </c>
      <c r="AH65" s="1" t="s">
        <v>780</v>
      </c>
      <c r="BC65" s="1" t="s">
        <v>780</v>
      </c>
      <c r="BD65" s="1" t="s">
        <v>780</v>
      </c>
      <c r="IL65" s="1" t="s">
        <v>780</v>
      </c>
      <c r="IN65" s="1" t="s">
        <v>780</v>
      </c>
      <c r="IO65" s="1" t="s">
        <v>780</v>
      </c>
      <c r="IP65" s="1" t="s">
        <v>780</v>
      </c>
      <c r="IQ65" s="1" t="s">
        <v>780</v>
      </c>
      <c r="IR65" s="1" t="s">
        <v>780</v>
      </c>
    </row>
    <row r="66" spans="1:258" ht="58" x14ac:dyDescent="0.35">
      <c r="A66" s="1" t="s">
        <v>778</v>
      </c>
      <c r="B66" s="1" t="s">
        <v>822</v>
      </c>
      <c r="C66" s="1" t="s">
        <v>843</v>
      </c>
      <c r="D66" s="1" t="s">
        <v>780</v>
      </c>
      <c r="E66" s="1" t="s">
        <v>780</v>
      </c>
      <c r="F66" s="1" t="s">
        <v>780</v>
      </c>
      <c r="G66" s="1" t="s">
        <v>780</v>
      </c>
      <c r="H66" s="1" t="s">
        <v>780</v>
      </c>
      <c r="I66" s="1" t="s">
        <v>780</v>
      </c>
      <c r="J66" s="1" t="s">
        <v>780</v>
      </c>
      <c r="N66" s="1" t="s">
        <v>780</v>
      </c>
      <c r="O66" s="1" t="s">
        <v>780</v>
      </c>
      <c r="Z66" s="1" t="s">
        <v>780</v>
      </c>
      <c r="AA66" s="1" t="s">
        <v>780</v>
      </c>
      <c r="AX66" s="1" t="s">
        <v>780</v>
      </c>
      <c r="BE66" s="1" t="s">
        <v>780</v>
      </c>
      <c r="BS66" s="1" t="s">
        <v>780</v>
      </c>
      <c r="IS66" s="1" t="s">
        <v>780</v>
      </c>
      <c r="IT66" s="1" t="s">
        <v>780</v>
      </c>
      <c r="IU66" s="1" t="s">
        <v>780</v>
      </c>
    </row>
    <row r="67" spans="1:258" ht="58" x14ac:dyDescent="0.35">
      <c r="A67" s="1" t="s">
        <v>778</v>
      </c>
      <c r="B67" s="1" t="s">
        <v>822</v>
      </c>
      <c r="C67" s="1" t="s">
        <v>844</v>
      </c>
      <c r="D67" s="1" t="s">
        <v>780</v>
      </c>
      <c r="E67" s="1" t="s">
        <v>780</v>
      </c>
      <c r="F67" s="1" t="s">
        <v>780</v>
      </c>
      <c r="G67" s="1" t="s">
        <v>780</v>
      </c>
      <c r="H67" s="1" t="s">
        <v>780</v>
      </c>
      <c r="I67" s="1" t="s">
        <v>780</v>
      </c>
      <c r="J67" s="1" t="s">
        <v>780</v>
      </c>
      <c r="N67" s="1" t="s">
        <v>780</v>
      </c>
      <c r="O67" s="1" t="s">
        <v>780</v>
      </c>
      <c r="Z67" s="1" t="s">
        <v>780</v>
      </c>
      <c r="AA67" s="1" t="s">
        <v>780</v>
      </c>
      <c r="AU67" s="1" t="s">
        <v>780</v>
      </c>
      <c r="AX67" s="1" t="s">
        <v>780</v>
      </c>
      <c r="BS67" s="1" t="s">
        <v>780</v>
      </c>
      <c r="HD67" s="1" t="s">
        <v>780</v>
      </c>
      <c r="HE67" s="1" t="s">
        <v>780</v>
      </c>
      <c r="HF67" s="1" t="s">
        <v>780</v>
      </c>
      <c r="HG67" s="1" t="s">
        <v>780</v>
      </c>
      <c r="HH67" s="1" t="s">
        <v>780</v>
      </c>
      <c r="HI67" s="1" t="s">
        <v>780</v>
      </c>
      <c r="HJ67" s="1" t="s">
        <v>780</v>
      </c>
      <c r="HK67" s="1" t="s">
        <v>780</v>
      </c>
      <c r="HL67" s="1" t="s">
        <v>780</v>
      </c>
      <c r="HM67" s="1" t="s">
        <v>780</v>
      </c>
      <c r="HN67" s="1" t="s">
        <v>780</v>
      </c>
      <c r="HO67" s="1" t="s">
        <v>780</v>
      </c>
      <c r="HP67" s="1" t="s">
        <v>780</v>
      </c>
      <c r="HQ67" s="1" t="s">
        <v>780</v>
      </c>
      <c r="HR67" s="1" t="s">
        <v>780</v>
      </c>
      <c r="HS67" s="1" t="s">
        <v>780</v>
      </c>
      <c r="HT67" s="1" t="s">
        <v>780</v>
      </c>
      <c r="HU67" s="1" t="s">
        <v>780</v>
      </c>
    </row>
    <row r="68" spans="1:258" ht="43.5" x14ac:dyDescent="0.35">
      <c r="A68" s="1" t="s">
        <v>778</v>
      </c>
      <c r="B68" s="1" t="s">
        <v>822</v>
      </c>
      <c r="C68" s="1" t="s">
        <v>845</v>
      </c>
      <c r="D68" s="1" t="s">
        <v>780</v>
      </c>
      <c r="E68" s="1" t="s">
        <v>780</v>
      </c>
      <c r="F68" s="1" t="s">
        <v>780</v>
      </c>
      <c r="G68" s="1" t="s">
        <v>780</v>
      </c>
      <c r="H68" s="1" t="s">
        <v>780</v>
      </c>
      <c r="I68" s="1" t="s">
        <v>780</v>
      </c>
      <c r="J68" s="1" t="s">
        <v>780</v>
      </c>
      <c r="K68" s="1" t="s">
        <v>780</v>
      </c>
      <c r="L68" s="1" t="s">
        <v>780</v>
      </c>
      <c r="M68" s="1" t="s">
        <v>780</v>
      </c>
      <c r="N68" s="1" t="s">
        <v>780</v>
      </c>
      <c r="O68" s="1" t="s">
        <v>780</v>
      </c>
      <c r="P68" s="1" t="s">
        <v>780</v>
      </c>
      <c r="Q68" s="1" t="s">
        <v>780</v>
      </c>
      <c r="AS68" s="1" t="s">
        <v>780</v>
      </c>
      <c r="CZ68" s="1" t="s">
        <v>780</v>
      </c>
      <c r="DB68" s="1" t="s">
        <v>780</v>
      </c>
      <c r="DF68" s="1" t="s">
        <v>780</v>
      </c>
      <c r="DH68" s="1" t="s">
        <v>780</v>
      </c>
      <c r="DQ68" s="1" t="s">
        <v>780</v>
      </c>
      <c r="DW68" s="1" t="s">
        <v>780</v>
      </c>
      <c r="IV68" s="1" t="s">
        <v>780</v>
      </c>
      <c r="IW68" s="1" t="s">
        <v>780</v>
      </c>
    </row>
    <row r="69" spans="1:258" ht="43.5" x14ac:dyDescent="0.35">
      <c r="A69" s="1" t="s">
        <v>778</v>
      </c>
      <c r="B69" s="1" t="s">
        <v>822</v>
      </c>
      <c r="C69" s="1" t="s">
        <v>846</v>
      </c>
      <c r="D69" s="1" t="s">
        <v>780</v>
      </c>
      <c r="E69" s="1" t="s">
        <v>780</v>
      </c>
      <c r="F69" s="1" t="s">
        <v>780</v>
      </c>
      <c r="G69" s="1" t="s">
        <v>780</v>
      </c>
      <c r="H69" s="1" t="s">
        <v>780</v>
      </c>
      <c r="HD69" s="1" t="s">
        <v>780</v>
      </c>
      <c r="HE69" s="1" t="s">
        <v>780</v>
      </c>
      <c r="HF69" s="1" t="s">
        <v>780</v>
      </c>
      <c r="HG69" s="1" t="s">
        <v>780</v>
      </c>
      <c r="HH69" s="1" t="s">
        <v>780</v>
      </c>
      <c r="HI69" s="1" t="s">
        <v>780</v>
      </c>
      <c r="HJ69" s="1" t="s">
        <v>780</v>
      </c>
      <c r="HK69" s="1" t="s">
        <v>780</v>
      </c>
      <c r="HL69" s="1" t="s">
        <v>780</v>
      </c>
    </row>
    <row r="70" spans="1:258" ht="43.5" x14ac:dyDescent="0.35">
      <c r="A70" s="1" t="s">
        <v>778</v>
      </c>
      <c r="B70" s="1" t="s">
        <v>822</v>
      </c>
      <c r="C70" s="1" t="s">
        <v>847</v>
      </c>
      <c r="D70" s="1" t="s">
        <v>780</v>
      </c>
      <c r="E70" s="1" t="s">
        <v>780</v>
      </c>
      <c r="F70" s="1" t="s">
        <v>780</v>
      </c>
      <c r="G70" s="1" t="s">
        <v>780</v>
      </c>
      <c r="H70" s="1" t="s">
        <v>780</v>
      </c>
      <c r="AJ70" s="1" t="s">
        <v>780</v>
      </c>
      <c r="DQ70" s="1" t="s">
        <v>780</v>
      </c>
      <c r="FG70" s="1" t="s">
        <v>780</v>
      </c>
      <c r="IX70" s="1" t="s">
        <v>780</v>
      </c>
    </row>
    <row r="71" spans="1:258" ht="43.5" x14ac:dyDescent="0.35">
      <c r="A71" s="1" t="s">
        <v>778</v>
      </c>
      <c r="B71" s="1" t="s">
        <v>822</v>
      </c>
      <c r="C71" s="1" t="s">
        <v>848</v>
      </c>
      <c r="D71" s="1" t="s">
        <v>780</v>
      </c>
      <c r="E71" s="1" t="s">
        <v>780</v>
      </c>
      <c r="F71" s="1" t="s">
        <v>780</v>
      </c>
      <c r="G71" s="1" t="s">
        <v>780</v>
      </c>
      <c r="H71" s="1" t="s">
        <v>780</v>
      </c>
      <c r="I71" s="1" t="s">
        <v>780</v>
      </c>
      <c r="AJ71" s="1" t="s">
        <v>780</v>
      </c>
      <c r="DF71" s="1" t="s">
        <v>780</v>
      </c>
      <c r="DL71" s="1" t="s">
        <v>780</v>
      </c>
      <c r="DQ71" s="1" t="s">
        <v>780</v>
      </c>
      <c r="EC71" s="1" t="s">
        <v>780</v>
      </c>
      <c r="FG71" s="1" t="s">
        <v>780</v>
      </c>
      <c r="FJ71" s="1" t="s">
        <v>780</v>
      </c>
    </row>
    <row r="72" spans="1:258" ht="58" x14ac:dyDescent="0.35">
      <c r="A72" s="1" t="s">
        <v>778</v>
      </c>
      <c r="B72" s="1" t="s">
        <v>822</v>
      </c>
      <c r="C72" s="1" t="s">
        <v>849</v>
      </c>
      <c r="D72" s="1" t="s">
        <v>780</v>
      </c>
      <c r="E72" s="1" t="s">
        <v>780</v>
      </c>
      <c r="F72" s="1" t="s">
        <v>780</v>
      </c>
      <c r="G72" s="1" t="s">
        <v>780</v>
      </c>
      <c r="H72" s="1" t="s">
        <v>780</v>
      </c>
      <c r="AD72" s="1" t="s">
        <v>780</v>
      </c>
      <c r="AN72" s="1" t="s">
        <v>780</v>
      </c>
      <c r="ES72" s="1" t="s">
        <v>780</v>
      </c>
      <c r="ET72" s="1" t="s">
        <v>780</v>
      </c>
      <c r="FA72" s="1" t="s">
        <v>780</v>
      </c>
      <c r="FE72" s="1" t="s">
        <v>780</v>
      </c>
    </row>
    <row r="73" spans="1:258" ht="87" x14ac:dyDescent="0.35">
      <c r="A73" s="1" t="s">
        <v>778</v>
      </c>
      <c r="B73" s="1" t="s">
        <v>822</v>
      </c>
      <c r="C73" s="1" t="s">
        <v>850</v>
      </c>
      <c r="D73" s="1" t="s">
        <v>780</v>
      </c>
      <c r="E73" s="1" t="s">
        <v>780</v>
      </c>
      <c r="F73" s="1" t="s">
        <v>780</v>
      </c>
      <c r="G73" s="1" t="s">
        <v>780</v>
      </c>
      <c r="H73" s="1" t="s">
        <v>780</v>
      </c>
      <c r="AQ73" s="1" t="s">
        <v>780</v>
      </c>
      <c r="AU73" s="1" t="s">
        <v>780</v>
      </c>
      <c r="BJ73" s="1" t="s">
        <v>780</v>
      </c>
      <c r="BK73" s="1" t="s">
        <v>780</v>
      </c>
      <c r="BR73" s="1" t="s">
        <v>780</v>
      </c>
      <c r="FJ73" s="1" t="s">
        <v>780</v>
      </c>
      <c r="HD73" s="1" t="s">
        <v>780</v>
      </c>
      <c r="HE73" s="1" t="s">
        <v>780</v>
      </c>
      <c r="HF73" s="1" t="s">
        <v>780</v>
      </c>
      <c r="HG73" s="1" t="s">
        <v>780</v>
      </c>
      <c r="HH73" s="1" t="s">
        <v>780</v>
      </c>
      <c r="HI73" s="1" t="s">
        <v>780</v>
      </c>
      <c r="HJ73" s="1" t="s">
        <v>780</v>
      </c>
      <c r="HK73" s="1" t="s">
        <v>780</v>
      </c>
      <c r="HL73" s="1" t="s">
        <v>780</v>
      </c>
      <c r="HM73" s="1" t="s">
        <v>780</v>
      </c>
      <c r="HN73" s="1" t="s">
        <v>780</v>
      </c>
      <c r="HO73" s="1" t="s">
        <v>780</v>
      </c>
      <c r="HP73" s="1" t="s">
        <v>780</v>
      </c>
      <c r="HQ73" s="1" t="s">
        <v>780</v>
      </c>
      <c r="HR73" s="1" t="s">
        <v>780</v>
      </c>
      <c r="HS73" s="1" t="s">
        <v>780</v>
      </c>
      <c r="HT73" s="1" t="s">
        <v>780</v>
      </c>
      <c r="HU73" s="1" t="s">
        <v>780</v>
      </c>
    </row>
    <row r="74" spans="1:258" ht="58" x14ac:dyDescent="0.35">
      <c r="A74" s="1" t="s">
        <v>778</v>
      </c>
      <c r="B74" s="1" t="s">
        <v>822</v>
      </c>
      <c r="C74" s="1" t="s">
        <v>851</v>
      </c>
      <c r="D74" s="1" t="s">
        <v>780</v>
      </c>
      <c r="E74" s="1" t="s">
        <v>780</v>
      </c>
      <c r="F74" s="1" t="s">
        <v>780</v>
      </c>
      <c r="G74" s="1" t="s">
        <v>780</v>
      </c>
      <c r="H74" s="1" t="s">
        <v>780</v>
      </c>
      <c r="AU74" s="1" t="s">
        <v>780</v>
      </c>
      <c r="AX74" s="1" t="s">
        <v>780</v>
      </c>
      <c r="BJ74" s="1" t="s">
        <v>780</v>
      </c>
      <c r="BR74" s="1" t="s">
        <v>780</v>
      </c>
      <c r="BS74" s="1" t="s">
        <v>780</v>
      </c>
      <c r="BT74" s="1" t="s">
        <v>780</v>
      </c>
      <c r="FJ74" s="1" t="s">
        <v>780</v>
      </c>
      <c r="HD74" s="1" t="s">
        <v>780</v>
      </c>
      <c r="HE74" s="1" t="s">
        <v>780</v>
      </c>
      <c r="HF74" s="1" t="s">
        <v>780</v>
      </c>
      <c r="HG74" s="1" t="s">
        <v>780</v>
      </c>
      <c r="HH74" s="1" t="s">
        <v>780</v>
      </c>
      <c r="HI74" s="1" t="s">
        <v>780</v>
      </c>
      <c r="HJ74" s="1" t="s">
        <v>780</v>
      </c>
      <c r="HK74" s="1" t="s">
        <v>780</v>
      </c>
      <c r="HL74" s="1" t="s">
        <v>780</v>
      </c>
      <c r="HM74" s="1" t="s">
        <v>780</v>
      </c>
      <c r="HN74" s="1" t="s">
        <v>780</v>
      </c>
      <c r="HO74" s="1" t="s">
        <v>780</v>
      </c>
      <c r="HP74" s="1" t="s">
        <v>780</v>
      </c>
      <c r="HQ74" s="1" t="s">
        <v>780</v>
      </c>
      <c r="HR74" s="1" t="s">
        <v>780</v>
      </c>
      <c r="HS74" s="1" t="s">
        <v>780</v>
      </c>
      <c r="HT74" s="1" t="s">
        <v>780</v>
      </c>
      <c r="HU74" s="1" t="s">
        <v>780</v>
      </c>
    </row>
    <row r="75" spans="1:258" ht="58" x14ac:dyDescent="0.35">
      <c r="A75" s="1" t="s">
        <v>778</v>
      </c>
      <c r="B75" s="1" t="s">
        <v>822</v>
      </c>
      <c r="C75" s="1" t="s">
        <v>852</v>
      </c>
      <c r="D75" s="1" t="s">
        <v>780</v>
      </c>
      <c r="E75" s="1" t="s">
        <v>780</v>
      </c>
      <c r="F75" s="1" t="s">
        <v>780</v>
      </c>
      <c r="G75" s="1" t="s">
        <v>780</v>
      </c>
      <c r="H75" s="1" t="s">
        <v>780</v>
      </c>
      <c r="AD75" s="1" t="s">
        <v>780</v>
      </c>
      <c r="AN75" s="1" t="s">
        <v>780</v>
      </c>
      <c r="ES75" s="1" t="s">
        <v>780</v>
      </c>
      <c r="ET75" s="1" t="s">
        <v>780</v>
      </c>
      <c r="FA75" s="1" t="s">
        <v>780</v>
      </c>
      <c r="FE75" s="1" t="s">
        <v>780</v>
      </c>
    </row>
    <row r="76" spans="1:258" ht="43.5" x14ac:dyDescent="0.35">
      <c r="A76" s="1" t="s">
        <v>778</v>
      </c>
      <c r="B76" s="1" t="s">
        <v>822</v>
      </c>
      <c r="C76" s="1" t="s">
        <v>853</v>
      </c>
      <c r="D76" s="1" t="s">
        <v>780</v>
      </c>
      <c r="E76" s="1" t="s">
        <v>780</v>
      </c>
      <c r="F76" s="1" t="s">
        <v>780</v>
      </c>
      <c r="G76" s="1" t="s">
        <v>780</v>
      </c>
      <c r="H76" s="1" t="s">
        <v>780</v>
      </c>
      <c r="AJ76" s="1" t="s">
        <v>780</v>
      </c>
      <c r="BE76" s="1" t="s">
        <v>780</v>
      </c>
      <c r="FH76" s="1" t="s">
        <v>780</v>
      </c>
      <c r="FI76" s="1" t="s">
        <v>780</v>
      </c>
      <c r="GJ76" s="1" t="s">
        <v>780</v>
      </c>
    </row>
    <row r="77" spans="1:258" ht="72.5" x14ac:dyDescent="0.35">
      <c r="A77" s="1" t="s">
        <v>778</v>
      </c>
      <c r="B77" s="1" t="s">
        <v>822</v>
      </c>
      <c r="C77" s="1" t="s">
        <v>854</v>
      </c>
      <c r="D77" s="1" t="s">
        <v>780</v>
      </c>
      <c r="E77" s="1" t="s">
        <v>780</v>
      </c>
      <c r="F77" s="1" t="s">
        <v>780</v>
      </c>
      <c r="G77" s="1" t="s">
        <v>780</v>
      </c>
      <c r="H77" s="1" t="s">
        <v>780</v>
      </c>
      <c r="FH77" s="1" t="s">
        <v>780</v>
      </c>
      <c r="FI77" s="1" t="s">
        <v>780</v>
      </c>
      <c r="HD77" s="1" t="s">
        <v>780</v>
      </c>
      <c r="HE77" s="1" t="s">
        <v>780</v>
      </c>
      <c r="HF77" s="1" t="s">
        <v>780</v>
      </c>
      <c r="HG77" s="1" t="s">
        <v>780</v>
      </c>
      <c r="HH77" s="1" t="s">
        <v>780</v>
      </c>
      <c r="HI77" s="1" t="s">
        <v>780</v>
      </c>
      <c r="HJ77" s="1" t="s">
        <v>780</v>
      </c>
      <c r="HK77" s="1" t="s">
        <v>780</v>
      </c>
      <c r="HL77" s="1" t="s">
        <v>780</v>
      </c>
      <c r="HM77" s="1" t="s">
        <v>780</v>
      </c>
      <c r="HN77" s="1" t="s">
        <v>780</v>
      </c>
      <c r="HO77" s="1" t="s">
        <v>780</v>
      </c>
      <c r="HP77" s="1" t="s">
        <v>780</v>
      </c>
      <c r="HQ77" s="1" t="s">
        <v>780</v>
      </c>
      <c r="HR77" s="1" t="s">
        <v>780</v>
      </c>
      <c r="HS77" s="1" t="s">
        <v>780</v>
      </c>
      <c r="HT77" s="1" t="s">
        <v>780</v>
      </c>
      <c r="HU77" s="1" t="s">
        <v>780</v>
      </c>
    </row>
    <row r="78" spans="1:258" ht="58" x14ac:dyDescent="0.35">
      <c r="A78" s="1" t="s">
        <v>778</v>
      </c>
      <c r="B78" s="1" t="s">
        <v>822</v>
      </c>
      <c r="C78" s="1" t="s">
        <v>855</v>
      </c>
      <c r="D78" s="1" t="s">
        <v>780</v>
      </c>
      <c r="E78" s="1" t="s">
        <v>780</v>
      </c>
      <c r="F78" s="1" t="s">
        <v>780</v>
      </c>
      <c r="G78" s="1" t="s">
        <v>780</v>
      </c>
      <c r="H78" s="1" t="s">
        <v>780</v>
      </c>
      <c r="AU78" s="1" t="s">
        <v>780</v>
      </c>
      <c r="AY78" s="1" t="s">
        <v>780</v>
      </c>
      <c r="BE78" s="1" t="s">
        <v>780</v>
      </c>
      <c r="BF78" s="1" t="s">
        <v>780</v>
      </c>
      <c r="GJ78" s="1" t="s">
        <v>780</v>
      </c>
      <c r="IS78" s="1" t="s">
        <v>780</v>
      </c>
    </row>
    <row r="79" spans="1:258" ht="72.5" x14ac:dyDescent="0.35">
      <c r="A79" s="1" t="s">
        <v>778</v>
      </c>
      <c r="B79" s="1" t="s">
        <v>822</v>
      </c>
      <c r="C79" s="1" t="s">
        <v>856</v>
      </c>
      <c r="D79" s="1" t="s">
        <v>780</v>
      </c>
      <c r="E79" s="1" t="s">
        <v>780</v>
      </c>
      <c r="F79" s="1" t="s">
        <v>780</v>
      </c>
      <c r="G79" s="1" t="s">
        <v>780</v>
      </c>
      <c r="H79" s="1" t="s">
        <v>780</v>
      </c>
      <c r="BE79" s="1" t="s">
        <v>780</v>
      </c>
      <c r="DG79" s="1" t="s">
        <v>780</v>
      </c>
      <c r="DM79" s="1" t="s">
        <v>780</v>
      </c>
      <c r="EE79" s="1" t="s">
        <v>780</v>
      </c>
      <c r="EF79" s="1" t="s">
        <v>780</v>
      </c>
    </row>
    <row r="80" spans="1:258" ht="87" x14ac:dyDescent="0.35">
      <c r="A80" s="1" t="s">
        <v>778</v>
      </c>
      <c r="B80" s="1" t="s">
        <v>822</v>
      </c>
      <c r="C80" s="1" t="s">
        <v>857</v>
      </c>
      <c r="D80" s="1" t="s">
        <v>780</v>
      </c>
      <c r="E80" s="1" t="s">
        <v>780</v>
      </c>
      <c r="F80" s="1" t="s">
        <v>780</v>
      </c>
      <c r="G80" s="1" t="s">
        <v>780</v>
      </c>
      <c r="H80" s="1" t="s">
        <v>780</v>
      </c>
      <c r="EJ80" s="1" t="s">
        <v>780</v>
      </c>
      <c r="EK80" s="1" t="s">
        <v>780</v>
      </c>
      <c r="EL80" s="1" t="s">
        <v>780</v>
      </c>
      <c r="EM80" s="1" t="s">
        <v>780</v>
      </c>
      <c r="GJ80" s="1" t="s">
        <v>780</v>
      </c>
      <c r="GK80" s="1" t="s">
        <v>780</v>
      </c>
      <c r="GL80" s="1" t="s">
        <v>780</v>
      </c>
      <c r="GM80" s="1" t="s">
        <v>780</v>
      </c>
      <c r="GN80" s="1" t="s">
        <v>780</v>
      </c>
      <c r="GO80" s="1" t="s">
        <v>780</v>
      </c>
      <c r="GP80" s="1" t="s">
        <v>780</v>
      </c>
    </row>
    <row r="81" spans="1:481" ht="43.5" x14ac:dyDescent="0.35">
      <c r="A81" s="1" t="s">
        <v>778</v>
      </c>
      <c r="B81" s="1" t="s">
        <v>822</v>
      </c>
      <c r="C81" s="1" t="s">
        <v>858</v>
      </c>
      <c r="D81" s="1" t="s">
        <v>780</v>
      </c>
      <c r="E81" s="1" t="s">
        <v>780</v>
      </c>
      <c r="F81" s="1" t="s">
        <v>780</v>
      </c>
      <c r="G81" s="1" t="s">
        <v>780</v>
      </c>
      <c r="H81" s="1" t="s">
        <v>780</v>
      </c>
      <c r="FB81" s="1" t="s">
        <v>780</v>
      </c>
      <c r="FC81" s="1" t="s">
        <v>780</v>
      </c>
      <c r="FD81" s="1" t="s">
        <v>780</v>
      </c>
    </row>
    <row r="82" spans="1:481" ht="58" x14ac:dyDescent="0.35">
      <c r="A82" s="1" t="s">
        <v>778</v>
      </c>
      <c r="B82" s="1" t="s">
        <v>49</v>
      </c>
      <c r="C82" s="1" t="s">
        <v>859</v>
      </c>
      <c r="D82" s="1" t="s">
        <v>780</v>
      </c>
      <c r="E82" s="1" t="s">
        <v>780</v>
      </c>
      <c r="F82" s="1" t="s">
        <v>780</v>
      </c>
      <c r="G82" s="1" t="s">
        <v>780</v>
      </c>
      <c r="H82" s="1" t="s">
        <v>780</v>
      </c>
      <c r="FJ82" s="1" t="s">
        <v>780</v>
      </c>
      <c r="RF82" s="1" t="s">
        <v>780</v>
      </c>
      <c r="RJ82" s="1" t="s">
        <v>780</v>
      </c>
      <c r="RK82" s="1" t="s">
        <v>780</v>
      </c>
      <c r="RL82" s="1" t="s">
        <v>780</v>
      </c>
      <c r="RM82" s="1" t="s">
        <v>780</v>
      </c>
    </row>
    <row r="83" spans="1:481" ht="43.5" x14ac:dyDescent="0.35">
      <c r="A83" s="1" t="s">
        <v>778</v>
      </c>
      <c r="B83" s="1" t="s">
        <v>49</v>
      </c>
      <c r="C83" s="1" t="s">
        <v>860</v>
      </c>
      <c r="D83" s="1" t="s">
        <v>780</v>
      </c>
      <c r="E83" s="1" t="s">
        <v>780</v>
      </c>
      <c r="F83" s="1" t="s">
        <v>780</v>
      </c>
      <c r="G83" s="1" t="s">
        <v>780</v>
      </c>
      <c r="H83" s="1" t="s">
        <v>780</v>
      </c>
      <c r="AJ83" s="1" t="s">
        <v>780</v>
      </c>
      <c r="BB83" s="1" t="s">
        <v>780</v>
      </c>
      <c r="CB83" s="1">
        <v>1</v>
      </c>
      <c r="FJ83" s="1" t="s">
        <v>780</v>
      </c>
      <c r="RH83" s="1" t="s">
        <v>780</v>
      </c>
      <c r="RI83" s="1" t="s">
        <v>780</v>
      </c>
    </row>
    <row r="84" spans="1:481" ht="116" x14ac:dyDescent="0.35">
      <c r="A84" s="1" t="s">
        <v>861</v>
      </c>
      <c r="B84" s="1" t="s">
        <v>862</v>
      </c>
      <c r="C84" s="1" t="s">
        <v>863</v>
      </c>
      <c r="D84" s="1" t="s">
        <v>780</v>
      </c>
      <c r="E84" s="1" t="s">
        <v>780</v>
      </c>
      <c r="F84" s="1" t="s">
        <v>780</v>
      </c>
      <c r="G84" s="1" t="s">
        <v>780</v>
      </c>
      <c r="H84" s="1" t="s">
        <v>780</v>
      </c>
      <c r="I84" s="1" t="s">
        <v>780</v>
      </c>
      <c r="J84" s="1" t="s">
        <v>780</v>
      </c>
      <c r="K84" s="1" t="s">
        <v>780</v>
      </c>
      <c r="L84" s="1" t="s">
        <v>780</v>
      </c>
      <c r="M84" s="1" t="s">
        <v>780</v>
      </c>
      <c r="AD84" s="1" t="s">
        <v>780</v>
      </c>
      <c r="AF84" s="1" t="s">
        <v>780</v>
      </c>
      <c r="AR84" s="1" t="s">
        <v>780</v>
      </c>
      <c r="AX84" s="1" t="s">
        <v>780</v>
      </c>
      <c r="JB84" s="1" t="s">
        <v>780</v>
      </c>
    </row>
    <row r="85" spans="1:481" ht="116" x14ac:dyDescent="0.35">
      <c r="A85" s="1" t="s">
        <v>861</v>
      </c>
      <c r="B85" s="1" t="s">
        <v>862</v>
      </c>
      <c r="C85" s="1" t="s">
        <v>864</v>
      </c>
      <c r="D85" s="1" t="s">
        <v>780</v>
      </c>
      <c r="E85" s="1" t="s">
        <v>780</v>
      </c>
      <c r="F85" s="1" t="s">
        <v>780</v>
      </c>
      <c r="G85" s="1" t="s">
        <v>780</v>
      </c>
      <c r="H85" s="1" t="s">
        <v>780</v>
      </c>
      <c r="I85" s="1" t="s">
        <v>780</v>
      </c>
      <c r="J85" s="1" t="s">
        <v>780</v>
      </c>
      <c r="K85" s="1" t="s">
        <v>780</v>
      </c>
      <c r="L85" s="1" t="s">
        <v>780</v>
      </c>
      <c r="AF85" s="1" t="s">
        <v>780</v>
      </c>
      <c r="AR85" s="1" t="s">
        <v>780</v>
      </c>
      <c r="AX85" s="1" t="s">
        <v>780</v>
      </c>
      <c r="DR85" s="1" t="s">
        <v>780</v>
      </c>
      <c r="DS85" s="1" t="s">
        <v>780</v>
      </c>
      <c r="DT85" s="1" t="s">
        <v>780</v>
      </c>
      <c r="DZ85" s="1" t="s">
        <v>780</v>
      </c>
      <c r="ED85" s="1" t="s">
        <v>780</v>
      </c>
      <c r="IY85" s="1" t="s">
        <v>780</v>
      </c>
      <c r="JB85" s="1" t="s">
        <v>780</v>
      </c>
      <c r="JD85" s="1" t="s">
        <v>780</v>
      </c>
      <c r="JE85" s="1" t="s">
        <v>780</v>
      </c>
      <c r="JF85" s="1" t="s">
        <v>780</v>
      </c>
      <c r="JG85" s="1" t="s">
        <v>780</v>
      </c>
      <c r="JH85" s="1" t="s">
        <v>780</v>
      </c>
      <c r="JJ85" s="1" t="s">
        <v>780</v>
      </c>
      <c r="JK85" s="1" t="s">
        <v>780</v>
      </c>
      <c r="JL85" s="1" t="s">
        <v>780</v>
      </c>
    </row>
    <row r="86" spans="1:481" ht="116" x14ac:dyDescent="0.35">
      <c r="A86" s="1" t="s">
        <v>861</v>
      </c>
      <c r="B86" s="1" t="s">
        <v>862</v>
      </c>
      <c r="C86" s="1" t="s">
        <v>865</v>
      </c>
      <c r="D86" s="1" t="s">
        <v>780</v>
      </c>
      <c r="E86" s="1" t="s">
        <v>780</v>
      </c>
      <c r="F86" s="1" t="s">
        <v>780</v>
      </c>
      <c r="G86" s="1" t="s">
        <v>780</v>
      </c>
      <c r="H86" s="1" t="s">
        <v>780</v>
      </c>
      <c r="I86" s="1" t="s">
        <v>780</v>
      </c>
      <c r="J86" s="1" t="s">
        <v>780</v>
      </c>
      <c r="K86" s="1" t="s">
        <v>780</v>
      </c>
      <c r="L86" s="1" t="s">
        <v>780</v>
      </c>
      <c r="M86" s="1" t="s">
        <v>780</v>
      </c>
      <c r="EB86" s="1" t="s">
        <v>780</v>
      </c>
    </row>
    <row r="87" spans="1:481" ht="116" x14ac:dyDescent="0.35">
      <c r="A87" s="1" t="s">
        <v>861</v>
      </c>
      <c r="B87" s="1" t="s">
        <v>862</v>
      </c>
      <c r="C87" s="1" t="s">
        <v>866</v>
      </c>
      <c r="D87" s="1" t="s">
        <v>780</v>
      </c>
      <c r="E87" s="1" t="s">
        <v>780</v>
      </c>
      <c r="F87" s="1" t="s">
        <v>780</v>
      </c>
      <c r="G87" s="1" t="s">
        <v>780</v>
      </c>
      <c r="H87" s="1" t="s">
        <v>780</v>
      </c>
      <c r="I87" s="1" t="s">
        <v>780</v>
      </c>
      <c r="J87" s="1" t="s">
        <v>780</v>
      </c>
      <c r="K87" s="1" t="s">
        <v>780</v>
      </c>
      <c r="L87" s="1" t="s">
        <v>780</v>
      </c>
      <c r="M87" s="1" t="s">
        <v>780</v>
      </c>
      <c r="AR87" s="1" t="s">
        <v>780</v>
      </c>
    </row>
    <row r="88" spans="1:481" ht="206.5" customHeight="1" x14ac:dyDescent="0.35">
      <c r="A88" s="1" t="s">
        <v>861</v>
      </c>
      <c r="B88" s="1" t="s">
        <v>867</v>
      </c>
      <c r="C88" s="1" t="s">
        <v>868</v>
      </c>
      <c r="D88" s="1" t="s">
        <v>780</v>
      </c>
      <c r="E88" s="1" t="s">
        <v>780</v>
      </c>
      <c r="F88" s="1" t="s">
        <v>780</v>
      </c>
      <c r="G88" s="1" t="s">
        <v>780</v>
      </c>
      <c r="H88" s="1" t="s">
        <v>780</v>
      </c>
      <c r="AR88" s="1" t="s">
        <v>780</v>
      </c>
      <c r="AX88" s="1" t="s">
        <v>780</v>
      </c>
      <c r="DS88" s="1" t="s">
        <v>780</v>
      </c>
      <c r="DT88" s="1" t="s">
        <v>780</v>
      </c>
      <c r="JI88" s="1" t="s">
        <v>780</v>
      </c>
      <c r="JO88" s="1" t="s">
        <v>780</v>
      </c>
      <c r="JP88" s="1" t="s">
        <v>780</v>
      </c>
      <c r="JQ88" s="1" t="s">
        <v>780</v>
      </c>
    </row>
    <row r="89" spans="1:481" ht="101.5" x14ac:dyDescent="0.35">
      <c r="A89" s="1" t="s">
        <v>861</v>
      </c>
      <c r="B89" s="1" t="s">
        <v>867</v>
      </c>
      <c r="C89" s="1" t="s">
        <v>869</v>
      </c>
      <c r="D89" s="1" t="s">
        <v>780</v>
      </c>
      <c r="E89" s="1" t="s">
        <v>780</v>
      </c>
      <c r="F89" s="1" t="s">
        <v>780</v>
      </c>
      <c r="G89" s="1" t="s">
        <v>780</v>
      </c>
      <c r="H89" s="1" t="s">
        <v>780</v>
      </c>
      <c r="AR89" s="1" t="s">
        <v>780</v>
      </c>
      <c r="AX89" s="1" t="s">
        <v>780</v>
      </c>
      <c r="DS89" s="1" t="s">
        <v>780</v>
      </c>
      <c r="DT89" s="1" t="s">
        <v>780</v>
      </c>
      <c r="GQ89" s="1" t="s">
        <v>780</v>
      </c>
      <c r="GR89" s="1" t="s">
        <v>780</v>
      </c>
      <c r="JM89" s="1" t="s">
        <v>780</v>
      </c>
      <c r="JN89" s="1" t="s">
        <v>780</v>
      </c>
      <c r="JR89" s="1" t="s">
        <v>780</v>
      </c>
    </row>
    <row r="90" spans="1:481" ht="101.5" x14ac:dyDescent="0.35">
      <c r="A90" s="1" t="s">
        <v>861</v>
      </c>
      <c r="B90" s="1" t="s">
        <v>77</v>
      </c>
      <c r="C90" s="1" t="s">
        <v>870</v>
      </c>
      <c r="D90" s="1" t="s">
        <v>780</v>
      </c>
      <c r="E90" s="1" t="s">
        <v>780</v>
      </c>
      <c r="F90" s="1" t="s">
        <v>780</v>
      </c>
      <c r="G90" s="1" t="s">
        <v>780</v>
      </c>
      <c r="H90" s="1" t="s">
        <v>780</v>
      </c>
      <c r="I90" s="1" t="s">
        <v>780</v>
      </c>
      <c r="J90" s="1" t="s">
        <v>780</v>
      </c>
      <c r="AP90" s="1" t="s">
        <v>780</v>
      </c>
      <c r="AR90" s="1" t="s">
        <v>780</v>
      </c>
      <c r="AX90" s="1" t="s">
        <v>780</v>
      </c>
      <c r="JG90" s="1" t="s">
        <v>780</v>
      </c>
      <c r="JS90" s="1" t="s">
        <v>780</v>
      </c>
      <c r="JT90" s="1" t="s">
        <v>780</v>
      </c>
      <c r="JU90" s="1" t="s">
        <v>780</v>
      </c>
      <c r="JV90" s="1" t="s">
        <v>780</v>
      </c>
      <c r="JW90" s="1" t="s">
        <v>780</v>
      </c>
      <c r="JX90" s="1" t="s">
        <v>780</v>
      </c>
      <c r="JY90" s="1" t="s">
        <v>780</v>
      </c>
      <c r="JZ90" s="1" t="s">
        <v>780</v>
      </c>
      <c r="KA90" s="1" t="s">
        <v>780</v>
      </c>
      <c r="KB90" s="1" t="s">
        <v>780</v>
      </c>
      <c r="KC90" s="1" t="s">
        <v>780</v>
      </c>
      <c r="KD90" s="1" t="s">
        <v>780</v>
      </c>
      <c r="KE90" s="1" t="s">
        <v>780</v>
      </c>
      <c r="KF90" s="1" t="s">
        <v>780</v>
      </c>
      <c r="KG90" s="1" t="s">
        <v>780</v>
      </c>
      <c r="KH90" s="1" t="s">
        <v>780</v>
      </c>
      <c r="KI90" s="1" t="s">
        <v>780</v>
      </c>
      <c r="KJ90" s="1" t="s">
        <v>780</v>
      </c>
      <c r="KK90" s="1" t="s">
        <v>780</v>
      </c>
      <c r="KL90" s="1" t="s">
        <v>780</v>
      </c>
      <c r="KM90" s="1" t="s">
        <v>780</v>
      </c>
      <c r="KN90" s="1" t="s">
        <v>780</v>
      </c>
      <c r="KO90" s="1" t="s">
        <v>780</v>
      </c>
      <c r="KP90" s="1" t="s">
        <v>780</v>
      </c>
      <c r="KQ90" s="1" t="s">
        <v>780</v>
      </c>
      <c r="KR90" s="1" t="s">
        <v>780</v>
      </c>
      <c r="KS90" s="1" t="s">
        <v>780</v>
      </c>
      <c r="KT90" s="1" t="s">
        <v>780</v>
      </c>
      <c r="KU90" s="1" t="s">
        <v>780</v>
      </c>
      <c r="KV90" s="1" t="s">
        <v>780</v>
      </c>
      <c r="KW90" s="1" t="s">
        <v>780</v>
      </c>
      <c r="KX90" s="1" t="s">
        <v>780</v>
      </c>
      <c r="KY90" s="1" t="s">
        <v>780</v>
      </c>
      <c r="KZ90" s="1" t="s">
        <v>780</v>
      </c>
      <c r="LA90" s="1" t="s">
        <v>780</v>
      </c>
      <c r="LB90" s="1" t="s">
        <v>780</v>
      </c>
      <c r="LC90" s="1" t="s">
        <v>780</v>
      </c>
      <c r="LD90" s="1" t="s">
        <v>780</v>
      </c>
      <c r="LE90" s="1" t="s">
        <v>780</v>
      </c>
      <c r="LF90" s="1" t="s">
        <v>780</v>
      </c>
      <c r="LG90" s="1" t="s">
        <v>780</v>
      </c>
      <c r="LH90" s="1" t="s">
        <v>780</v>
      </c>
      <c r="LI90" s="1" t="s">
        <v>780</v>
      </c>
      <c r="LJ90" s="1" t="s">
        <v>780</v>
      </c>
      <c r="LK90" s="1" t="s">
        <v>780</v>
      </c>
      <c r="LL90" s="1" t="s">
        <v>780</v>
      </c>
      <c r="LM90" s="1" t="s">
        <v>780</v>
      </c>
      <c r="LN90" s="1" t="s">
        <v>780</v>
      </c>
      <c r="LO90" s="1" t="s">
        <v>780</v>
      </c>
      <c r="LP90" s="1" t="s">
        <v>780</v>
      </c>
      <c r="LQ90" s="1" t="s">
        <v>780</v>
      </c>
      <c r="LR90" s="1" t="s">
        <v>780</v>
      </c>
      <c r="LS90" s="1" t="s">
        <v>780</v>
      </c>
      <c r="LT90" s="1" t="s">
        <v>780</v>
      </c>
      <c r="LU90" s="1" t="s">
        <v>780</v>
      </c>
      <c r="LV90" s="1" t="s">
        <v>780</v>
      </c>
      <c r="LW90" s="1" t="s">
        <v>780</v>
      </c>
      <c r="LX90" s="1" t="s">
        <v>780</v>
      </c>
      <c r="LY90" s="1" t="s">
        <v>780</v>
      </c>
      <c r="LZ90" s="1" t="s">
        <v>780</v>
      </c>
      <c r="MA90" s="1" t="s">
        <v>780</v>
      </c>
      <c r="MB90" s="1" t="s">
        <v>780</v>
      </c>
      <c r="MC90" s="1" t="s">
        <v>780</v>
      </c>
      <c r="MD90" s="1" t="s">
        <v>780</v>
      </c>
      <c r="ME90" s="1" t="s">
        <v>780</v>
      </c>
      <c r="MF90" s="1" t="s">
        <v>780</v>
      </c>
      <c r="MG90" s="1" t="s">
        <v>780</v>
      </c>
      <c r="MH90" s="1" t="s">
        <v>780</v>
      </c>
      <c r="MI90" s="1" t="s">
        <v>780</v>
      </c>
      <c r="MJ90" s="1" t="s">
        <v>780</v>
      </c>
      <c r="MK90" s="1" t="s">
        <v>780</v>
      </c>
      <c r="ML90" s="1" t="s">
        <v>780</v>
      </c>
      <c r="MM90" s="1" t="s">
        <v>780</v>
      </c>
      <c r="MN90" s="1" t="s">
        <v>780</v>
      </c>
      <c r="MO90" s="1" t="s">
        <v>780</v>
      </c>
      <c r="MP90" s="1" t="s">
        <v>780</v>
      </c>
      <c r="MQ90" s="1" t="s">
        <v>780</v>
      </c>
      <c r="MR90" s="1" t="s">
        <v>780</v>
      </c>
      <c r="MS90" s="1" t="s">
        <v>780</v>
      </c>
      <c r="MT90" s="1" t="s">
        <v>780</v>
      </c>
      <c r="MU90" s="1" t="s">
        <v>780</v>
      </c>
    </row>
    <row r="91" spans="1:481" ht="29" x14ac:dyDescent="0.35">
      <c r="A91" s="1" t="s">
        <v>861</v>
      </c>
      <c r="B91" s="1" t="s">
        <v>77</v>
      </c>
      <c r="C91" s="1" t="s">
        <v>871</v>
      </c>
      <c r="D91" s="1" t="s">
        <v>780</v>
      </c>
      <c r="E91" s="1" t="s">
        <v>780</v>
      </c>
      <c r="F91" s="1" t="s">
        <v>780</v>
      </c>
      <c r="G91" s="1" t="s">
        <v>780</v>
      </c>
      <c r="H91" s="1" t="s">
        <v>780</v>
      </c>
      <c r="AP91" s="1" t="s">
        <v>780</v>
      </c>
      <c r="AR91" s="1" t="s">
        <v>780</v>
      </c>
      <c r="AX91" s="1" t="s">
        <v>780</v>
      </c>
      <c r="JT91" s="1" t="s">
        <v>780</v>
      </c>
      <c r="KE91" s="1" t="s">
        <v>780</v>
      </c>
      <c r="KG91" s="1" t="s">
        <v>780</v>
      </c>
      <c r="KH91" s="1" t="s">
        <v>780</v>
      </c>
      <c r="MV91" s="1" t="s">
        <v>780</v>
      </c>
      <c r="MW91" s="1" t="s">
        <v>780</v>
      </c>
    </row>
    <row r="92" spans="1:481" ht="72.5" x14ac:dyDescent="0.35">
      <c r="A92" s="1" t="s">
        <v>861</v>
      </c>
      <c r="B92" s="1" t="s">
        <v>77</v>
      </c>
      <c r="C92" s="1" t="s">
        <v>872</v>
      </c>
      <c r="D92" s="1" t="s">
        <v>780</v>
      </c>
      <c r="E92" s="1" t="s">
        <v>780</v>
      </c>
      <c r="F92" s="1" t="s">
        <v>780</v>
      </c>
      <c r="G92" s="1" t="s">
        <v>780</v>
      </c>
      <c r="H92" s="1" t="s">
        <v>780</v>
      </c>
      <c r="JS92" s="1" t="s">
        <v>780</v>
      </c>
      <c r="MX92" s="1" t="s">
        <v>780</v>
      </c>
      <c r="MY92" s="1" t="s">
        <v>780</v>
      </c>
      <c r="MZ92" s="1" t="s">
        <v>780</v>
      </c>
      <c r="NA92" s="1" t="s">
        <v>780</v>
      </c>
      <c r="NB92" s="1" t="s">
        <v>780</v>
      </c>
      <c r="NC92" s="1" t="s">
        <v>780</v>
      </c>
      <c r="ND92" s="1" t="s">
        <v>780</v>
      </c>
      <c r="NE92" s="1" t="s">
        <v>780</v>
      </c>
      <c r="NF92" s="1" t="s">
        <v>780</v>
      </c>
      <c r="NG92" s="1" t="s">
        <v>780</v>
      </c>
      <c r="NH92" s="1" t="s">
        <v>780</v>
      </c>
      <c r="NI92" s="1" t="s">
        <v>780</v>
      </c>
    </row>
    <row r="93" spans="1:481" ht="87" x14ac:dyDescent="0.35">
      <c r="A93" s="1" t="s">
        <v>861</v>
      </c>
      <c r="B93" s="1" t="s">
        <v>64</v>
      </c>
      <c r="C93" s="1" t="s">
        <v>873</v>
      </c>
      <c r="D93" s="1" t="s">
        <v>780</v>
      </c>
      <c r="E93" s="1" t="s">
        <v>780</v>
      </c>
      <c r="F93" s="1" t="s">
        <v>780</v>
      </c>
      <c r="G93" s="1" t="s">
        <v>780</v>
      </c>
      <c r="H93" s="1" t="s">
        <v>780</v>
      </c>
      <c r="AD93" s="1" t="s">
        <v>780</v>
      </c>
      <c r="AF93" s="1" t="s">
        <v>780</v>
      </c>
      <c r="IY93" s="1" t="s">
        <v>780</v>
      </c>
      <c r="JK93" s="1" t="s">
        <v>780</v>
      </c>
      <c r="JL93" s="1" t="s">
        <v>780</v>
      </c>
      <c r="NJ93" s="1" t="s">
        <v>780</v>
      </c>
      <c r="NK93" s="1" t="s">
        <v>780</v>
      </c>
      <c r="NL93" s="1" t="s">
        <v>780</v>
      </c>
      <c r="NP93" s="1" t="s">
        <v>780</v>
      </c>
      <c r="NT93" s="1" t="s">
        <v>780</v>
      </c>
      <c r="NU93" s="1" t="s">
        <v>780</v>
      </c>
      <c r="OI93" s="1" t="s">
        <v>780</v>
      </c>
      <c r="OJ93" s="1" t="s">
        <v>780</v>
      </c>
      <c r="OL93" s="1" t="s">
        <v>780</v>
      </c>
      <c r="OM93" s="1" t="s">
        <v>780</v>
      </c>
      <c r="ON93" s="1" t="s">
        <v>780</v>
      </c>
      <c r="OO93" s="1" t="s">
        <v>780</v>
      </c>
      <c r="OQ93" s="1" t="s">
        <v>780</v>
      </c>
      <c r="OR93" s="1" t="s">
        <v>780</v>
      </c>
      <c r="OS93" s="1" t="s">
        <v>780</v>
      </c>
      <c r="PB93" s="1" t="s">
        <v>780</v>
      </c>
      <c r="PD93" s="1" t="s">
        <v>780</v>
      </c>
      <c r="PE93" s="1" t="s">
        <v>780</v>
      </c>
      <c r="PV93" s="1" t="s">
        <v>780</v>
      </c>
      <c r="PW93" s="1" t="s">
        <v>780</v>
      </c>
      <c r="PX93" s="1" t="s">
        <v>780</v>
      </c>
      <c r="PY93" s="1" t="s">
        <v>780</v>
      </c>
      <c r="PZ93" s="1" t="s">
        <v>780</v>
      </c>
      <c r="QA93" s="1" t="s">
        <v>780</v>
      </c>
      <c r="QB93" s="1" t="s">
        <v>780</v>
      </c>
      <c r="QC93" s="1" t="s">
        <v>780</v>
      </c>
      <c r="QD93" s="1" t="s">
        <v>780</v>
      </c>
    </row>
    <row r="94" spans="1:481" ht="58" x14ac:dyDescent="0.35">
      <c r="A94" s="1" t="s">
        <v>861</v>
      </c>
      <c r="B94" s="1" t="s">
        <v>64</v>
      </c>
      <c r="C94" s="1" t="s">
        <v>874</v>
      </c>
      <c r="D94" s="1" t="s">
        <v>780</v>
      </c>
      <c r="E94" s="1" t="s">
        <v>780</v>
      </c>
      <c r="F94" s="1" t="s">
        <v>780</v>
      </c>
      <c r="G94" s="1" t="s">
        <v>780</v>
      </c>
      <c r="H94" s="1" t="s">
        <v>780</v>
      </c>
      <c r="I94" s="1" t="s">
        <v>780</v>
      </c>
      <c r="J94" s="1" t="s">
        <v>780</v>
      </c>
      <c r="K94" s="1" t="s">
        <v>780</v>
      </c>
      <c r="L94" s="1" t="s">
        <v>780</v>
      </c>
      <c r="M94" s="1" t="s">
        <v>780</v>
      </c>
      <c r="N94" s="1" t="s">
        <v>780</v>
      </c>
      <c r="O94" s="1" t="s">
        <v>780</v>
      </c>
      <c r="P94" s="1" t="s">
        <v>780</v>
      </c>
      <c r="Q94" s="1" t="s">
        <v>780</v>
      </c>
      <c r="V94" s="1" t="s">
        <v>780</v>
      </c>
      <c r="W94" s="1" t="s">
        <v>780</v>
      </c>
      <c r="AD94" s="1" t="s">
        <v>780</v>
      </c>
      <c r="AF94" s="1" t="s">
        <v>780</v>
      </c>
      <c r="IY94" s="1" t="s">
        <v>780</v>
      </c>
      <c r="JK94" s="1" t="s">
        <v>780</v>
      </c>
      <c r="JL94" s="1" t="s">
        <v>780</v>
      </c>
      <c r="NJ94" s="1" t="s">
        <v>780</v>
      </c>
      <c r="NK94" s="1" t="s">
        <v>780</v>
      </c>
      <c r="NT94" s="1" t="s">
        <v>780</v>
      </c>
      <c r="NU94" s="1" t="s">
        <v>780</v>
      </c>
      <c r="OI94" s="1" t="s">
        <v>780</v>
      </c>
      <c r="OJ94" s="1" t="s">
        <v>780</v>
      </c>
      <c r="OL94" s="1" t="s">
        <v>780</v>
      </c>
      <c r="PB94" s="1" t="s">
        <v>780</v>
      </c>
      <c r="PD94" s="1" t="s">
        <v>780</v>
      </c>
      <c r="PE94" s="1" t="s">
        <v>780</v>
      </c>
      <c r="PV94" s="1" t="s">
        <v>780</v>
      </c>
      <c r="PW94" s="1" t="s">
        <v>780</v>
      </c>
      <c r="QA94" s="1" t="s">
        <v>780</v>
      </c>
      <c r="QD94" s="1" t="s">
        <v>780</v>
      </c>
    </row>
    <row r="95" spans="1:481" ht="101.5" x14ac:dyDescent="0.35">
      <c r="A95" s="1" t="s">
        <v>861</v>
      </c>
      <c r="B95" s="1" t="s">
        <v>64</v>
      </c>
      <c r="C95" s="1" t="s">
        <v>875</v>
      </c>
      <c r="D95" s="1" t="s">
        <v>780</v>
      </c>
      <c r="E95" s="1" t="s">
        <v>780</v>
      </c>
      <c r="F95" s="1" t="s">
        <v>780</v>
      </c>
      <c r="G95" s="1" t="s">
        <v>780</v>
      </c>
      <c r="H95" s="1" t="s">
        <v>780</v>
      </c>
      <c r="IY95" s="1" t="s">
        <v>780</v>
      </c>
      <c r="NK95" s="1" t="s">
        <v>780</v>
      </c>
      <c r="NL95" s="1" t="s">
        <v>780</v>
      </c>
      <c r="NP95" s="1" t="s">
        <v>780</v>
      </c>
      <c r="NT95" s="1" t="s">
        <v>780</v>
      </c>
      <c r="NU95" s="1" t="s">
        <v>780</v>
      </c>
      <c r="OI95" s="1" t="s">
        <v>780</v>
      </c>
      <c r="OJ95" s="1" t="s">
        <v>780</v>
      </c>
      <c r="OL95" s="1" t="s">
        <v>780</v>
      </c>
      <c r="OM95" s="1" t="s">
        <v>780</v>
      </c>
      <c r="ON95" s="1" t="s">
        <v>780</v>
      </c>
      <c r="OO95" s="1" t="s">
        <v>780</v>
      </c>
      <c r="OQ95" s="1" t="s">
        <v>780</v>
      </c>
      <c r="OR95" s="1" t="s">
        <v>780</v>
      </c>
      <c r="OS95" s="1" t="s">
        <v>780</v>
      </c>
      <c r="PB95" s="1" t="s">
        <v>780</v>
      </c>
      <c r="PD95" s="1" t="s">
        <v>780</v>
      </c>
      <c r="PE95" s="1" t="s">
        <v>780</v>
      </c>
      <c r="PV95" s="1" t="s">
        <v>780</v>
      </c>
      <c r="PW95" s="1" t="s">
        <v>780</v>
      </c>
      <c r="PX95" s="1" t="s">
        <v>780</v>
      </c>
      <c r="PY95" s="1" t="s">
        <v>780</v>
      </c>
      <c r="PZ95" s="1" t="s">
        <v>780</v>
      </c>
      <c r="QA95" s="1" t="s">
        <v>780</v>
      </c>
      <c r="QB95" s="1" t="s">
        <v>780</v>
      </c>
      <c r="QC95" s="1" t="s">
        <v>780</v>
      </c>
    </row>
    <row r="96" spans="1:481" ht="87" x14ac:dyDescent="0.35">
      <c r="A96" s="1" t="s">
        <v>861</v>
      </c>
      <c r="B96" s="1" t="s">
        <v>21</v>
      </c>
      <c r="C96" s="1" t="s">
        <v>876</v>
      </c>
      <c r="D96" s="1" t="s">
        <v>780</v>
      </c>
      <c r="E96" s="1" t="s">
        <v>780</v>
      </c>
      <c r="F96" s="1" t="s">
        <v>780</v>
      </c>
      <c r="G96" s="1" t="s">
        <v>780</v>
      </c>
      <c r="H96" s="1" t="s">
        <v>780</v>
      </c>
      <c r="AD96" s="1" t="s">
        <v>780</v>
      </c>
      <c r="AF96" s="1" t="s">
        <v>780</v>
      </c>
      <c r="IY96" s="1" t="s">
        <v>780</v>
      </c>
      <c r="IZ96" s="1" t="s">
        <v>780</v>
      </c>
      <c r="JA96" s="1" t="s">
        <v>780</v>
      </c>
      <c r="JK96" s="1" t="s">
        <v>780</v>
      </c>
      <c r="JL96" s="1" t="s">
        <v>780</v>
      </c>
      <c r="NJ96" s="1" t="s">
        <v>780</v>
      </c>
      <c r="NK96" s="1" t="s">
        <v>780</v>
      </c>
      <c r="NL96" s="1" t="s">
        <v>780</v>
      </c>
      <c r="NP96" s="1" t="s">
        <v>780</v>
      </c>
      <c r="NT96" s="1" t="s">
        <v>780</v>
      </c>
      <c r="NU96" s="1" t="s">
        <v>780</v>
      </c>
      <c r="NV96" s="1" t="s">
        <v>780</v>
      </c>
      <c r="NW96" s="1" t="s">
        <v>780</v>
      </c>
      <c r="NX96" s="1" t="s">
        <v>780</v>
      </c>
      <c r="OI96" s="1" t="s">
        <v>780</v>
      </c>
      <c r="OJ96" s="1" t="s">
        <v>780</v>
      </c>
      <c r="OL96" s="1" t="s">
        <v>780</v>
      </c>
      <c r="OM96" s="1" t="s">
        <v>780</v>
      </c>
      <c r="OP96" s="1" t="s">
        <v>780</v>
      </c>
      <c r="OR96" s="1" t="s">
        <v>780</v>
      </c>
      <c r="OS96" s="1" t="s">
        <v>780</v>
      </c>
      <c r="PB96" s="1" t="s">
        <v>780</v>
      </c>
      <c r="PC96" s="1" t="s">
        <v>780</v>
      </c>
      <c r="PD96" s="1" t="s">
        <v>780</v>
      </c>
      <c r="PE96" s="1" t="s">
        <v>780</v>
      </c>
      <c r="PV96" s="1" t="s">
        <v>780</v>
      </c>
      <c r="PW96" s="1" t="s">
        <v>780</v>
      </c>
      <c r="PX96" s="1" t="s">
        <v>780</v>
      </c>
      <c r="PY96" s="1" t="s">
        <v>780</v>
      </c>
      <c r="PZ96" s="1" t="s">
        <v>780</v>
      </c>
      <c r="QA96" s="1" t="s">
        <v>780</v>
      </c>
      <c r="QB96" s="1" t="s">
        <v>780</v>
      </c>
      <c r="QC96" s="1" t="s">
        <v>780</v>
      </c>
      <c r="QE96" s="1" t="s">
        <v>780</v>
      </c>
    </row>
    <row r="97" spans="1:448" ht="87" x14ac:dyDescent="0.35">
      <c r="A97" s="1" t="s">
        <v>861</v>
      </c>
      <c r="B97" s="1" t="s">
        <v>21</v>
      </c>
      <c r="C97" s="1" t="s">
        <v>877</v>
      </c>
      <c r="D97" s="1" t="s">
        <v>780</v>
      </c>
      <c r="E97" s="1" t="s">
        <v>780</v>
      </c>
      <c r="F97" s="1" t="s">
        <v>780</v>
      </c>
      <c r="G97" s="1" t="s">
        <v>780</v>
      </c>
      <c r="H97" s="1" t="s">
        <v>780</v>
      </c>
      <c r="I97" s="1" t="s">
        <v>780</v>
      </c>
      <c r="J97" s="1" t="s">
        <v>780</v>
      </c>
      <c r="K97" s="1" t="s">
        <v>780</v>
      </c>
      <c r="L97" s="1" t="s">
        <v>780</v>
      </c>
      <c r="M97" s="1" t="s">
        <v>780</v>
      </c>
      <c r="N97" s="1" t="s">
        <v>780</v>
      </c>
      <c r="O97" s="1" t="s">
        <v>780</v>
      </c>
      <c r="P97" s="1" t="s">
        <v>780</v>
      </c>
      <c r="Q97" s="1" t="s">
        <v>780</v>
      </c>
      <c r="V97" s="1" t="s">
        <v>780</v>
      </c>
      <c r="W97" s="1" t="s">
        <v>780</v>
      </c>
      <c r="AD97" s="1" t="s">
        <v>780</v>
      </c>
      <c r="AF97" s="1" t="s">
        <v>780</v>
      </c>
      <c r="IY97" s="1" t="s">
        <v>780</v>
      </c>
      <c r="IZ97" s="1" t="s">
        <v>780</v>
      </c>
      <c r="JA97" s="1" t="s">
        <v>780</v>
      </c>
      <c r="JK97" s="1" t="s">
        <v>780</v>
      </c>
      <c r="JL97" s="1" t="s">
        <v>780</v>
      </c>
      <c r="NJ97" s="1" t="s">
        <v>780</v>
      </c>
      <c r="NK97" s="1" t="s">
        <v>780</v>
      </c>
      <c r="NP97" s="1" t="s">
        <v>780</v>
      </c>
      <c r="NT97" s="1" t="s">
        <v>780</v>
      </c>
      <c r="NU97" s="1" t="s">
        <v>780</v>
      </c>
      <c r="NV97" s="1" t="s">
        <v>780</v>
      </c>
      <c r="NW97" s="1" t="s">
        <v>780</v>
      </c>
      <c r="NX97" s="1" t="s">
        <v>780</v>
      </c>
      <c r="OL97" s="1" t="s">
        <v>780</v>
      </c>
      <c r="OS97" s="1" t="s">
        <v>780</v>
      </c>
      <c r="PB97" s="1" t="s">
        <v>780</v>
      </c>
      <c r="PC97" s="1" t="s">
        <v>780</v>
      </c>
      <c r="PD97" s="1" t="s">
        <v>780</v>
      </c>
      <c r="PE97" s="1" t="s">
        <v>780</v>
      </c>
      <c r="PV97" s="1" t="s">
        <v>780</v>
      </c>
      <c r="PW97" s="1" t="s">
        <v>780</v>
      </c>
      <c r="QA97" s="1" t="s">
        <v>780</v>
      </c>
      <c r="QD97" s="1" t="s">
        <v>780</v>
      </c>
    </row>
    <row r="98" spans="1:448" ht="87" x14ac:dyDescent="0.35">
      <c r="A98" s="1" t="s">
        <v>861</v>
      </c>
      <c r="B98" s="1" t="s">
        <v>21</v>
      </c>
      <c r="C98" s="1" t="s">
        <v>878</v>
      </c>
      <c r="D98" s="1" t="s">
        <v>780</v>
      </c>
      <c r="E98" s="1" t="s">
        <v>780</v>
      </c>
      <c r="F98" s="1" t="s">
        <v>780</v>
      </c>
      <c r="G98" s="1" t="s">
        <v>780</v>
      </c>
      <c r="H98" s="1" t="s">
        <v>780</v>
      </c>
      <c r="IY98" s="1" t="s">
        <v>780</v>
      </c>
      <c r="JL98" s="1" t="s">
        <v>780</v>
      </c>
      <c r="NK98" s="1" t="s">
        <v>780</v>
      </c>
      <c r="NL98" s="1" t="s">
        <v>780</v>
      </c>
      <c r="NP98" s="1" t="s">
        <v>780</v>
      </c>
      <c r="NT98" s="1" t="s">
        <v>780</v>
      </c>
      <c r="NU98" s="1" t="s">
        <v>780</v>
      </c>
      <c r="NV98" s="1" t="s">
        <v>780</v>
      </c>
      <c r="NW98" s="1" t="s">
        <v>780</v>
      </c>
      <c r="NX98" s="1" t="s">
        <v>780</v>
      </c>
      <c r="OI98" s="1" t="s">
        <v>780</v>
      </c>
      <c r="OJ98" s="1" t="s">
        <v>780</v>
      </c>
      <c r="OL98" s="1" t="s">
        <v>780</v>
      </c>
      <c r="OM98" s="1" t="s">
        <v>780</v>
      </c>
      <c r="OP98" s="1" t="s">
        <v>780</v>
      </c>
      <c r="OR98" s="1" t="s">
        <v>780</v>
      </c>
      <c r="OS98" s="1" t="s">
        <v>780</v>
      </c>
      <c r="PB98" s="1" t="s">
        <v>780</v>
      </c>
      <c r="PC98" s="1" t="s">
        <v>780</v>
      </c>
      <c r="PD98" s="1" t="s">
        <v>780</v>
      </c>
      <c r="PE98" s="1" t="s">
        <v>780</v>
      </c>
      <c r="PV98" s="1" t="s">
        <v>780</v>
      </c>
      <c r="PW98" s="1" t="s">
        <v>780</v>
      </c>
      <c r="PX98" s="1" t="s">
        <v>780</v>
      </c>
      <c r="PZ98" s="1" t="s">
        <v>780</v>
      </c>
      <c r="QA98" s="1" t="s">
        <v>780</v>
      </c>
      <c r="QB98" s="1" t="s">
        <v>780</v>
      </c>
      <c r="QC98" s="1" t="s">
        <v>780</v>
      </c>
      <c r="QE98" s="1" t="s">
        <v>780</v>
      </c>
    </row>
    <row r="99" spans="1:448" ht="101.5" x14ac:dyDescent="0.35">
      <c r="A99" s="1" t="s">
        <v>861</v>
      </c>
      <c r="B99" s="1" t="s">
        <v>53</v>
      </c>
      <c r="C99" s="1" t="s">
        <v>879</v>
      </c>
      <c r="D99" s="1" t="s">
        <v>780</v>
      </c>
      <c r="E99" s="1" t="s">
        <v>780</v>
      </c>
      <c r="F99" s="1" t="s">
        <v>780</v>
      </c>
      <c r="G99" s="1" t="s">
        <v>780</v>
      </c>
      <c r="H99" s="1" t="s">
        <v>780</v>
      </c>
      <c r="AQ99" s="1" t="s">
        <v>780</v>
      </c>
      <c r="AS99" s="1" t="s">
        <v>780</v>
      </c>
      <c r="AX99" s="1" t="s">
        <v>780</v>
      </c>
      <c r="BL99" s="1" t="s">
        <v>780</v>
      </c>
      <c r="BO99" s="1" t="s">
        <v>780</v>
      </c>
      <c r="BP99" s="1" t="s">
        <v>780</v>
      </c>
      <c r="BQ99" s="1" t="s">
        <v>780</v>
      </c>
      <c r="BV99" s="1" t="s">
        <v>780</v>
      </c>
      <c r="ER99" s="1" t="s">
        <v>780</v>
      </c>
      <c r="EU99" s="1" t="s">
        <v>780</v>
      </c>
      <c r="FJ99" s="1" t="s">
        <v>780</v>
      </c>
      <c r="FO99" s="1" t="s">
        <v>780</v>
      </c>
      <c r="FP99" s="1" t="s">
        <v>780</v>
      </c>
      <c r="FQ99" s="1" t="s">
        <v>780</v>
      </c>
      <c r="FR99" s="1" t="s">
        <v>780</v>
      </c>
      <c r="GY99" s="1" t="s">
        <v>780</v>
      </c>
      <c r="GZ99" s="1" t="s">
        <v>780</v>
      </c>
      <c r="NO99" s="1" t="s">
        <v>780</v>
      </c>
      <c r="NZ99" s="1" t="s">
        <v>780</v>
      </c>
      <c r="OA99" s="1" t="s">
        <v>780</v>
      </c>
      <c r="OB99" s="1" t="s">
        <v>780</v>
      </c>
      <c r="OC99" s="1" t="s">
        <v>780</v>
      </c>
      <c r="OD99" s="1" t="s">
        <v>780</v>
      </c>
      <c r="OE99" s="1" t="s">
        <v>780</v>
      </c>
      <c r="OF99" s="1" t="s">
        <v>780</v>
      </c>
      <c r="OG99" s="1" t="s">
        <v>780</v>
      </c>
      <c r="OH99" s="1" t="s">
        <v>780</v>
      </c>
      <c r="OX99" s="1" t="s">
        <v>780</v>
      </c>
      <c r="OZ99" s="1" t="s">
        <v>780</v>
      </c>
      <c r="PA99" s="1" t="s">
        <v>780</v>
      </c>
      <c r="PF99" s="1" t="s">
        <v>780</v>
      </c>
      <c r="PI99" s="1" t="s">
        <v>780</v>
      </c>
      <c r="PJ99" s="1" t="s">
        <v>780</v>
      </c>
      <c r="PK99" s="1" t="s">
        <v>780</v>
      </c>
      <c r="PM99" s="1" t="s">
        <v>780</v>
      </c>
      <c r="PN99" s="1" t="s">
        <v>780</v>
      </c>
      <c r="PO99" s="1" t="s">
        <v>780</v>
      </c>
      <c r="PP99" s="1" t="s">
        <v>780</v>
      </c>
      <c r="PQ99" s="1" t="s">
        <v>780</v>
      </c>
      <c r="PR99" s="1" t="s">
        <v>780</v>
      </c>
      <c r="PS99" s="1" t="s">
        <v>780</v>
      </c>
      <c r="PT99" s="1" t="s">
        <v>780</v>
      </c>
      <c r="PU99" s="1" t="s">
        <v>780</v>
      </c>
    </row>
    <row r="100" spans="1:448" ht="87" x14ac:dyDescent="0.35">
      <c r="A100" s="1" t="s">
        <v>861</v>
      </c>
      <c r="B100" s="1" t="s">
        <v>53</v>
      </c>
      <c r="C100" s="1" t="s">
        <v>880</v>
      </c>
      <c r="D100" s="1" t="s">
        <v>780</v>
      </c>
      <c r="E100" s="1" t="s">
        <v>780</v>
      </c>
      <c r="F100" s="1" t="s">
        <v>780</v>
      </c>
      <c r="G100" s="1" t="s">
        <v>780</v>
      </c>
      <c r="H100" s="1" t="s">
        <v>780</v>
      </c>
      <c r="AS100" s="1" t="s">
        <v>780</v>
      </c>
      <c r="AX100" s="1" t="s">
        <v>780</v>
      </c>
      <c r="BL100" s="1" t="s">
        <v>780</v>
      </c>
      <c r="BO100" s="1" t="s">
        <v>780</v>
      </c>
      <c r="BP100" s="1" t="s">
        <v>780</v>
      </c>
      <c r="BQ100" s="1" t="s">
        <v>780</v>
      </c>
      <c r="BV100" s="1" t="s">
        <v>780</v>
      </c>
      <c r="ER100" s="1" t="s">
        <v>780</v>
      </c>
      <c r="EU100" s="1" t="s">
        <v>780</v>
      </c>
      <c r="EV100" s="1" t="s">
        <v>780</v>
      </c>
      <c r="EX100" s="1" t="s">
        <v>780</v>
      </c>
      <c r="FJ100" s="1" t="s">
        <v>780</v>
      </c>
      <c r="FO100" s="1" t="s">
        <v>780</v>
      </c>
      <c r="FP100" s="1" t="s">
        <v>780</v>
      </c>
      <c r="FQ100" s="1" t="s">
        <v>780</v>
      </c>
      <c r="FR100" s="1" t="s">
        <v>780</v>
      </c>
      <c r="NO100" s="1" t="s">
        <v>780</v>
      </c>
      <c r="NZ100" s="1" t="s">
        <v>780</v>
      </c>
      <c r="OA100" s="1" t="s">
        <v>780</v>
      </c>
      <c r="OB100" s="1" t="s">
        <v>780</v>
      </c>
      <c r="OC100" s="1" t="s">
        <v>780</v>
      </c>
      <c r="OD100" s="1" t="s">
        <v>780</v>
      </c>
      <c r="OE100" s="1" t="s">
        <v>780</v>
      </c>
      <c r="OF100" s="1" t="s">
        <v>780</v>
      </c>
      <c r="OG100" s="1" t="s">
        <v>780</v>
      </c>
      <c r="OH100" s="1" t="s">
        <v>780</v>
      </c>
      <c r="OX100" s="1" t="s">
        <v>780</v>
      </c>
      <c r="OZ100" s="1" t="s">
        <v>780</v>
      </c>
      <c r="PF100" s="1" t="s">
        <v>780</v>
      </c>
      <c r="PI100" s="1" t="s">
        <v>780</v>
      </c>
      <c r="PJ100" s="1" t="s">
        <v>780</v>
      </c>
      <c r="PM100" s="1" t="s">
        <v>780</v>
      </c>
      <c r="PN100" s="1" t="s">
        <v>780</v>
      </c>
      <c r="PO100" s="1" t="s">
        <v>780</v>
      </c>
      <c r="PP100" s="1" t="s">
        <v>780</v>
      </c>
      <c r="PQ100" s="1" t="s">
        <v>780</v>
      </c>
    </row>
    <row r="101" spans="1:448" ht="92.5" customHeight="1" x14ac:dyDescent="0.35">
      <c r="A101" s="1" t="s">
        <v>861</v>
      </c>
      <c r="B101" s="1" t="s">
        <v>53</v>
      </c>
      <c r="C101" s="1" t="s">
        <v>881</v>
      </c>
      <c r="D101" s="1" t="s">
        <v>780</v>
      </c>
      <c r="E101" s="1" t="s">
        <v>780</v>
      </c>
      <c r="F101" s="1" t="s">
        <v>780</v>
      </c>
      <c r="G101" s="1" t="s">
        <v>780</v>
      </c>
      <c r="H101" s="1" t="s">
        <v>780</v>
      </c>
      <c r="AS101" s="1" t="s">
        <v>780</v>
      </c>
      <c r="AX101" s="1" t="s">
        <v>780</v>
      </c>
      <c r="BL101" s="1" t="s">
        <v>780</v>
      </c>
      <c r="BO101" s="1" t="s">
        <v>780</v>
      </c>
      <c r="BP101" s="1" t="s">
        <v>780</v>
      </c>
      <c r="BQ101" s="1" t="s">
        <v>780</v>
      </c>
      <c r="BV101" s="1" t="s">
        <v>780</v>
      </c>
      <c r="BW101" s="1" t="s">
        <v>780</v>
      </c>
      <c r="ER101" s="1" t="s">
        <v>780</v>
      </c>
      <c r="EU101" s="1" t="s">
        <v>780</v>
      </c>
      <c r="EZ101" s="1" t="s">
        <v>780</v>
      </c>
      <c r="FJ101" s="1" t="s">
        <v>780</v>
      </c>
      <c r="GI101" s="1" t="s">
        <v>780</v>
      </c>
      <c r="GY101" s="1" t="s">
        <v>780</v>
      </c>
      <c r="GZ101" s="1" t="s">
        <v>780</v>
      </c>
      <c r="NZ101" s="1" t="s">
        <v>780</v>
      </c>
      <c r="OA101" s="1" t="s">
        <v>780</v>
      </c>
      <c r="OB101" s="1" t="s">
        <v>780</v>
      </c>
      <c r="OC101" s="1" t="s">
        <v>780</v>
      </c>
      <c r="OD101" s="1" t="s">
        <v>780</v>
      </c>
      <c r="OE101" s="1" t="s">
        <v>780</v>
      </c>
      <c r="OF101" s="1" t="s">
        <v>780</v>
      </c>
      <c r="OG101" s="1" t="s">
        <v>780</v>
      </c>
      <c r="OH101" s="1" t="s">
        <v>780</v>
      </c>
      <c r="OX101" s="1" t="s">
        <v>780</v>
      </c>
      <c r="PF101" s="1" t="s">
        <v>780</v>
      </c>
      <c r="PG101" s="1" t="s">
        <v>780</v>
      </c>
      <c r="PH101" s="1" t="s">
        <v>780</v>
      </c>
      <c r="PK101" s="1" t="s">
        <v>780</v>
      </c>
      <c r="PL101" s="1" t="s">
        <v>780</v>
      </c>
    </row>
    <row r="102" spans="1:448" ht="101.5" x14ac:dyDescent="0.35">
      <c r="A102" s="1" t="s">
        <v>861</v>
      </c>
      <c r="B102" s="1" t="s">
        <v>53</v>
      </c>
      <c r="C102" s="1" t="s">
        <v>882</v>
      </c>
      <c r="D102" s="1" t="s">
        <v>780</v>
      </c>
      <c r="E102" s="1" t="s">
        <v>780</v>
      </c>
      <c r="F102" s="1" t="s">
        <v>780</v>
      </c>
      <c r="G102" s="1" t="s">
        <v>780</v>
      </c>
      <c r="H102" s="1" t="s">
        <v>780</v>
      </c>
      <c r="I102" s="1" t="s">
        <v>780</v>
      </c>
      <c r="J102" s="1" t="s">
        <v>780</v>
      </c>
      <c r="BO102" s="1" t="s">
        <v>780</v>
      </c>
      <c r="ER102" s="1" t="s">
        <v>780</v>
      </c>
      <c r="EU102" s="1" t="s">
        <v>780</v>
      </c>
      <c r="EV102" s="1" t="s">
        <v>780</v>
      </c>
      <c r="EX102" s="1" t="s">
        <v>780</v>
      </c>
      <c r="FG102" s="1" t="s">
        <v>780</v>
      </c>
      <c r="FH102" s="1" t="s">
        <v>780</v>
      </c>
      <c r="FI102" s="1" t="s">
        <v>780</v>
      </c>
      <c r="FJ102" s="1" t="s">
        <v>780</v>
      </c>
      <c r="FO102" s="1" t="s">
        <v>780</v>
      </c>
      <c r="FP102" s="1" t="s">
        <v>780</v>
      </c>
      <c r="FQ102" s="1" t="s">
        <v>780</v>
      </c>
      <c r="FR102" s="1" t="s">
        <v>780</v>
      </c>
      <c r="NO102" s="1" t="s">
        <v>780</v>
      </c>
      <c r="NZ102" s="1" t="s">
        <v>780</v>
      </c>
      <c r="OA102" s="1" t="s">
        <v>780</v>
      </c>
      <c r="OB102" s="1" t="s">
        <v>780</v>
      </c>
      <c r="OC102" s="1" t="s">
        <v>780</v>
      </c>
      <c r="OD102" s="1" t="s">
        <v>780</v>
      </c>
      <c r="OE102" s="1" t="s">
        <v>780</v>
      </c>
      <c r="OF102" s="1" t="s">
        <v>780</v>
      </c>
      <c r="OG102" s="1" t="s">
        <v>780</v>
      </c>
      <c r="OH102" s="1" t="s">
        <v>780</v>
      </c>
      <c r="OX102" s="1" t="s">
        <v>780</v>
      </c>
      <c r="OZ102" s="1" t="s">
        <v>780</v>
      </c>
      <c r="PF102" s="1" t="s">
        <v>780</v>
      </c>
      <c r="PG102" s="1" t="s">
        <v>780</v>
      </c>
      <c r="PJ102" s="1" t="s">
        <v>780</v>
      </c>
      <c r="PK102" s="1" t="s">
        <v>780</v>
      </c>
      <c r="PM102" s="1" t="s">
        <v>780</v>
      </c>
      <c r="PN102" s="1" t="s">
        <v>780</v>
      </c>
      <c r="PO102" s="1" t="s">
        <v>780</v>
      </c>
      <c r="PP102" s="1" t="s">
        <v>780</v>
      </c>
      <c r="PQ102" s="1" t="s">
        <v>780</v>
      </c>
    </row>
    <row r="103" spans="1:448" ht="101.5" x14ac:dyDescent="0.35">
      <c r="A103" s="1" t="s">
        <v>861</v>
      </c>
      <c r="B103" s="1" t="s">
        <v>53</v>
      </c>
      <c r="C103" s="1" t="s">
        <v>883</v>
      </c>
      <c r="D103" s="1" t="s">
        <v>780</v>
      </c>
      <c r="E103" s="1" t="s">
        <v>780</v>
      </c>
      <c r="F103" s="1" t="s">
        <v>780</v>
      </c>
      <c r="G103" s="1" t="s">
        <v>780</v>
      </c>
      <c r="H103" s="1" t="s">
        <v>780</v>
      </c>
      <c r="I103" s="1" t="s">
        <v>780</v>
      </c>
      <c r="J103" s="1" t="s">
        <v>780</v>
      </c>
      <c r="AQ103" s="1" t="s">
        <v>780</v>
      </c>
      <c r="AS103" s="1" t="s">
        <v>780</v>
      </c>
      <c r="AX103" s="1" t="s">
        <v>780</v>
      </c>
      <c r="BL103" s="1" t="s">
        <v>780</v>
      </c>
      <c r="ER103" s="1" t="s">
        <v>780</v>
      </c>
      <c r="EU103" s="1" t="s">
        <v>780</v>
      </c>
      <c r="EV103" s="1" t="s">
        <v>780</v>
      </c>
      <c r="EX103" s="1" t="s">
        <v>780</v>
      </c>
      <c r="FG103" s="1" t="s">
        <v>780</v>
      </c>
      <c r="FH103" s="1" t="s">
        <v>780</v>
      </c>
      <c r="FI103" s="1" t="s">
        <v>780</v>
      </c>
      <c r="FO103" s="1" t="s">
        <v>780</v>
      </c>
      <c r="FP103" s="1" t="s">
        <v>780</v>
      </c>
      <c r="FQ103" s="1" t="s">
        <v>780</v>
      </c>
      <c r="FR103" s="1" t="s">
        <v>780</v>
      </c>
      <c r="GY103" s="1" t="s">
        <v>780</v>
      </c>
      <c r="GZ103" s="1" t="s">
        <v>780</v>
      </c>
      <c r="NO103" s="1" t="s">
        <v>780</v>
      </c>
      <c r="NZ103" s="1" t="s">
        <v>780</v>
      </c>
      <c r="OA103" s="1" t="s">
        <v>780</v>
      </c>
      <c r="OB103" s="1" t="s">
        <v>780</v>
      </c>
      <c r="OC103" s="1" t="s">
        <v>780</v>
      </c>
      <c r="OD103" s="1" t="s">
        <v>780</v>
      </c>
      <c r="OE103" s="1" t="s">
        <v>780</v>
      </c>
      <c r="OF103" s="1" t="s">
        <v>780</v>
      </c>
      <c r="OG103" s="1" t="s">
        <v>780</v>
      </c>
      <c r="OH103" s="1" t="s">
        <v>780</v>
      </c>
      <c r="OX103" s="1" t="s">
        <v>780</v>
      </c>
      <c r="OZ103" s="1" t="s">
        <v>780</v>
      </c>
      <c r="PF103" s="1" t="s">
        <v>780</v>
      </c>
      <c r="PI103" s="1" t="s">
        <v>780</v>
      </c>
      <c r="PJ103" s="1" t="s">
        <v>780</v>
      </c>
      <c r="PK103" s="1" t="s">
        <v>780</v>
      </c>
      <c r="PM103" s="1" t="s">
        <v>780</v>
      </c>
      <c r="PN103" s="1" t="s">
        <v>780</v>
      </c>
      <c r="PO103" s="1" t="s">
        <v>780</v>
      </c>
      <c r="PP103" s="1" t="s">
        <v>780</v>
      </c>
      <c r="PQ103" s="1" t="s">
        <v>780</v>
      </c>
    </row>
    <row r="104" spans="1:448" ht="101.5" x14ac:dyDescent="0.35">
      <c r="A104" s="1" t="s">
        <v>861</v>
      </c>
      <c r="B104" s="1" t="s">
        <v>53</v>
      </c>
      <c r="C104" s="1" t="s">
        <v>884</v>
      </c>
      <c r="D104" s="1" t="s">
        <v>780</v>
      </c>
      <c r="E104" s="1" t="s">
        <v>780</v>
      </c>
      <c r="F104" s="1" t="s">
        <v>780</v>
      </c>
      <c r="G104" s="1" t="s">
        <v>885</v>
      </c>
      <c r="H104" s="1" t="s">
        <v>780</v>
      </c>
      <c r="I104" s="1" t="s">
        <v>780</v>
      </c>
      <c r="J104" s="1" t="s">
        <v>780</v>
      </c>
      <c r="AS104" s="1" t="s">
        <v>780</v>
      </c>
      <c r="BO104" s="1" t="s">
        <v>780</v>
      </c>
      <c r="ER104" s="1" t="s">
        <v>780</v>
      </c>
      <c r="EU104" s="1" t="s">
        <v>780</v>
      </c>
      <c r="EV104" s="1" t="s">
        <v>780</v>
      </c>
      <c r="EX104" s="1" t="s">
        <v>780</v>
      </c>
      <c r="FH104" s="1" t="s">
        <v>780</v>
      </c>
      <c r="FI104" s="1" t="s">
        <v>780</v>
      </c>
      <c r="FJ104" s="1" t="s">
        <v>780</v>
      </c>
      <c r="FO104" s="1" t="s">
        <v>780</v>
      </c>
      <c r="FP104" s="1" t="s">
        <v>780</v>
      </c>
      <c r="FQ104" s="1" t="s">
        <v>780</v>
      </c>
      <c r="FR104" s="1" t="s">
        <v>780</v>
      </c>
      <c r="NO104" s="1" t="s">
        <v>780</v>
      </c>
      <c r="NZ104" s="1" t="s">
        <v>780</v>
      </c>
      <c r="OA104" s="1" t="s">
        <v>780</v>
      </c>
      <c r="OB104" s="1" t="s">
        <v>780</v>
      </c>
      <c r="OC104" s="1" t="s">
        <v>780</v>
      </c>
      <c r="OD104" s="1" t="s">
        <v>780</v>
      </c>
      <c r="OE104" s="1" t="s">
        <v>780</v>
      </c>
      <c r="OF104" s="1" t="s">
        <v>780</v>
      </c>
      <c r="OG104" s="1" t="s">
        <v>780</v>
      </c>
      <c r="OH104" s="1" t="s">
        <v>780</v>
      </c>
      <c r="OX104" s="1" t="s">
        <v>780</v>
      </c>
      <c r="OZ104" s="1" t="s">
        <v>780</v>
      </c>
      <c r="PF104" s="1" t="s">
        <v>780</v>
      </c>
      <c r="PG104" s="1" t="s">
        <v>780</v>
      </c>
      <c r="PJ104" s="1" t="s">
        <v>780</v>
      </c>
      <c r="PM104" s="1" t="s">
        <v>780</v>
      </c>
      <c r="PN104" s="1" t="s">
        <v>780</v>
      </c>
      <c r="PO104" s="1" t="s">
        <v>780</v>
      </c>
      <c r="PP104" s="1" t="s">
        <v>780</v>
      </c>
      <c r="PQ104" s="1" t="s">
        <v>780</v>
      </c>
    </row>
    <row r="105" spans="1:448" ht="159.5" x14ac:dyDescent="0.35">
      <c r="A105" s="1" t="s">
        <v>861</v>
      </c>
      <c r="B105" s="1" t="s">
        <v>53</v>
      </c>
      <c r="C105" s="1" t="s">
        <v>886</v>
      </c>
      <c r="D105" s="1" t="s">
        <v>780</v>
      </c>
      <c r="E105" s="1" t="s">
        <v>780</v>
      </c>
      <c r="F105" s="1" t="s">
        <v>780</v>
      </c>
      <c r="G105" s="1" t="s">
        <v>780</v>
      </c>
      <c r="H105" s="1" t="s">
        <v>780</v>
      </c>
      <c r="I105" s="1" t="s">
        <v>780</v>
      </c>
      <c r="J105" s="1" t="s">
        <v>780</v>
      </c>
      <c r="BC105" s="1" t="s">
        <v>780</v>
      </c>
      <c r="BD105" s="1" t="s">
        <v>780</v>
      </c>
      <c r="ER105" s="1" t="s">
        <v>780</v>
      </c>
      <c r="EU105" s="1" t="s">
        <v>780</v>
      </c>
      <c r="EV105" s="1" t="s">
        <v>780</v>
      </c>
      <c r="EX105" s="1" t="s">
        <v>780</v>
      </c>
      <c r="FG105" s="1" t="s">
        <v>780</v>
      </c>
      <c r="FH105" s="1" t="s">
        <v>780</v>
      </c>
      <c r="FI105" s="1" t="s">
        <v>780</v>
      </c>
      <c r="FJ105" s="1" t="s">
        <v>780</v>
      </c>
      <c r="FO105" s="1" t="s">
        <v>780</v>
      </c>
      <c r="FP105" s="1" t="s">
        <v>780</v>
      </c>
      <c r="FQ105" s="1" t="s">
        <v>780</v>
      </c>
      <c r="FR105" s="1" t="s">
        <v>780</v>
      </c>
      <c r="GZ105" s="1" t="s">
        <v>780</v>
      </c>
      <c r="NO105" s="1" t="s">
        <v>780</v>
      </c>
      <c r="NZ105" s="1" t="s">
        <v>780</v>
      </c>
      <c r="OA105" s="1" t="s">
        <v>780</v>
      </c>
      <c r="OB105" s="1" t="s">
        <v>780</v>
      </c>
      <c r="OC105" s="1" t="s">
        <v>780</v>
      </c>
      <c r="OD105" s="1" t="s">
        <v>780</v>
      </c>
      <c r="OE105" s="1" t="s">
        <v>780</v>
      </c>
      <c r="OF105" s="1" t="s">
        <v>780</v>
      </c>
      <c r="OG105" s="1" t="s">
        <v>780</v>
      </c>
      <c r="OH105" s="1" t="s">
        <v>780</v>
      </c>
      <c r="OX105" s="1" t="s">
        <v>780</v>
      </c>
      <c r="OZ105" s="1" t="s">
        <v>780</v>
      </c>
      <c r="PF105" s="1" t="s">
        <v>780</v>
      </c>
      <c r="PI105" s="1" t="s">
        <v>780</v>
      </c>
      <c r="PJ105" s="1" t="s">
        <v>780</v>
      </c>
      <c r="PK105" s="1" t="s">
        <v>780</v>
      </c>
      <c r="PM105" s="1" t="s">
        <v>780</v>
      </c>
      <c r="PN105" s="1" t="s">
        <v>780</v>
      </c>
      <c r="PO105" s="1" t="s">
        <v>780</v>
      </c>
      <c r="PP105" s="1" t="s">
        <v>780</v>
      </c>
      <c r="PQ105" s="1" t="s">
        <v>780</v>
      </c>
    </row>
    <row r="106" spans="1:448" ht="87" x14ac:dyDescent="0.35">
      <c r="A106" s="1" t="s">
        <v>861</v>
      </c>
      <c r="B106" s="1" t="s">
        <v>53</v>
      </c>
      <c r="C106" s="1" t="s">
        <v>887</v>
      </c>
      <c r="D106" s="1" t="s">
        <v>780</v>
      </c>
      <c r="E106" s="1" t="s">
        <v>780</v>
      </c>
      <c r="F106" s="1" t="s">
        <v>780</v>
      </c>
      <c r="G106" s="1" t="s">
        <v>780</v>
      </c>
      <c r="H106" s="1" t="s">
        <v>780</v>
      </c>
      <c r="I106" s="1" t="s">
        <v>780</v>
      </c>
      <c r="J106" s="1" t="s">
        <v>780</v>
      </c>
      <c r="AS106" s="1" t="s">
        <v>780</v>
      </c>
      <c r="BL106" s="1" t="s">
        <v>780</v>
      </c>
      <c r="BO106" s="1" t="s">
        <v>780</v>
      </c>
      <c r="ER106" s="1" t="s">
        <v>780</v>
      </c>
      <c r="EU106" s="1" t="s">
        <v>780</v>
      </c>
      <c r="EY106" s="1" t="s">
        <v>780</v>
      </c>
      <c r="EZ106" s="1" t="s">
        <v>780</v>
      </c>
      <c r="FG106" s="1" t="s">
        <v>780</v>
      </c>
      <c r="FH106" s="1" t="s">
        <v>780</v>
      </c>
      <c r="FI106" s="1" t="s">
        <v>780</v>
      </c>
      <c r="FJ106" s="1" t="s">
        <v>780</v>
      </c>
      <c r="GY106" s="1" t="s">
        <v>780</v>
      </c>
      <c r="GZ106" s="1" t="s">
        <v>780</v>
      </c>
      <c r="NZ106" s="1" t="s">
        <v>780</v>
      </c>
      <c r="OA106" s="1" t="s">
        <v>780</v>
      </c>
      <c r="OB106" s="1" t="s">
        <v>780</v>
      </c>
      <c r="OC106" s="1" t="s">
        <v>780</v>
      </c>
      <c r="OD106" s="1" t="s">
        <v>780</v>
      </c>
      <c r="OE106" s="1" t="s">
        <v>780</v>
      </c>
      <c r="OF106" s="1" t="s">
        <v>780</v>
      </c>
      <c r="OG106" s="1" t="s">
        <v>780</v>
      </c>
      <c r="OH106" s="1" t="s">
        <v>780</v>
      </c>
      <c r="OX106" s="1" t="s">
        <v>780</v>
      </c>
      <c r="PF106" s="1" t="s">
        <v>780</v>
      </c>
      <c r="PG106" s="1" t="s">
        <v>780</v>
      </c>
      <c r="PH106" s="1" t="s">
        <v>780</v>
      </c>
      <c r="PK106" s="1" t="s">
        <v>780</v>
      </c>
      <c r="PL106" s="1" t="s">
        <v>780</v>
      </c>
    </row>
    <row r="107" spans="1:448" ht="101.5" x14ac:dyDescent="0.35">
      <c r="A107" s="1" t="s">
        <v>861</v>
      </c>
      <c r="B107" s="1" t="s">
        <v>53</v>
      </c>
      <c r="C107" s="1" t="s">
        <v>882</v>
      </c>
      <c r="D107" s="1" t="s">
        <v>780</v>
      </c>
      <c r="E107" s="1" t="s">
        <v>780</v>
      </c>
      <c r="F107" s="1" t="s">
        <v>780</v>
      </c>
      <c r="G107" s="1" t="s">
        <v>780</v>
      </c>
      <c r="H107" s="1" t="s">
        <v>780</v>
      </c>
      <c r="AQ107" s="1" t="s">
        <v>780</v>
      </c>
      <c r="AS107" s="1" t="s">
        <v>780</v>
      </c>
      <c r="BC107" s="1" t="s">
        <v>780</v>
      </c>
      <c r="BD107" s="1" t="s">
        <v>780</v>
      </c>
      <c r="ER107" s="1" t="s">
        <v>780</v>
      </c>
      <c r="EU107" s="1" t="s">
        <v>780</v>
      </c>
      <c r="EV107" s="1" t="s">
        <v>780</v>
      </c>
      <c r="EX107" s="1" t="s">
        <v>780</v>
      </c>
      <c r="FJ107" s="1" t="s">
        <v>780</v>
      </c>
      <c r="FO107" s="1" t="s">
        <v>780</v>
      </c>
      <c r="FP107" s="1" t="s">
        <v>780</v>
      </c>
      <c r="FQ107" s="1" t="s">
        <v>780</v>
      </c>
      <c r="FR107" s="1" t="s">
        <v>780</v>
      </c>
      <c r="GU107" s="1" t="s">
        <v>780</v>
      </c>
      <c r="GY107" s="1" t="s">
        <v>780</v>
      </c>
      <c r="GZ107" s="1" t="s">
        <v>780</v>
      </c>
      <c r="NO107" s="1" t="s">
        <v>780</v>
      </c>
      <c r="NZ107" s="1" t="s">
        <v>780</v>
      </c>
      <c r="OA107" s="1" t="s">
        <v>780</v>
      </c>
      <c r="OB107" s="1" t="s">
        <v>780</v>
      </c>
      <c r="OC107" s="1" t="s">
        <v>780</v>
      </c>
      <c r="OD107" s="1" t="s">
        <v>780</v>
      </c>
      <c r="OE107" s="1" t="s">
        <v>780</v>
      </c>
      <c r="OF107" s="1" t="s">
        <v>780</v>
      </c>
      <c r="OG107" s="1" t="s">
        <v>780</v>
      </c>
      <c r="OH107" s="1" t="s">
        <v>780</v>
      </c>
      <c r="OX107" s="1" t="s">
        <v>780</v>
      </c>
      <c r="OY107" s="1" t="s">
        <v>780</v>
      </c>
      <c r="OZ107" s="1" t="s">
        <v>780</v>
      </c>
      <c r="PA107" s="1" t="s">
        <v>780</v>
      </c>
      <c r="PF107" s="1" t="s">
        <v>780</v>
      </c>
      <c r="PI107" s="1" t="s">
        <v>780</v>
      </c>
      <c r="PJ107" s="1" t="s">
        <v>780</v>
      </c>
      <c r="PK107" s="1" t="s">
        <v>780</v>
      </c>
      <c r="PM107" s="1" t="s">
        <v>780</v>
      </c>
      <c r="PN107" s="1" t="s">
        <v>780</v>
      </c>
      <c r="PO107" s="1" t="s">
        <v>780</v>
      </c>
      <c r="PP107" s="1" t="s">
        <v>780</v>
      </c>
      <c r="PQ107" s="1" t="s">
        <v>780</v>
      </c>
      <c r="PR107" s="1" t="s">
        <v>780</v>
      </c>
      <c r="PS107" s="1" t="s">
        <v>780</v>
      </c>
      <c r="PT107" s="1" t="s">
        <v>780</v>
      </c>
      <c r="PU107" s="1" t="s">
        <v>780</v>
      </c>
      <c r="QF107" s="1">
        <f>SUM(D107:QE107)</f>
        <v>0</v>
      </c>
    </row>
    <row r="108" spans="1:448" ht="101.5" x14ac:dyDescent="0.35">
      <c r="A108" s="1" t="s">
        <v>861</v>
      </c>
      <c r="B108" s="1" t="s">
        <v>53</v>
      </c>
      <c r="C108" s="1" t="s">
        <v>882</v>
      </c>
      <c r="D108" s="1" t="s">
        <v>780</v>
      </c>
      <c r="E108" s="1" t="s">
        <v>780</v>
      </c>
      <c r="F108" s="1" t="s">
        <v>780</v>
      </c>
      <c r="G108" s="1" t="s">
        <v>780</v>
      </c>
      <c r="H108" s="1" t="s">
        <v>780</v>
      </c>
      <c r="AQ108" s="1" t="s">
        <v>780</v>
      </c>
      <c r="AW108" s="1" t="s">
        <v>780</v>
      </c>
      <c r="BC108" s="1" t="s">
        <v>780</v>
      </c>
      <c r="BD108" s="1" t="s">
        <v>780</v>
      </c>
      <c r="ER108" s="1" t="s">
        <v>780</v>
      </c>
      <c r="EU108" s="1" t="s">
        <v>780</v>
      </c>
      <c r="EV108" s="1" t="s">
        <v>780</v>
      </c>
      <c r="EX108" s="1" t="s">
        <v>780</v>
      </c>
      <c r="FJ108" s="1" t="s">
        <v>780</v>
      </c>
      <c r="FO108" s="1" t="s">
        <v>780</v>
      </c>
      <c r="FP108" s="1" t="s">
        <v>780</v>
      </c>
      <c r="FQ108" s="1" t="s">
        <v>780</v>
      </c>
      <c r="FR108" s="1" t="s">
        <v>780</v>
      </c>
      <c r="GU108" s="1" t="s">
        <v>780</v>
      </c>
      <c r="GY108" s="1" t="s">
        <v>780</v>
      </c>
      <c r="GZ108" s="1" t="s">
        <v>780</v>
      </c>
      <c r="NO108" s="1" t="s">
        <v>780</v>
      </c>
      <c r="NZ108" s="1" t="s">
        <v>780</v>
      </c>
      <c r="OA108" s="1" t="s">
        <v>780</v>
      </c>
      <c r="OB108" s="1" t="s">
        <v>780</v>
      </c>
      <c r="OC108" s="1" t="s">
        <v>780</v>
      </c>
      <c r="OD108" s="1" t="s">
        <v>780</v>
      </c>
      <c r="OE108" s="1" t="s">
        <v>780</v>
      </c>
      <c r="OF108" s="1" t="s">
        <v>780</v>
      </c>
      <c r="OG108" s="1" t="s">
        <v>780</v>
      </c>
      <c r="OH108" s="1" t="s">
        <v>780</v>
      </c>
      <c r="OX108" s="1" t="s">
        <v>780</v>
      </c>
      <c r="OY108" s="1" t="s">
        <v>780</v>
      </c>
      <c r="OZ108" s="1" t="s">
        <v>780</v>
      </c>
      <c r="PA108" s="1" t="s">
        <v>780</v>
      </c>
      <c r="PF108" s="1" t="s">
        <v>780</v>
      </c>
      <c r="PI108" s="1" t="s">
        <v>780</v>
      </c>
      <c r="PJ108" s="1" t="s">
        <v>780</v>
      </c>
      <c r="PK108" s="1" t="s">
        <v>780</v>
      </c>
      <c r="PM108" s="1" t="s">
        <v>780</v>
      </c>
      <c r="PN108" s="1" t="s">
        <v>780</v>
      </c>
      <c r="PO108" s="1" t="s">
        <v>780</v>
      </c>
      <c r="PP108" s="1" t="s">
        <v>780</v>
      </c>
      <c r="PQ108" s="1" t="s">
        <v>780</v>
      </c>
      <c r="PR108" s="1" t="s">
        <v>780</v>
      </c>
      <c r="PS108" s="1" t="s">
        <v>780</v>
      </c>
      <c r="PT108" s="1" t="s">
        <v>780</v>
      </c>
      <c r="PU108" s="1" t="s">
        <v>780</v>
      </c>
      <c r="QF108" s="1">
        <f>SUM(D108:QE108)</f>
        <v>0</v>
      </c>
    </row>
    <row r="109" spans="1:448" ht="87" x14ac:dyDescent="0.35">
      <c r="A109" s="1" t="s">
        <v>861</v>
      </c>
      <c r="B109" s="1" t="s">
        <v>53</v>
      </c>
      <c r="C109" s="1" t="s">
        <v>887</v>
      </c>
      <c r="D109" s="1" t="s">
        <v>780</v>
      </c>
      <c r="E109" s="1" t="s">
        <v>780</v>
      </c>
      <c r="F109" s="1" t="s">
        <v>780</v>
      </c>
      <c r="G109" s="1" t="s">
        <v>780</v>
      </c>
      <c r="H109" s="1" t="s">
        <v>780</v>
      </c>
      <c r="AS109" s="1" t="s">
        <v>780</v>
      </c>
      <c r="BC109" s="1" t="s">
        <v>780</v>
      </c>
      <c r="BD109" s="1" t="s">
        <v>780</v>
      </c>
      <c r="BW109" s="1" t="s">
        <v>780</v>
      </c>
      <c r="ER109" s="1" t="s">
        <v>780</v>
      </c>
      <c r="EU109" s="1" t="s">
        <v>780</v>
      </c>
      <c r="EZ109" s="1" t="s">
        <v>780</v>
      </c>
      <c r="FJ109" s="1" t="s">
        <v>780</v>
      </c>
      <c r="GI109" s="1" t="s">
        <v>780</v>
      </c>
      <c r="GU109" s="1" t="s">
        <v>780</v>
      </c>
      <c r="GY109" s="1" t="s">
        <v>780</v>
      </c>
      <c r="GZ109" s="1" t="s">
        <v>780</v>
      </c>
      <c r="NZ109" s="1" t="s">
        <v>780</v>
      </c>
      <c r="OA109" s="1" t="s">
        <v>780</v>
      </c>
      <c r="OB109" s="1" t="s">
        <v>780</v>
      </c>
      <c r="OC109" s="1" t="s">
        <v>780</v>
      </c>
      <c r="OD109" s="1" t="s">
        <v>780</v>
      </c>
      <c r="OE109" s="1" t="s">
        <v>780</v>
      </c>
      <c r="OF109" s="1" t="s">
        <v>780</v>
      </c>
      <c r="OG109" s="1" t="s">
        <v>780</v>
      </c>
      <c r="OH109" s="1" t="s">
        <v>780</v>
      </c>
      <c r="OX109" s="1" t="s">
        <v>780</v>
      </c>
      <c r="PF109" s="1" t="s">
        <v>780</v>
      </c>
      <c r="PG109" s="1" t="s">
        <v>780</v>
      </c>
      <c r="PH109" s="1" t="s">
        <v>780</v>
      </c>
      <c r="PK109" s="1" t="s">
        <v>780</v>
      </c>
      <c r="PL109" s="1" t="s">
        <v>780</v>
      </c>
      <c r="QF109" s="1">
        <f>SUM(D109:QE109)</f>
        <v>0</v>
      </c>
    </row>
    <row r="110" spans="1:448" ht="101.5" x14ac:dyDescent="0.35">
      <c r="A110" s="1" t="s">
        <v>861</v>
      </c>
      <c r="B110" s="1" t="s">
        <v>53</v>
      </c>
      <c r="C110" s="1" t="s">
        <v>888</v>
      </c>
      <c r="D110" s="1" t="s">
        <v>780</v>
      </c>
      <c r="E110" s="1" t="s">
        <v>780</v>
      </c>
      <c r="F110" s="1" t="s">
        <v>780</v>
      </c>
      <c r="G110" s="1" t="s">
        <v>780</v>
      </c>
      <c r="H110" s="1" t="s">
        <v>780</v>
      </c>
      <c r="I110" s="1" t="s">
        <v>780</v>
      </c>
      <c r="J110" s="1" t="s">
        <v>780</v>
      </c>
      <c r="N110" s="1" t="s">
        <v>780</v>
      </c>
      <c r="O110" s="1" t="s">
        <v>780</v>
      </c>
      <c r="AQ110" s="1" t="s">
        <v>780</v>
      </c>
      <c r="AS110" s="1" t="s">
        <v>780</v>
      </c>
      <c r="AX110" s="1" t="s">
        <v>780</v>
      </c>
      <c r="BL110" s="1" t="s">
        <v>780</v>
      </c>
      <c r="ER110" s="1" t="s">
        <v>780</v>
      </c>
      <c r="EU110" s="1" t="s">
        <v>780</v>
      </c>
      <c r="EV110" s="1" t="s">
        <v>780</v>
      </c>
      <c r="EX110" s="1" t="s">
        <v>780</v>
      </c>
      <c r="FJ110" s="1" t="s">
        <v>780</v>
      </c>
      <c r="FO110" s="1" t="s">
        <v>780</v>
      </c>
      <c r="FP110" s="1" t="s">
        <v>780</v>
      </c>
      <c r="FQ110" s="1" t="s">
        <v>780</v>
      </c>
      <c r="FR110" s="1" t="s">
        <v>780</v>
      </c>
      <c r="GY110" s="1" t="s">
        <v>780</v>
      </c>
      <c r="GZ110" s="1" t="s">
        <v>780</v>
      </c>
      <c r="NO110" s="1" t="s">
        <v>780</v>
      </c>
      <c r="NZ110" s="1" t="s">
        <v>780</v>
      </c>
      <c r="OA110" s="1" t="s">
        <v>780</v>
      </c>
      <c r="OB110" s="1" t="s">
        <v>780</v>
      </c>
      <c r="OC110" s="1" t="s">
        <v>780</v>
      </c>
      <c r="OD110" s="1" t="s">
        <v>780</v>
      </c>
      <c r="OE110" s="1" t="s">
        <v>780</v>
      </c>
      <c r="OF110" s="1" t="s">
        <v>780</v>
      </c>
      <c r="OG110" s="1" t="s">
        <v>780</v>
      </c>
      <c r="OH110" s="1" t="s">
        <v>780</v>
      </c>
      <c r="OX110" s="1" t="s">
        <v>780</v>
      </c>
      <c r="OZ110" s="1" t="s">
        <v>780</v>
      </c>
      <c r="PF110" s="1" t="s">
        <v>780</v>
      </c>
      <c r="PI110" s="1" t="s">
        <v>780</v>
      </c>
      <c r="PJ110" s="1" t="s">
        <v>780</v>
      </c>
      <c r="PK110" s="1" t="s">
        <v>780</v>
      </c>
      <c r="PM110" s="1" t="s">
        <v>780</v>
      </c>
      <c r="PN110" s="1" t="s">
        <v>780</v>
      </c>
      <c r="PO110" s="1" t="s">
        <v>780</v>
      </c>
      <c r="PP110" s="1" t="s">
        <v>780</v>
      </c>
      <c r="PQ110" s="1" t="s">
        <v>780</v>
      </c>
      <c r="PR110" s="1" t="s">
        <v>780</v>
      </c>
      <c r="PS110" s="1" t="s">
        <v>780</v>
      </c>
      <c r="PT110" s="1" t="s">
        <v>780</v>
      </c>
      <c r="PU110" s="1" t="s">
        <v>780</v>
      </c>
      <c r="QF110" s="1">
        <f t="shared" ref="QF110:QF113" si="0">SUM(D110:QE110)</f>
        <v>0</v>
      </c>
    </row>
    <row r="111" spans="1:448" ht="116" x14ac:dyDescent="0.35">
      <c r="A111" s="1" t="s">
        <v>861</v>
      </c>
      <c r="B111" s="1" t="s">
        <v>53</v>
      </c>
      <c r="C111" s="1" t="s">
        <v>889</v>
      </c>
      <c r="D111" s="1" t="s">
        <v>780</v>
      </c>
      <c r="E111" s="1" t="s">
        <v>780</v>
      </c>
      <c r="F111" s="1" t="s">
        <v>780</v>
      </c>
      <c r="G111" s="1" t="s">
        <v>780</v>
      </c>
      <c r="H111" s="1" t="s">
        <v>780</v>
      </c>
      <c r="I111" s="1" t="s">
        <v>780</v>
      </c>
      <c r="J111" s="1" t="s">
        <v>780</v>
      </c>
      <c r="N111" s="1" t="s">
        <v>780</v>
      </c>
      <c r="O111" s="1" t="s">
        <v>780</v>
      </c>
      <c r="AQ111" s="1" t="s">
        <v>780</v>
      </c>
      <c r="AS111" s="1" t="s">
        <v>780</v>
      </c>
      <c r="AX111" s="1" t="s">
        <v>780</v>
      </c>
      <c r="BL111" s="1" t="s">
        <v>780</v>
      </c>
      <c r="ER111" s="1" t="s">
        <v>780</v>
      </c>
      <c r="EU111" s="1" t="s">
        <v>780</v>
      </c>
      <c r="EV111" s="1" t="s">
        <v>780</v>
      </c>
      <c r="EX111" s="1" t="s">
        <v>780</v>
      </c>
      <c r="FJ111" s="1" t="s">
        <v>780</v>
      </c>
      <c r="FO111" s="1" t="s">
        <v>780</v>
      </c>
      <c r="FP111" s="1" t="s">
        <v>780</v>
      </c>
      <c r="FQ111" s="1" t="s">
        <v>780</v>
      </c>
      <c r="FR111" s="1" t="s">
        <v>780</v>
      </c>
      <c r="GY111" s="1" t="s">
        <v>780</v>
      </c>
      <c r="GZ111" s="1" t="s">
        <v>780</v>
      </c>
      <c r="NO111" s="1" t="s">
        <v>780</v>
      </c>
      <c r="NZ111" s="1" t="s">
        <v>780</v>
      </c>
      <c r="OA111" s="1" t="s">
        <v>780</v>
      </c>
      <c r="OB111" s="1" t="s">
        <v>780</v>
      </c>
      <c r="OC111" s="1" t="s">
        <v>780</v>
      </c>
      <c r="OD111" s="1" t="s">
        <v>780</v>
      </c>
      <c r="OE111" s="1" t="s">
        <v>780</v>
      </c>
      <c r="OF111" s="1" t="s">
        <v>780</v>
      </c>
      <c r="OG111" s="1" t="s">
        <v>780</v>
      </c>
      <c r="OH111" s="1" t="s">
        <v>780</v>
      </c>
      <c r="OX111" s="1" t="s">
        <v>780</v>
      </c>
      <c r="OZ111" s="1" t="s">
        <v>780</v>
      </c>
      <c r="PF111" s="1" t="s">
        <v>780</v>
      </c>
      <c r="PI111" s="1" t="s">
        <v>780</v>
      </c>
      <c r="PJ111" s="1" t="s">
        <v>780</v>
      </c>
      <c r="PK111" s="1" t="s">
        <v>780</v>
      </c>
      <c r="PM111" s="1" t="s">
        <v>780</v>
      </c>
      <c r="PN111" s="1" t="s">
        <v>780</v>
      </c>
      <c r="PO111" s="1" t="s">
        <v>780</v>
      </c>
      <c r="PP111" s="1" t="s">
        <v>780</v>
      </c>
      <c r="PQ111" s="1" t="s">
        <v>780</v>
      </c>
      <c r="PR111" s="1" t="s">
        <v>780</v>
      </c>
      <c r="PS111" s="1" t="s">
        <v>780</v>
      </c>
      <c r="PT111" s="1" t="s">
        <v>780</v>
      </c>
      <c r="PU111" s="1" t="s">
        <v>780</v>
      </c>
      <c r="QF111" s="1">
        <f t="shared" si="0"/>
        <v>0</v>
      </c>
    </row>
    <row r="112" spans="1:448" ht="174" x14ac:dyDescent="0.35">
      <c r="A112" s="1" t="s">
        <v>861</v>
      </c>
      <c r="B112" s="1" t="s">
        <v>53</v>
      </c>
      <c r="C112" s="1" t="s">
        <v>890</v>
      </c>
      <c r="D112" s="1" t="s">
        <v>780</v>
      </c>
      <c r="E112" s="1" t="s">
        <v>780</v>
      </c>
      <c r="F112" s="1" t="s">
        <v>780</v>
      </c>
      <c r="G112" s="1" t="s">
        <v>780</v>
      </c>
      <c r="H112" s="1" t="s">
        <v>780</v>
      </c>
      <c r="I112" s="1" t="s">
        <v>780</v>
      </c>
      <c r="J112" s="1" t="s">
        <v>780</v>
      </c>
      <c r="N112" s="1" t="s">
        <v>780</v>
      </c>
      <c r="O112" s="1" t="s">
        <v>780</v>
      </c>
      <c r="BC112" s="1" t="s">
        <v>780</v>
      </c>
      <c r="BD112" s="1" t="s">
        <v>780</v>
      </c>
      <c r="ER112" s="1" t="s">
        <v>780</v>
      </c>
      <c r="EU112" s="1" t="s">
        <v>780</v>
      </c>
      <c r="EV112" s="1" t="s">
        <v>780</v>
      </c>
      <c r="EX112" s="1" t="s">
        <v>780</v>
      </c>
      <c r="FJ112" s="1" t="s">
        <v>780</v>
      </c>
      <c r="FO112" s="1" t="s">
        <v>780</v>
      </c>
      <c r="FP112" s="1" t="s">
        <v>780</v>
      </c>
      <c r="FQ112" s="1" t="s">
        <v>780</v>
      </c>
      <c r="FR112" s="1" t="s">
        <v>780</v>
      </c>
      <c r="GY112" s="1" t="s">
        <v>780</v>
      </c>
      <c r="GZ112" s="1" t="s">
        <v>780</v>
      </c>
      <c r="NO112" s="1" t="s">
        <v>780</v>
      </c>
      <c r="NZ112" s="1" t="s">
        <v>780</v>
      </c>
      <c r="OA112" s="1" t="s">
        <v>780</v>
      </c>
      <c r="OB112" s="1" t="s">
        <v>780</v>
      </c>
      <c r="OC112" s="1" t="s">
        <v>780</v>
      </c>
      <c r="OD112" s="1" t="s">
        <v>780</v>
      </c>
      <c r="OE112" s="1" t="s">
        <v>780</v>
      </c>
      <c r="OF112" s="1" t="s">
        <v>780</v>
      </c>
      <c r="OG112" s="1" t="s">
        <v>780</v>
      </c>
      <c r="OH112" s="1" t="s">
        <v>780</v>
      </c>
      <c r="OX112" s="1" t="s">
        <v>780</v>
      </c>
      <c r="OZ112" s="1" t="s">
        <v>780</v>
      </c>
      <c r="PF112" s="1" t="s">
        <v>780</v>
      </c>
      <c r="PI112" s="1" t="s">
        <v>780</v>
      </c>
      <c r="PJ112" s="1" t="s">
        <v>780</v>
      </c>
      <c r="PK112" s="1" t="s">
        <v>780</v>
      </c>
      <c r="PM112" s="1" t="s">
        <v>780</v>
      </c>
      <c r="PN112" s="1" t="s">
        <v>780</v>
      </c>
      <c r="PO112" s="1" t="s">
        <v>780</v>
      </c>
      <c r="PP112" s="1" t="s">
        <v>780</v>
      </c>
      <c r="PQ112" s="1" t="s">
        <v>780</v>
      </c>
      <c r="PR112" s="1" t="s">
        <v>780</v>
      </c>
      <c r="PS112" s="1" t="s">
        <v>780</v>
      </c>
      <c r="PT112" s="1" t="s">
        <v>780</v>
      </c>
      <c r="PU112" s="1" t="s">
        <v>780</v>
      </c>
      <c r="QF112" s="1">
        <f t="shared" si="0"/>
        <v>0</v>
      </c>
    </row>
    <row r="113" spans="1:472" ht="159.5" x14ac:dyDescent="0.35">
      <c r="A113" s="1" t="s">
        <v>861</v>
      </c>
      <c r="B113" s="1" t="s">
        <v>53</v>
      </c>
      <c r="C113" s="1" t="s">
        <v>891</v>
      </c>
      <c r="D113" s="1" t="s">
        <v>780</v>
      </c>
      <c r="E113" s="1" t="s">
        <v>780</v>
      </c>
      <c r="F113" s="1" t="s">
        <v>780</v>
      </c>
      <c r="G113" s="1" t="s">
        <v>780</v>
      </c>
      <c r="H113" s="1" t="s">
        <v>780</v>
      </c>
      <c r="I113" s="1" t="s">
        <v>780</v>
      </c>
      <c r="J113" s="1" t="s">
        <v>780</v>
      </c>
      <c r="K113" s="1" t="s">
        <v>780</v>
      </c>
      <c r="L113" s="1" t="s">
        <v>780</v>
      </c>
      <c r="M113" s="1" t="s">
        <v>780</v>
      </c>
      <c r="AQ113" s="1" t="s">
        <v>780</v>
      </c>
      <c r="AS113" s="1" t="s">
        <v>780</v>
      </c>
      <c r="AX113" s="1" t="s">
        <v>780</v>
      </c>
      <c r="BL113" s="1" t="s">
        <v>780</v>
      </c>
      <c r="ER113" s="1" t="s">
        <v>780</v>
      </c>
      <c r="EU113" s="1" t="s">
        <v>780</v>
      </c>
      <c r="EV113" s="1" t="s">
        <v>780</v>
      </c>
      <c r="EX113" s="1" t="s">
        <v>780</v>
      </c>
      <c r="FJ113" s="1" t="s">
        <v>780</v>
      </c>
      <c r="FO113" s="1" t="s">
        <v>780</v>
      </c>
      <c r="FP113" s="1" t="s">
        <v>780</v>
      </c>
      <c r="FQ113" s="1" t="s">
        <v>780</v>
      </c>
      <c r="FR113" s="1" t="s">
        <v>780</v>
      </c>
      <c r="GY113" s="1" t="s">
        <v>780</v>
      </c>
      <c r="GZ113" s="1" t="s">
        <v>780</v>
      </c>
      <c r="NO113" s="1" t="s">
        <v>780</v>
      </c>
      <c r="NZ113" s="1" t="s">
        <v>780</v>
      </c>
      <c r="OA113" s="1" t="s">
        <v>780</v>
      </c>
      <c r="OB113" s="1" t="s">
        <v>780</v>
      </c>
      <c r="OC113" s="1" t="s">
        <v>780</v>
      </c>
      <c r="OD113" s="1" t="s">
        <v>780</v>
      </c>
      <c r="OE113" s="1" t="s">
        <v>780</v>
      </c>
      <c r="OF113" s="1" t="s">
        <v>780</v>
      </c>
      <c r="OG113" s="1" t="s">
        <v>780</v>
      </c>
      <c r="OH113" s="1" t="s">
        <v>780</v>
      </c>
      <c r="OX113" s="1" t="s">
        <v>780</v>
      </c>
      <c r="OZ113" s="1" t="s">
        <v>780</v>
      </c>
      <c r="PF113" s="1" t="s">
        <v>780</v>
      </c>
      <c r="PI113" s="1" t="s">
        <v>780</v>
      </c>
      <c r="PJ113" s="1" t="s">
        <v>780</v>
      </c>
      <c r="PK113" s="1" t="s">
        <v>780</v>
      </c>
      <c r="PM113" s="1" t="s">
        <v>780</v>
      </c>
      <c r="PN113" s="1" t="s">
        <v>780</v>
      </c>
      <c r="PO113" s="1" t="s">
        <v>780</v>
      </c>
      <c r="PP113" s="1" t="s">
        <v>780</v>
      </c>
      <c r="PQ113" s="1" t="s">
        <v>780</v>
      </c>
      <c r="PR113" s="1" t="s">
        <v>780</v>
      </c>
      <c r="PS113" s="1" t="s">
        <v>780</v>
      </c>
      <c r="PT113" s="1" t="s">
        <v>780</v>
      </c>
      <c r="PU113" s="1" t="s">
        <v>780</v>
      </c>
      <c r="QF113" s="1">
        <f t="shared" si="0"/>
        <v>0</v>
      </c>
    </row>
    <row r="114" spans="1:472" ht="159.5" x14ac:dyDescent="0.35">
      <c r="A114" s="1" t="s">
        <v>861</v>
      </c>
      <c r="B114" s="1" t="s">
        <v>53</v>
      </c>
      <c r="C114" s="1" t="s">
        <v>892</v>
      </c>
      <c r="D114" s="1" t="s">
        <v>780</v>
      </c>
      <c r="E114" s="1" t="s">
        <v>780</v>
      </c>
      <c r="F114" s="1" t="s">
        <v>780</v>
      </c>
      <c r="G114" s="1" t="s">
        <v>780</v>
      </c>
      <c r="H114" s="1" t="s">
        <v>780</v>
      </c>
      <c r="I114" s="1" t="s">
        <v>780</v>
      </c>
      <c r="J114" s="1" t="s">
        <v>780</v>
      </c>
      <c r="K114" s="1" t="s">
        <v>780</v>
      </c>
      <c r="L114" s="1" t="s">
        <v>780</v>
      </c>
      <c r="M114" s="1" t="s">
        <v>780</v>
      </c>
      <c r="BC114" s="1" t="s">
        <v>780</v>
      </c>
      <c r="BD114" s="1" t="s">
        <v>780</v>
      </c>
      <c r="ER114" s="1" t="s">
        <v>780</v>
      </c>
      <c r="EU114" s="1" t="s">
        <v>780</v>
      </c>
      <c r="EV114" s="1" t="s">
        <v>780</v>
      </c>
      <c r="EX114" s="1" t="s">
        <v>780</v>
      </c>
      <c r="FJ114" s="1" t="s">
        <v>780</v>
      </c>
      <c r="FO114" s="1" t="s">
        <v>780</v>
      </c>
      <c r="FP114" s="1" t="s">
        <v>780</v>
      </c>
      <c r="FQ114" s="1" t="s">
        <v>780</v>
      </c>
      <c r="FR114" s="1" t="s">
        <v>780</v>
      </c>
      <c r="GY114" s="1" t="s">
        <v>780</v>
      </c>
      <c r="GZ114" s="1" t="s">
        <v>780</v>
      </c>
      <c r="NO114" s="1" t="s">
        <v>780</v>
      </c>
      <c r="NZ114" s="1" t="s">
        <v>780</v>
      </c>
      <c r="OA114" s="1" t="s">
        <v>780</v>
      </c>
      <c r="OB114" s="1" t="s">
        <v>780</v>
      </c>
      <c r="OC114" s="1" t="s">
        <v>780</v>
      </c>
      <c r="OD114" s="1" t="s">
        <v>780</v>
      </c>
      <c r="OE114" s="1" t="s">
        <v>780</v>
      </c>
      <c r="OF114" s="1" t="s">
        <v>780</v>
      </c>
      <c r="OG114" s="1" t="s">
        <v>780</v>
      </c>
      <c r="OH114" s="1" t="s">
        <v>780</v>
      </c>
      <c r="OX114" s="1" t="s">
        <v>780</v>
      </c>
      <c r="OZ114" s="1" t="s">
        <v>780</v>
      </c>
      <c r="PF114" s="1" t="s">
        <v>780</v>
      </c>
      <c r="PI114" s="1" t="s">
        <v>780</v>
      </c>
      <c r="PJ114" s="1" t="s">
        <v>780</v>
      </c>
      <c r="PK114" s="1" t="s">
        <v>780</v>
      </c>
      <c r="PM114" s="1" t="s">
        <v>780</v>
      </c>
      <c r="PN114" s="1" t="s">
        <v>780</v>
      </c>
      <c r="PO114" s="1" t="s">
        <v>780</v>
      </c>
      <c r="PP114" s="1" t="s">
        <v>780</v>
      </c>
      <c r="PQ114" s="1" t="s">
        <v>780</v>
      </c>
      <c r="PR114" s="1" t="s">
        <v>780</v>
      </c>
      <c r="PS114" s="1" t="s">
        <v>780</v>
      </c>
      <c r="PT114" s="1" t="s">
        <v>780</v>
      </c>
      <c r="PU114" s="1" t="s">
        <v>780</v>
      </c>
      <c r="QF114" s="1">
        <v>0</v>
      </c>
    </row>
    <row r="115" spans="1:472" ht="188.5" x14ac:dyDescent="0.35">
      <c r="A115" s="1" t="s">
        <v>861</v>
      </c>
      <c r="B115" s="1" t="s">
        <v>53</v>
      </c>
      <c r="C115" s="1" t="s">
        <v>893</v>
      </c>
      <c r="D115" s="1" t="s">
        <v>780</v>
      </c>
      <c r="E115" s="1" t="s">
        <v>780</v>
      </c>
      <c r="F115" s="1" t="s">
        <v>780</v>
      </c>
      <c r="G115" s="1" t="s">
        <v>780</v>
      </c>
      <c r="H115" s="1" t="s">
        <v>780</v>
      </c>
      <c r="I115" s="1" t="s">
        <v>780</v>
      </c>
      <c r="J115" s="1" t="s">
        <v>780</v>
      </c>
      <c r="Z115" s="1" t="s">
        <v>780</v>
      </c>
      <c r="AA115" s="1" t="s">
        <v>780</v>
      </c>
      <c r="AQ115" s="1" t="s">
        <v>780</v>
      </c>
      <c r="AS115" s="1" t="s">
        <v>780</v>
      </c>
      <c r="AX115" s="1" t="s">
        <v>780</v>
      </c>
      <c r="BL115" s="1" t="s">
        <v>780</v>
      </c>
      <c r="ER115" s="1" t="s">
        <v>780</v>
      </c>
      <c r="EU115" s="1" t="s">
        <v>780</v>
      </c>
      <c r="EV115" s="1" t="s">
        <v>780</v>
      </c>
      <c r="EX115" s="1" t="s">
        <v>780</v>
      </c>
      <c r="FJ115" s="1" t="s">
        <v>780</v>
      </c>
      <c r="FO115" s="1" t="s">
        <v>780</v>
      </c>
      <c r="FP115" s="1" t="s">
        <v>780</v>
      </c>
      <c r="FQ115" s="1" t="s">
        <v>780</v>
      </c>
      <c r="FR115" s="1" t="s">
        <v>780</v>
      </c>
      <c r="GY115" s="1" t="s">
        <v>780</v>
      </c>
      <c r="GZ115" s="1" t="s">
        <v>780</v>
      </c>
      <c r="NO115" s="1" t="s">
        <v>780</v>
      </c>
      <c r="NZ115" s="1" t="s">
        <v>780</v>
      </c>
      <c r="OA115" s="1" t="s">
        <v>780</v>
      </c>
      <c r="OB115" s="1" t="s">
        <v>780</v>
      </c>
      <c r="OC115" s="1" t="s">
        <v>780</v>
      </c>
      <c r="OD115" s="1" t="s">
        <v>780</v>
      </c>
      <c r="OE115" s="1" t="s">
        <v>780</v>
      </c>
      <c r="OF115" s="1" t="s">
        <v>780</v>
      </c>
      <c r="OG115" s="1" t="s">
        <v>780</v>
      </c>
      <c r="OH115" s="1" t="s">
        <v>780</v>
      </c>
      <c r="OX115" s="1" t="s">
        <v>780</v>
      </c>
      <c r="OZ115" s="1" t="s">
        <v>780</v>
      </c>
      <c r="PF115" s="1" t="s">
        <v>780</v>
      </c>
      <c r="PI115" s="1" t="s">
        <v>780</v>
      </c>
      <c r="PJ115" s="1" t="s">
        <v>780</v>
      </c>
      <c r="PK115" s="1" t="s">
        <v>780</v>
      </c>
      <c r="PM115" s="1" t="s">
        <v>780</v>
      </c>
      <c r="PN115" s="1" t="s">
        <v>780</v>
      </c>
      <c r="PO115" s="1" t="s">
        <v>780</v>
      </c>
      <c r="PP115" s="1" t="s">
        <v>780</v>
      </c>
      <c r="PQ115" s="1" t="s">
        <v>780</v>
      </c>
      <c r="PR115" s="1" t="s">
        <v>780</v>
      </c>
      <c r="PS115" s="1" t="s">
        <v>780</v>
      </c>
      <c r="PT115" s="1" t="s">
        <v>780</v>
      </c>
      <c r="PU115" s="1" t="s">
        <v>780</v>
      </c>
      <c r="QF115" s="1">
        <v>0</v>
      </c>
    </row>
    <row r="116" spans="1:472" ht="188.5" x14ac:dyDescent="0.35">
      <c r="A116" s="1" t="s">
        <v>861</v>
      </c>
      <c r="B116" s="1" t="s">
        <v>53</v>
      </c>
      <c r="C116" s="1" t="s">
        <v>894</v>
      </c>
      <c r="D116" s="1" t="s">
        <v>780</v>
      </c>
      <c r="E116" s="1" t="s">
        <v>780</v>
      </c>
      <c r="F116" s="1" t="s">
        <v>780</v>
      </c>
      <c r="G116" s="1" t="s">
        <v>780</v>
      </c>
      <c r="H116" s="1" t="s">
        <v>780</v>
      </c>
      <c r="I116" s="1" t="s">
        <v>780</v>
      </c>
      <c r="J116" s="1" t="s">
        <v>780</v>
      </c>
      <c r="Z116" s="1" t="s">
        <v>780</v>
      </c>
      <c r="AA116" s="1" t="s">
        <v>780</v>
      </c>
      <c r="BC116" s="1" t="s">
        <v>780</v>
      </c>
      <c r="BD116" s="1" t="s">
        <v>780</v>
      </c>
      <c r="ER116" s="1" t="s">
        <v>780</v>
      </c>
      <c r="EU116" s="1" t="s">
        <v>780</v>
      </c>
      <c r="EV116" s="1" t="s">
        <v>780</v>
      </c>
      <c r="EX116" s="1" t="s">
        <v>780</v>
      </c>
      <c r="FJ116" s="1" t="s">
        <v>780</v>
      </c>
      <c r="FO116" s="1" t="s">
        <v>780</v>
      </c>
      <c r="FP116" s="1" t="s">
        <v>780</v>
      </c>
      <c r="FQ116" s="1" t="s">
        <v>780</v>
      </c>
      <c r="FR116" s="1" t="s">
        <v>780</v>
      </c>
      <c r="GY116" s="1" t="s">
        <v>780</v>
      </c>
      <c r="GZ116" s="1" t="s">
        <v>780</v>
      </c>
      <c r="NO116" s="1" t="s">
        <v>780</v>
      </c>
      <c r="NZ116" s="1" t="s">
        <v>780</v>
      </c>
      <c r="OA116" s="1" t="s">
        <v>780</v>
      </c>
      <c r="OB116" s="1" t="s">
        <v>780</v>
      </c>
      <c r="OC116" s="1" t="s">
        <v>780</v>
      </c>
      <c r="OD116" s="1" t="s">
        <v>780</v>
      </c>
      <c r="OE116" s="1" t="s">
        <v>780</v>
      </c>
      <c r="OF116" s="1" t="s">
        <v>780</v>
      </c>
      <c r="OG116" s="1" t="s">
        <v>780</v>
      </c>
      <c r="OH116" s="1" t="s">
        <v>780</v>
      </c>
      <c r="OX116" s="1" t="s">
        <v>780</v>
      </c>
      <c r="OZ116" s="1" t="s">
        <v>780</v>
      </c>
      <c r="PF116" s="1" t="s">
        <v>780</v>
      </c>
      <c r="PI116" s="1" t="s">
        <v>780</v>
      </c>
      <c r="PJ116" s="1" t="s">
        <v>780</v>
      </c>
      <c r="PK116" s="1" t="s">
        <v>780</v>
      </c>
      <c r="PM116" s="1" t="s">
        <v>780</v>
      </c>
      <c r="PN116" s="1" t="s">
        <v>780</v>
      </c>
      <c r="PO116" s="1" t="s">
        <v>780</v>
      </c>
      <c r="PP116" s="1" t="s">
        <v>780</v>
      </c>
      <c r="PQ116" s="1" t="s">
        <v>780</v>
      </c>
      <c r="PR116" s="1" t="s">
        <v>780</v>
      </c>
      <c r="PS116" s="1" t="s">
        <v>780</v>
      </c>
      <c r="PT116" s="1" t="s">
        <v>780</v>
      </c>
      <c r="PU116" s="1" t="s">
        <v>780</v>
      </c>
      <c r="QF116" s="1">
        <v>0</v>
      </c>
    </row>
    <row r="117" spans="1:472" ht="159.5" x14ac:dyDescent="0.35">
      <c r="A117" s="1" t="s">
        <v>861</v>
      </c>
      <c r="B117" s="1" t="s">
        <v>53</v>
      </c>
      <c r="C117" s="1" t="s">
        <v>895</v>
      </c>
      <c r="D117" s="1" t="s">
        <v>780</v>
      </c>
      <c r="E117" s="1" t="s">
        <v>780</v>
      </c>
      <c r="F117" s="1" t="s">
        <v>780</v>
      </c>
      <c r="G117" s="1" t="s">
        <v>780</v>
      </c>
      <c r="H117" s="1" t="s">
        <v>780</v>
      </c>
      <c r="I117" s="1" t="s">
        <v>780</v>
      </c>
      <c r="J117" s="1" t="s">
        <v>780</v>
      </c>
      <c r="X117" s="1" t="s">
        <v>780</v>
      </c>
      <c r="Y117" s="1" t="s">
        <v>780</v>
      </c>
      <c r="BC117" s="1" t="s">
        <v>780</v>
      </c>
      <c r="BD117" s="1" t="s">
        <v>780</v>
      </c>
      <c r="ER117" s="1" t="s">
        <v>780</v>
      </c>
      <c r="EU117" s="1" t="s">
        <v>780</v>
      </c>
      <c r="EV117" s="1" t="s">
        <v>780</v>
      </c>
      <c r="EX117" s="1" t="s">
        <v>780</v>
      </c>
      <c r="FJ117" s="1" t="s">
        <v>780</v>
      </c>
      <c r="FO117" s="1" t="s">
        <v>780</v>
      </c>
      <c r="FP117" s="1" t="s">
        <v>780</v>
      </c>
      <c r="FQ117" s="1" t="s">
        <v>780</v>
      </c>
      <c r="FR117" s="1" t="s">
        <v>780</v>
      </c>
      <c r="GY117" s="1" t="s">
        <v>780</v>
      </c>
      <c r="GZ117" s="1" t="s">
        <v>780</v>
      </c>
      <c r="NO117" s="1" t="s">
        <v>780</v>
      </c>
      <c r="NZ117" s="1" t="s">
        <v>780</v>
      </c>
      <c r="OA117" s="1" t="s">
        <v>780</v>
      </c>
      <c r="OB117" s="1" t="s">
        <v>780</v>
      </c>
      <c r="OC117" s="1" t="s">
        <v>780</v>
      </c>
      <c r="OD117" s="1" t="s">
        <v>780</v>
      </c>
      <c r="OE117" s="1" t="s">
        <v>780</v>
      </c>
      <c r="OF117" s="1" t="s">
        <v>780</v>
      </c>
      <c r="OG117" s="1" t="s">
        <v>780</v>
      </c>
      <c r="OH117" s="1" t="s">
        <v>780</v>
      </c>
      <c r="OX117" s="1" t="s">
        <v>780</v>
      </c>
      <c r="OZ117" s="1" t="s">
        <v>780</v>
      </c>
      <c r="PF117" s="1" t="s">
        <v>780</v>
      </c>
      <c r="PI117" s="1" t="s">
        <v>780</v>
      </c>
      <c r="PJ117" s="1" t="s">
        <v>780</v>
      </c>
      <c r="PK117" s="1" t="s">
        <v>780</v>
      </c>
      <c r="PM117" s="1" t="s">
        <v>780</v>
      </c>
      <c r="PN117" s="1" t="s">
        <v>780</v>
      </c>
      <c r="PO117" s="1" t="s">
        <v>780</v>
      </c>
      <c r="PP117" s="1" t="s">
        <v>780</v>
      </c>
      <c r="PQ117" s="1" t="s">
        <v>780</v>
      </c>
      <c r="PR117" s="1" t="s">
        <v>780</v>
      </c>
      <c r="PS117" s="1" t="s">
        <v>780</v>
      </c>
      <c r="PT117" s="1" t="s">
        <v>780</v>
      </c>
      <c r="PU117" s="1" t="s">
        <v>780</v>
      </c>
      <c r="QF117" s="1">
        <f>SUM(D117:QE117)</f>
        <v>0</v>
      </c>
    </row>
    <row r="118" spans="1:472" ht="159.5" x14ac:dyDescent="0.35">
      <c r="A118" s="1" t="s">
        <v>861</v>
      </c>
      <c r="B118" s="1" t="s">
        <v>53</v>
      </c>
      <c r="C118" s="1" t="s">
        <v>896</v>
      </c>
      <c r="D118" s="1" t="s">
        <v>780</v>
      </c>
      <c r="E118" s="1" t="s">
        <v>780</v>
      </c>
      <c r="F118" s="1" t="s">
        <v>780</v>
      </c>
      <c r="G118" s="1" t="s">
        <v>780</v>
      </c>
      <c r="H118" s="1" t="s">
        <v>780</v>
      </c>
      <c r="AX118" s="1" t="s">
        <v>780</v>
      </c>
      <c r="BC118" s="1" t="s">
        <v>780</v>
      </c>
      <c r="BD118" s="1" t="s">
        <v>780</v>
      </c>
      <c r="BP118" s="1" t="s">
        <v>780</v>
      </c>
      <c r="ER118" s="1" t="s">
        <v>780</v>
      </c>
      <c r="EW118" s="1" t="s">
        <v>780</v>
      </c>
      <c r="FJ118" s="1" t="s">
        <v>780</v>
      </c>
      <c r="GU118" s="1" t="s">
        <v>780</v>
      </c>
      <c r="GZ118" s="1" t="s">
        <v>780</v>
      </c>
      <c r="PS118" s="1" t="s">
        <v>780</v>
      </c>
      <c r="PT118" s="1" t="s">
        <v>780</v>
      </c>
      <c r="PU118" s="1" t="s">
        <v>780</v>
      </c>
      <c r="QF118" s="1">
        <f>SUM(D118:QE118)</f>
        <v>0</v>
      </c>
    </row>
    <row r="119" spans="1:472" ht="174" x14ac:dyDescent="0.35">
      <c r="A119" s="1" t="s">
        <v>861</v>
      </c>
      <c r="B119" s="1" t="s">
        <v>53</v>
      </c>
      <c r="C119" s="1" t="s">
        <v>897</v>
      </c>
      <c r="D119" s="1" t="s">
        <v>780</v>
      </c>
      <c r="E119" s="1" t="s">
        <v>780</v>
      </c>
      <c r="F119" s="1" t="s">
        <v>780</v>
      </c>
      <c r="G119" s="1" t="s">
        <v>780</v>
      </c>
      <c r="H119" s="1" t="s">
        <v>780</v>
      </c>
      <c r="AS119" s="1" t="s">
        <v>780</v>
      </c>
      <c r="AX119" s="1" t="s">
        <v>780</v>
      </c>
      <c r="AZ119" s="1" t="s">
        <v>780</v>
      </c>
      <c r="BC119" s="1" t="s">
        <v>780</v>
      </c>
      <c r="BD119" s="1" t="s">
        <v>780</v>
      </c>
      <c r="BP119" s="1" t="s">
        <v>780</v>
      </c>
      <c r="FJ119" s="1" t="s">
        <v>780</v>
      </c>
      <c r="GY119" s="1" t="s">
        <v>780</v>
      </c>
      <c r="NM119" s="1" t="s">
        <v>780</v>
      </c>
      <c r="NN119" s="1" t="s">
        <v>780</v>
      </c>
      <c r="PA119" s="1" t="s">
        <v>780</v>
      </c>
      <c r="QF119" s="1">
        <f>SUM(D119:QE119)</f>
        <v>0</v>
      </c>
    </row>
    <row r="120" spans="1:472" ht="188.5" x14ac:dyDescent="0.35">
      <c r="A120" s="1" t="s">
        <v>861</v>
      </c>
      <c r="B120" s="1" t="s">
        <v>53</v>
      </c>
      <c r="C120" s="1" t="s">
        <v>898</v>
      </c>
      <c r="D120" s="1" t="s">
        <v>780</v>
      </c>
      <c r="E120" s="1" t="s">
        <v>780</v>
      </c>
      <c r="F120" s="1" t="s">
        <v>780</v>
      </c>
      <c r="G120" s="1" t="s">
        <v>780</v>
      </c>
      <c r="H120" s="1" t="s">
        <v>780</v>
      </c>
      <c r="I120" s="1" t="s">
        <v>780</v>
      </c>
      <c r="J120" s="1" t="s">
        <v>780</v>
      </c>
      <c r="AZ120" s="1" t="s">
        <v>780</v>
      </c>
      <c r="BC120" s="1" t="s">
        <v>780</v>
      </c>
      <c r="BD120" s="1" t="s">
        <v>780</v>
      </c>
      <c r="FJ120" s="1" t="s">
        <v>780</v>
      </c>
      <c r="GY120" s="1" t="s">
        <v>780</v>
      </c>
      <c r="NM120" s="1" t="s">
        <v>780</v>
      </c>
      <c r="NN120" s="1" t="s">
        <v>780</v>
      </c>
      <c r="PA120" s="1" t="s">
        <v>780</v>
      </c>
      <c r="QF120" s="1">
        <f>SUM(D120:QE120)</f>
        <v>0</v>
      </c>
    </row>
    <row r="121" spans="1:472" ht="101.5" x14ac:dyDescent="0.35">
      <c r="A121" s="1" t="s">
        <v>861</v>
      </c>
      <c r="B121" s="1" t="s">
        <v>90</v>
      </c>
      <c r="C121" s="1" t="s">
        <v>899</v>
      </c>
      <c r="D121" s="1" t="s">
        <v>780</v>
      </c>
      <c r="E121" s="1" t="s">
        <v>780</v>
      </c>
      <c r="F121" s="1" t="s">
        <v>780</v>
      </c>
      <c r="G121" s="1" t="s">
        <v>780</v>
      </c>
      <c r="H121" s="1" t="s">
        <v>780</v>
      </c>
      <c r="AD121" s="1" t="s">
        <v>780</v>
      </c>
      <c r="AF121" s="1" t="s">
        <v>780</v>
      </c>
      <c r="IY121" s="1" t="s">
        <v>780</v>
      </c>
      <c r="JK121" s="1" t="s">
        <v>780</v>
      </c>
      <c r="JL121" s="1" t="s">
        <v>780</v>
      </c>
      <c r="NJ121" s="1" t="s">
        <v>780</v>
      </c>
      <c r="QF121" s="1" t="s">
        <v>780</v>
      </c>
      <c r="QG121" s="1" t="s">
        <v>780</v>
      </c>
      <c r="QH121" s="1" t="s">
        <v>780</v>
      </c>
      <c r="QI121" s="1" t="s">
        <v>780</v>
      </c>
      <c r="QK121" s="1" t="s">
        <v>780</v>
      </c>
      <c r="QL121" s="1" t="s">
        <v>780</v>
      </c>
      <c r="QM121" s="1" t="s">
        <v>780</v>
      </c>
      <c r="QN121" s="1" t="s">
        <v>780</v>
      </c>
      <c r="QO121" s="1" t="s">
        <v>780</v>
      </c>
      <c r="QP121" s="1" t="s">
        <v>780</v>
      </c>
      <c r="QQ121" s="1" t="s">
        <v>780</v>
      </c>
      <c r="QR121" s="1" t="s">
        <v>780</v>
      </c>
      <c r="QS121" s="1" t="s">
        <v>780</v>
      </c>
      <c r="QT121" s="1" t="s">
        <v>780</v>
      </c>
      <c r="QU121" s="1" t="s">
        <v>780</v>
      </c>
      <c r="QV121" s="1" t="s">
        <v>780</v>
      </c>
      <c r="QW121" s="1" t="s">
        <v>780</v>
      </c>
      <c r="QX121" s="1" t="s">
        <v>780</v>
      </c>
      <c r="QY121" s="1" t="s">
        <v>780</v>
      </c>
      <c r="QZ121" s="1" t="s">
        <v>780</v>
      </c>
      <c r="RA121" s="1" t="s">
        <v>780</v>
      </c>
    </row>
    <row r="122" spans="1:472" ht="58" x14ac:dyDescent="0.35">
      <c r="A122" s="1" t="s">
        <v>861</v>
      </c>
      <c r="B122" s="1" t="s">
        <v>90</v>
      </c>
      <c r="C122" s="1" t="s">
        <v>900</v>
      </c>
      <c r="D122" s="1" t="s">
        <v>780</v>
      </c>
      <c r="E122" s="1" t="s">
        <v>780</v>
      </c>
      <c r="F122" s="1" t="s">
        <v>780</v>
      </c>
      <c r="G122" s="1" t="s">
        <v>780</v>
      </c>
      <c r="H122" s="1" t="s">
        <v>780</v>
      </c>
      <c r="AD122" s="1" t="s">
        <v>780</v>
      </c>
      <c r="AF122" s="1" t="s">
        <v>780</v>
      </c>
      <c r="JK122" s="1" t="s">
        <v>780</v>
      </c>
      <c r="JL122" s="1" t="s">
        <v>780</v>
      </c>
      <c r="NJ122" s="1" t="s">
        <v>780</v>
      </c>
      <c r="QF122" s="1" t="s">
        <v>780</v>
      </c>
    </row>
    <row r="123" spans="1:472" ht="58" x14ac:dyDescent="0.35">
      <c r="A123" s="1" t="s">
        <v>861</v>
      </c>
      <c r="B123" s="1" t="s">
        <v>90</v>
      </c>
      <c r="C123" s="1" t="s">
        <v>901</v>
      </c>
      <c r="D123" s="1" t="s">
        <v>780</v>
      </c>
      <c r="E123" s="1" t="s">
        <v>780</v>
      </c>
      <c r="F123" s="1" t="s">
        <v>780</v>
      </c>
      <c r="G123" s="1" t="s">
        <v>780</v>
      </c>
      <c r="H123" s="1" t="s">
        <v>780</v>
      </c>
      <c r="I123" s="1" t="s">
        <v>780</v>
      </c>
      <c r="J123" s="1" t="s">
        <v>780</v>
      </c>
      <c r="K123" s="1" t="s">
        <v>780</v>
      </c>
      <c r="L123" s="1" t="s">
        <v>780</v>
      </c>
      <c r="M123" s="1" t="s">
        <v>780</v>
      </c>
      <c r="P123" s="1" t="s">
        <v>780</v>
      </c>
      <c r="Q123" s="1" t="s">
        <v>780</v>
      </c>
      <c r="AD123" s="1" t="s">
        <v>780</v>
      </c>
      <c r="AF123" s="1" t="s">
        <v>780</v>
      </c>
      <c r="IY123" s="1" t="s">
        <v>780</v>
      </c>
      <c r="JK123" s="1" t="s">
        <v>780</v>
      </c>
      <c r="JL123" s="1" t="s">
        <v>780</v>
      </c>
      <c r="NJ123" s="1" t="s">
        <v>780</v>
      </c>
      <c r="QD123" s="1" t="s">
        <v>780</v>
      </c>
      <c r="QF123" s="1" t="s">
        <v>780</v>
      </c>
      <c r="QG123" s="1" t="s">
        <v>780</v>
      </c>
      <c r="QH123" s="1" t="s">
        <v>780</v>
      </c>
      <c r="QI123" s="1" t="s">
        <v>780</v>
      </c>
      <c r="QK123" s="1" t="s">
        <v>780</v>
      </c>
      <c r="QL123" s="1" t="s">
        <v>780</v>
      </c>
      <c r="QM123" s="1" t="s">
        <v>780</v>
      </c>
      <c r="QN123" s="1" t="s">
        <v>780</v>
      </c>
      <c r="QO123" s="1" t="s">
        <v>780</v>
      </c>
      <c r="QP123" s="1" t="s">
        <v>780</v>
      </c>
      <c r="QQ123" s="1" t="s">
        <v>780</v>
      </c>
      <c r="QR123" s="1" t="s">
        <v>780</v>
      </c>
      <c r="QS123" s="1" t="s">
        <v>780</v>
      </c>
      <c r="QT123" s="1" t="s">
        <v>780</v>
      </c>
      <c r="QU123" s="1" t="s">
        <v>780</v>
      </c>
      <c r="QV123" s="1" t="s">
        <v>780</v>
      </c>
      <c r="QW123" s="1" t="s">
        <v>780</v>
      </c>
      <c r="QX123" s="1" t="s">
        <v>780</v>
      </c>
      <c r="QY123" s="1" t="s">
        <v>780</v>
      </c>
      <c r="QZ123" s="1" t="s">
        <v>780</v>
      </c>
      <c r="RA123" s="1" t="s">
        <v>780</v>
      </c>
    </row>
    <row r="124" spans="1:472" ht="58" x14ac:dyDescent="0.35">
      <c r="A124" s="1" t="s">
        <v>861</v>
      </c>
      <c r="B124" s="1" t="s">
        <v>72</v>
      </c>
      <c r="C124" s="1" t="s">
        <v>902</v>
      </c>
      <c r="D124" s="1" t="s">
        <v>780</v>
      </c>
      <c r="E124" s="1" t="s">
        <v>780</v>
      </c>
      <c r="F124" s="1" t="s">
        <v>780</v>
      </c>
      <c r="G124" s="1" t="s">
        <v>780</v>
      </c>
      <c r="H124" s="1" t="s">
        <v>780</v>
      </c>
      <c r="NK124" s="1" t="s">
        <v>780</v>
      </c>
      <c r="NQ124" s="1" t="s">
        <v>780</v>
      </c>
      <c r="NR124" s="1" t="s">
        <v>780</v>
      </c>
      <c r="NS124" s="1" t="s">
        <v>780</v>
      </c>
    </row>
    <row r="125" spans="1:472" ht="58" x14ac:dyDescent="0.35">
      <c r="A125" s="1" t="s">
        <v>861</v>
      </c>
      <c r="B125" s="1" t="s">
        <v>72</v>
      </c>
      <c r="C125" s="1" t="s">
        <v>903</v>
      </c>
      <c r="D125" s="1" t="s">
        <v>780</v>
      </c>
      <c r="E125" s="1" t="s">
        <v>780</v>
      </c>
      <c r="F125" s="1" t="s">
        <v>780</v>
      </c>
      <c r="G125" s="1" t="s">
        <v>780</v>
      </c>
      <c r="H125" s="1" t="s">
        <v>780</v>
      </c>
      <c r="I125" s="1" t="s">
        <v>780</v>
      </c>
      <c r="J125" s="1" t="s">
        <v>780</v>
      </c>
      <c r="K125" s="1" t="s">
        <v>780</v>
      </c>
      <c r="L125" s="1" t="s">
        <v>780</v>
      </c>
      <c r="M125" s="1" t="s">
        <v>780</v>
      </c>
      <c r="AD125" s="1" t="s">
        <v>780</v>
      </c>
      <c r="GH125" s="1" t="s">
        <v>780</v>
      </c>
      <c r="IY125" s="1" t="s">
        <v>780</v>
      </c>
      <c r="JK125" s="1" t="s">
        <v>780</v>
      </c>
      <c r="NJ125" s="1" t="s">
        <v>780</v>
      </c>
      <c r="NK125" s="1" t="s">
        <v>780</v>
      </c>
      <c r="NP125" s="1" t="s">
        <v>780</v>
      </c>
      <c r="NT125" s="1" t="s">
        <v>780</v>
      </c>
      <c r="NU125" s="1" t="s">
        <v>780</v>
      </c>
      <c r="NV125" s="1" t="s">
        <v>780</v>
      </c>
      <c r="NW125" s="1" t="s">
        <v>780</v>
      </c>
      <c r="NY125" s="1" t="s">
        <v>780</v>
      </c>
      <c r="OK125" s="1" t="s">
        <v>780</v>
      </c>
      <c r="OL125" s="1" t="s">
        <v>780</v>
      </c>
      <c r="OS125" s="1" t="s">
        <v>780</v>
      </c>
      <c r="OU125" s="1" t="s">
        <v>780</v>
      </c>
      <c r="OV125" s="1" t="s">
        <v>780</v>
      </c>
      <c r="OW125" s="1" t="s">
        <v>780</v>
      </c>
      <c r="PB125" s="1" t="s">
        <v>780</v>
      </c>
      <c r="PC125" s="1" t="s">
        <v>780</v>
      </c>
      <c r="PD125" s="1" t="s">
        <v>780</v>
      </c>
      <c r="PE125" s="1" t="s">
        <v>780</v>
      </c>
      <c r="PV125" s="1" t="s">
        <v>780</v>
      </c>
      <c r="PW125" s="1" t="s">
        <v>780</v>
      </c>
      <c r="QA125" s="1" t="s">
        <v>780</v>
      </c>
      <c r="RB125" s="1" t="s">
        <v>780</v>
      </c>
      <c r="RC125" s="1" t="s">
        <v>780</v>
      </c>
      <c r="RD125" s="1" t="s">
        <v>780</v>
      </c>
    </row>
    <row r="126" spans="1:472" ht="130.5" x14ac:dyDescent="0.35">
      <c r="A126" s="1" t="s">
        <v>861</v>
      </c>
      <c r="B126" s="1" t="s">
        <v>72</v>
      </c>
      <c r="C126" s="1" t="s">
        <v>904</v>
      </c>
      <c r="D126" s="1" t="s">
        <v>780</v>
      </c>
      <c r="E126" s="1" t="s">
        <v>780</v>
      </c>
      <c r="F126" s="1" t="s">
        <v>780</v>
      </c>
      <c r="G126" s="1" t="s">
        <v>780</v>
      </c>
      <c r="H126" s="1" t="s">
        <v>780</v>
      </c>
      <c r="I126" s="1" t="s">
        <v>780</v>
      </c>
      <c r="J126" s="1" t="s">
        <v>780</v>
      </c>
      <c r="K126" s="1" t="s">
        <v>780</v>
      </c>
      <c r="L126" s="1" t="s">
        <v>780</v>
      </c>
      <c r="M126" s="1" t="s">
        <v>780</v>
      </c>
      <c r="AD126" s="1" t="s">
        <v>780</v>
      </c>
      <c r="AF126" s="1" t="s">
        <v>780</v>
      </c>
      <c r="GH126" s="1" t="s">
        <v>780</v>
      </c>
      <c r="IY126" s="1" t="s">
        <v>780</v>
      </c>
      <c r="JK126" s="1" t="s">
        <v>780</v>
      </c>
      <c r="JL126" s="1" t="s">
        <v>780</v>
      </c>
      <c r="NJ126" s="1" t="s">
        <v>780</v>
      </c>
      <c r="NK126" s="1" t="s">
        <v>780</v>
      </c>
      <c r="NP126" s="1" t="s">
        <v>780</v>
      </c>
      <c r="NT126" s="1" t="s">
        <v>780</v>
      </c>
      <c r="NU126" s="1" t="s">
        <v>780</v>
      </c>
      <c r="NV126" s="1" t="s">
        <v>780</v>
      </c>
      <c r="NW126" s="1" t="s">
        <v>780</v>
      </c>
      <c r="NY126" s="1" t="s">
        <v>780</v>
      </c>
      <c r="OK126" s="1" t="s">
        <v>780</v>
      </c>
      <c r="OL126" s="1" t="s">
        <v>780</v>
      </c>
      <c r="OS126" s="1" t="s">
        <v>780</v>
      </c>
      <c r="OU126" s="1" t="s">
        <v>780</v>
      </c>
      <c r="OV126" s="1" t="s">
        <v>780</v>
      </c>
      <c r="OW126" s="1" t="s">
        <v>780</v>
      </c>
      <c r="PB126" s="1" t="s">
        <v>780</v>
      </c>
      <c r="PC126" s="1" t="s">
        <v>780</v>
      </c>
      <c r="PD126" s="1" t="s">
        <v>780</v>
      </c>
      <c r="PE126" s="1" t="s">
        <v>780</v>
      </c>
      <c r="PV126" s="1" t="s">
        <v>780</v>
      </c>
      <c r="PW126" s="1" t="s">
        <v>780</v>
      </c>
      <c r="QA126" s="1" t="s">
        <v>780</v>
      </c>
    </row>
    <row r="127" spans="1:472" ht="116" x14ac:dyDescent="0.35">
      <c r="A127" s="1" t="s">
        <v>861</v>
      </c>
      <c r="B127" s="1" t="s">
        <v>72</v>
      </c>
      <c r="C127" s="1" t="s">
        <v>905</v>
      </c>
      <c r="D127" s="1" t="s">
        <v>780</v>
      </c>
      <c r="E127" s="1" t="s">
        <v>780</v>
      </c>
      <c r="F127" s="1" t="s">
        <v>780</v>
      </c>
      <c r="G127" s="1" t="s">
        <v>780</v>
      </c>
      <c r="H127" s="1" t="s">
        <v>780</v>
      </c>
      <c r="AD127" s="1" t="s">
        <v>780</v>
      </c>
      <c r="AF127" s="1" t="s">
        <v>780</v>
      </c>
      <c r="GH127" s="1" t="s">
        <v>780</v>
      </c>
      <c r="IY127" s="1" t="s">
        <v>780</v>
      </c>
      <c r="JK127" s="1" t="s">
        <v>780</v>
      </c>
      <c r="JL127" s="1" t="s">
        <v>780</v>
      </c>
      <c r="NJ127" s="1" t="s">
        <v>780</v>
      </c>
      <c r="NK127" s="1" t="s">
        <v>780</v>
      </c>
      <c r="NP127" s="1" t="s">
        <v>780</v>
      </c>
      <c r="NT127" s="1" t="s">
        <v>780</v>
      </c>
      <c r="NU127" s="1" t="s">
        <v>780</v>
      </c>
      <c r="NV127" s="1" t="s">
        <v>780</v>
      </c>
      <c r="NW127" s="1" t="s">
        <v>780</v>
      </c>
      <c r="NY127" s="1" t="s">
        <v>780</v>
      </c>
      <c r="OK127" s="1" t="s">
        <v>780</v>
      </c>
      <c r="OL127" s="1" t="s">
        <v>780</v>
      </c>
      <c r="OS127" s="1" t="s">
        <v>780</v>
      </c>
      <c r="OU127" s="1" t="s">
        <v>780</v>
      </c>
      <c r="OV127" s="1" t="s">
        <v>780</v>
      </c>
      <c r="OW127" s="1" t="s">
        <v>780</v>
      </c>
      <c r="PB127" s="1" t="s">
        <v>780</v>
      </c>
      <c r="PC127" s="1" t="s">
        <v>780</v>
      </c>
      <c r="PD127" s="1" t="s">
        <v>780</v>
      </c>
      <c r="PE127" s="1" t="s">
        <v>780</v>
      </c>
      <c r="PV127" s="1" t="s">
        <v>780</v>
      </c>
      <c r="PW127" s="1" t="s">
        <v>780</v>
      </c>
      <c r="QA127" s="1" t="s">
        <v>780</v>
      </c>
    </row>
    <row r="128" spans="1:472" ht="101.5" x14ac:dyDescent="0.35">
      <c r="A128" s="1" t="s">
        <v>861</v>
      </c>
      <c r="B128" s="1" t="s">
        <v>83</v>
      </c>
      <c r="C128" s="1" t="s">
        <v>906</v>
      </c>
      <c r="D128" s="1" t="s">
        <v>780</v>
      </c>
      <c r="E128" s="1" t="s">
        <v>780</v>
      </c>
      <c r="F128" s="1" t="s">
        <v>780</v>
      </c>
      <c r="G128" s="1" t="s">
        <v>780</v>
      </c>
      <c r="H128" s="1" t="s">
        <v>780</v>
      </c>
      <c r="AR128" s="1" t="s">
        <v>780</v>
      </c>
      <c r="AX128" s="1" t="s">
        <v>780</v>
      </c>
      <c r="DU128" s="1" t="s">
        <v>780</v>
      </c>
      <c r="DV128" s="1" t="s">
        <v>780</v>
      </c>
      <c r="JO128" s="1" t="s">
        <v>780</v>
      </c>
      <c r="JP128" s="1" t="s">
        <v>780</v>
      </c>
      <c r="JQ128" s="1" t="s">
        <v>780</v>
      </c>
    </row>
    <row r="129" spans="1:533" ht="101.5" x14ac:dyDescent="0.35">
      <c r="A129" s="1" t="s">
        <v>861</v>
      </c>
      <c r="B129" s="1" t="s">
        <v>83</v>
      </c>
      <c r="C129" s="1" t="s">
        <v>869</v>
      </c>
      <c r="D129" s="1" t="s">
        <v>780</v>
      </c>
      <c r="E129" s="1" t="s">
        <v>780</v>
      </c>
      <c r="F129" s="1" t="s">
        <v>780</v>
      </c>
      <c r="G129" s="1" t="s">
        <v>780</v>
      </c>
      <c r="H129" s="1" t="s">
        <v>780</v>
      </c>
      <c r="AR129" s="1" t="s">
        <v>780</v>
      </c>
      <c r="AX129" s="1" t="s">
        <v>780</v>
      </c>
      <c r="DU129" s="1" t="s">
        <v>780</v>
      </c>
      <c r="DV129" s="1" t="s">
        <v>780</v>
      </c>
      <c r="GQ129" s="1" t="s">
        <v>780</v>
      </c>
      <c r="GR129" s="1" t="s">
        <v>780</v>
      </c>
      <c r="JM129" s="1" t="s">
        <v>780</v>
      </c>
      <c r="JN129" s="1" t="s">
        <v>780</v>
      </c>
      <c r="JR129" s="1" t="s">
        <v>780</v>
      </c>
    </row>
    <row r="130" spans="1:533" ht="58" x14ac:dyDescent="0.35">
      <c r="A130" s="1" t="s">
        <v>545</v>
      </c>
      <c r="B130" s="1" t="s">
        <v>88</v>
      </c>
      <c r="C130" s="2" t="s">
        <v>907</v>
      </c>
      <c r="D130" s="1" t="s">
        <v>780</v>
      </c>
      <c r="E130" s="1" t="s">
        <v>780</v>
      </c>
      <c r="F130" s="1" t="s">
        <v>780</v>
      </c>
      <c r="G130" s="1" t="s">
        <v>780</v>
      </c>
      <c r="H130" s="1" t="s">
        <v>780</v>
      </c>
      <c r="RN130" s="1" t="s">
        <v>780</v>
      </c>
      <c r="RO130" s="1" t="s">
        <v>780</v>
      </c>
      <c r="RP130" s="1" t="s">
        <v>780</v>
      </c>
      <c r="RQ130" s="1" t="s">
        <v>780</v>
      </c>
      <c r="RR130" s="1" t="s">
        <v>780</v>
      </c>
      <c r="RS130" s="1" t="s">
        <v>780</v>
      </c>
    </row>
    <row r="131" spans="1:533" ht="58" x14ac:dyDescent="0.35">
      <c r="A131" s="1" t="s">
        <v>545</v>
      </c>
      <c r="B131" s="1" t="s">
        <v>88</v>
      </c>
      <c r="C131" s="1" t="s">
        <v>908</v>
      </c>
      <c r="D131" s="1" t="s">
        <v>780</v>
      </c>
      <c r="E131" s="1" t="s">
        <v>780</v>
      </c>
      <c r="F131" s="1" t="s">
        <v>780</v>
      </c>
      <c r="G131" s="1" t="s">
        <v>780</v>
      </c>
      <c r="H131" s="1" t="s">
        <v>780</v>
      </c>
      <c r="RT131" s="1" t="s">
        <v>780</v>
      </c>
      <c r="RU131" s="1" t="s">
        <v>780</v>
      </c>
      <c r="RV131" s="1" t="s">
        <v>780</v>
      </c>
    </row>
    <row r="132" spans="1:533" ht="58" x14ac:dyDescent="0.35">
      <c r="A132" s="1" t="s">
        <v>545</v>
      </c>
      <c r="B132" s="1" t="s">
        <v>88</v>
      </c>
      <c r="C132" s="1" t="s">
        <v>909</v>
      </c>
      <c r="D132" s="1" t="s">
        <v>780</v>
      </c>
      <c r="E132" s="1" t="s">
        <v>780</v>
      </c>
      <c r="F132" s="1" t="s">
        <v>780</v>
      </c>
      <c r="G132" s="1" t="s">
        <v>780</v>
      </c>
      <c r="H132" s="1" t="s">
        <v>780</v>
      </c>
      <c r="RU132" s="1" t="s">
        <v>780</v>
      </c>
      <c r="RV132" s="1" t="s">
        <v>780</v>
      </c>
      <c r="RW132" s="1" t="s">
        <v>780</v>
      </c>
      <c r="RX132" s="1" t="s">
        <v>780</v>
      </c>
    </row>
    <row r="133" spans="1:533" ht="58" x14ac:dyDescent="0.35">
      <c r="A133" s="1" t="s">
        <v>545</v>
      </c>
      <c r="B133" s="1" t="s">
        <v>88</v>
      </c>
      <c r="C133" s="1" t="s">
        <v>910</v>
      </c>
      <c r="D133" s="1" t="s">
        <v>780</v>
      </c>
      <c r="E133" s="1" t="s">
        <v>780</v>
      </c>
      <c r="F133" s="1" t="s">
        <v>780</v>
      </c>
      <c r="G133" s="1" t="s">
        <v>780</v>
      </c>
      <c r="H133" s="1" t="s">
        <v>780</v>
      </c>
      <c r="AX133" s="1" t="s">
        <v>780</v>
      </c>
      <c r="RT133" s="1" t="s">
        <v>780</v>
      </c>
      <c r="RU133" s="1" t="s">
        <v>780</v>
      </c>
      <c r="RV133" s="1" t="s">
        <v>780</v>
      </c>
    </row>
    <row r="134" spans="1:533" ht="58" x14ac:dyDescent="0.35">
      <c r="A134" s="1" t="s">
        <v>545</v>
      </c>
      <c r="B134" s="1" t="s">
        <v>88</v>
      </c>
      <c r="C134" s="1" t="s">
        <v>911</v>
      </c>
      <c r="D134" s="1" t="s">
        <v>780</v>
      </c>
      <c r="E134" s="1" t="s">
        <v>780</v>
      </c>
      <c r="F134" s="1" t="s">
        <v>780</v>
      </c>
      <c r="G134" s="1" t="s">
        <v>780</v>
      </c>
      <c r="H134" s="1" t="s">
        <v>780</v>
      </c>
      <c r="I134" s="1" t="s">
        <v>780</v>
      </c>
      <c r="J134" s="1" t="s">
        <v>780</v>
      </c>
      <c r="RT134" s="1" t="s">
        <v>780</v>
      </c>
      <c r="RU134" s="1" t="s">
        <v>780</v>
      </c>
      <c r="RV134" s="1" t="s">
        <v>780</v>
      </c>
    </row>
    <row r="135" spans="1:533" ht="58" x14ac:dyDescent="0.35">
      <c r="A135" s="1" t="s">
        <v>545</v>
      </c>
      <c r="B135" s="1" t="s">
        <v>88</v>
      </c>
      <c r="C135" s="1" t="s">
        <v>912</v>
      </c>
      <c r="D135" s="1" t="s">
        <v>780</v>
      </c>
      <c r="E135" s="1" t="s">
        <v>780</v>
      </c>
      <c r="F135" s="1" t="s">
        <v>780</v>
      </c>
      <c r="G135" s="1" t="s">
        <v>780</v>
      </c>
      <c r="H135" s="1" t="s">
        <v>780</v>
      </c>
      <c r="AJ135" s="1" t="s">
        <v>780</v>
      </c>
      <c r="RT135" s="1" t="s">
        <v>780</v>
      </c>
      <c r="RU135" s="1" t="s">
        <v>780</v>
      </c>
      <c r="RV135" s="1" t="s">
        <v>780</v>
      </c>
    </row>
    <row r="136" spans="1:533" ht="58" x14ac:dyDescent="0.35">
      <c r="A136" s="1" t="s">
        <v>545</v>
      </c>
      <c r="B136" s="1" t="s">
        <v>88</v>
      </c>
      <c r="C136" s="1" t="s">
        <v>913</v>
      </c>
      <c r="D136" s="1" t="s">
        <v>780</v>
      </c>
      <c r="E136" s="1" t="s">
        <v>780</v>
      </c>
      <c r="F136" s="1" t="s">
        <v>780</v>
      </c>
      <c r="G136" s="1" t="s">
        <v>780</v>
      </c>
      <c r="H136" s="1" t="s">
        <v>780</v>
      </c>
      <c r="RT136" s="1" t="s">
        <v>780</v>
      </c>
      <c r="RU136" s="1" t="s">
        <v>780</v>
      </c>
      <c r="RV136" s="1" t="s">
        <v>780</v>
      </c>
      <c r="RY136" s="1" t="s">
        <v>780</v>
      </c>
    </row>
    <row r="137" spans="1:533" ht="87" x14ac:dyDescent="0.35">
      <c r="A137" s="1" t="s">
        <v>545</v>
      </c>
      <c r="B137" s="1" t="s">
        <v>88</v>
      </c>
      <c r="C137" s="1" t="s">
        <v>914</v>
      </c>
      <c r="D137" s="1" t="s">
        <v>780</v>
      </c>
      <c r="E137" s="1" t="s">
        <v>780</v>
      </c>
      <c r="F137" s="1" t="s">
        <v>780</v>
      </c>
      <c r="G137" s="1" t="s">
        <v>780</v>
      </c>
      <c r="H137" s="1" t="s">
        <v>780</v>
      </c>
      <c r="RU137" s="1" t="s">
        <v>780</v>
      </c>
      <c r="RV137" s="1" t="s">
        <v>780</v>
      </c>
      <c r="RZ137" s="1" t="s">
        <v>780</v>
      </c>
    </row>
    <row r="138" spans="1:533" ht="58" x14ac:dyDescent="0.35">
      <c r="A138" s="1" t="s">
        <v>545</v>
      </c>
      <c r="B138" s="1" t="s">
        <v>88</v>
      </c>
      <c r="C138" s="1" t="s">
        <v>915</v>
      </c>
      <c r="D138" s="1" t="s">
        <v>780</v>
      </c>
      <c r="E138" s="1" t="s">
        <v>780</v>
      </c>
      <c r="F138" s="1" t="s">
        <v>780</v>
      </c>
      <c r="G138" s="1" t="s">
        <v>780</v>
      </c>
      <c r="H138" s="1" t="s">
        <v>780</v>
      </c>
      <c r="SA138" s="1" t="s">
        <v>780</v>
      </c>
      <c r="SB138" s="1" t="s">
        <v>780</v>
      </c>
    </row>
    <row r="139" spans="1:533" ht="113.5" x14ac:dyDescent="0.35">
      <c r="A139" s="1" t="s">
        <v>545</v>
      </c>
      <c r="B139" s="1" t="s">
        <v>88</v>
      </c>
      <c r="C139" s="6" t="s">
        <v>916</v>
      </c>
      <c r="D139" s="1" t="s">
        <v>780</v>
      </c>
      <c r="E139" s="1" t="s">
        <v>780</v>
      </c>
      <c r="F139" s="1" t="s">
        <v>780</v>
      </c>
      <c r="G139" s="1" t="s">
        <v>780</v>
      </c>
      <c r="H139" s="1" t="s">
        <v>780</v>
      </c>
      <c r="I139" s="1" t="s">
        <v>780</v>
      </c>
      <c r="J139" s="1" t="s">
        <v>780</v>
      </c>
      <c r="AX139" s="1" t="s">
        <v>780</v>
      </c>
      <c r="BW139" s="1" t="s">
        <v>780</v>
      </c>
      <c r="SC139" s="1" t="s">
        <v>780</v>
      </c>
      <c r="SD139" s="1" t="s">
        <v>780</v>
      </c>
      <c r="SE139" s="1" t="s">
        <v>780</v>
      </c>
      <c r="SF139" s="1" t="s">
        <v>780</v>
      </c>
      <c r="SG139" s="1" t="s">
        <v>780</v>
      </c>
      <c r="SH139" s="1" t="s">
        <v>780</v>
      </c>
      <c r="SI139" s="1" t="s">
        <v>780</v>
      </c>
      <c r="SJ139" s="1" t="s">
        <v>780</v>
      </c>
      <c r="SK139" s="1" t="s">
        <v>780</v>
      </c>
      <c r="SL139" s="1" t="s">
        <v>780</v>
      </c>
      <c r="SM139" s="1" t="s">
        <v>780</v>
      </c>
      <c r="SN139" s="1" t="s">
        <v>780</v>
      </c>
    </row>
    <row r="140" spans="1:533" ht="101" x14ac:dyDescent="0.35">
      <c r="A140" s="6" t="s">
        <v>545</v>
      </c>
      <c r="B140" s="6" t="s">
        <v>66</v>
      </c>
      <c r="C140" s="6" t="s">
        <v>917</v>
      </c>
      <c r="D140" s="1" t="s">
        <v>780</v>
      </c>
      <c r="E140" s="1" t="s">
        <v>780</v>
      </c>
      <c r="F140" s="1" t="s">
        <v>780</v>
      </c>
      <c r="G140" s="1" t="s">
        <v>780</v>
      </c>
      <c r="H140" s="1" t="s">
        <v>780</v>
      </c>
      <c r="AI140" s="1" t="s">
        <v>780</v>
      </c>
      <c r="AX140" s="1" t="s">
        <v>780</v>
      </c>
      <c r="GS140" s="1" t="s">
        <v>780</v>
      </c>
      <c r="SC140" s="1" t="s">
        <v>780</v>
      </c>
      <c r="SI140" s="1" t="s">
        <v>780</v>
      </c>
      <c r="SJ140" s="1" t="s">
        <v>780</v>
      </c>
      <c r="SK140" s="1" t="s">
        <v>780</v>
      </c>
      <c r="SL140" s="1" t="s">
        <v>780</v>
      </c>
      <c r="SM140" s="1" t="s">
        <v>780</v>
      </c>
      <c r="SO140" s="1" t="s">
        <v>780</v>
      </c>
      <c r="SP140" s="1" t="s">
        <v>780</v>
      </c>
      <c r="SQ140" s="1" t="s">
        <v>780</v>
      </c>
      <c r="SR140" s="1" t="s">
        <v>780</v>
      </c>
      <c r="SS140" s="1" t="s">
        <v>780</v>
      </c>
      <c r="ST140" s="1" t="s">
        <v>780</v>
      </c>
      <c r="SU140" s="1" t="s">
        <v>780</v>
      </c>
      <c r="SV140" s="1" t="s">
        <v>780</v>
      </c>
      <c r="SW140" s="1" t="s">
        <v>780</v>
      </c>
      <c r="SX140" s="1" t="s">
        <v>780</v>
      </c>
      <c r="TB140" s="1" t="s">
        <v>780</v>
      </c>
      <c r="TC140" s="1" t="s">
        <v>780</v>
      </c>
      <c r="TM140" s="1">
        <f>SUM(D140:TC140)</f>
        <v>0</v>
      </c>
    </row>
    <row r="141" spans="1:533" ht="101" x14ac:dyDescent="0.35">
      <c r="A141" s="6" t="s">
        <v>545</v>
      </c>
      <c r="B141" s="6" t="s">
        <v>66</v>
      </c>
      <c r="C141" s="6" t="s">
        <v>917</v>
      </c>
      <c r="D141" s="1" t="s">
        <v>780</v>
      </c>
      <c r="E141" s="1" t="s">
        <v>780</v>
      </c>
      <c r="F141" s="1" t="s">
        <v>780</v>
      </c>
      <c r="G141" s="1" t="s">
        <v>780</v>
      </c>
      <c r="H141" s="1" t="s">
        <v>780</v>
      </c>
      <c r="AI141" s="1" t="s">
        <v>780</v>
      </c>
      <c r="AX141" s="1" t="s">
        <v>780</v>
      </c>
      <c r="GS141" s="1" t="s">
        <v>780</v>
      </c>
      <c r="SC141" s="1" t="s">
        <v>780</v>
      </c>
      <c r="SI141" s="1" t="s">
        <v>780</v>
      </c>
      <c r="SJ141" s="1" t="s">
        <v>780</v>
      </c>
      <c r="SK141" s="1" t="s">
        <v>780</v>
      </c>
      <c r="SL141" s="1" t="s">
        <v>780</v>
      </c>
      <c r="SM141" s="1" t="s">
        <v>780</v>
      </c>
      <c r="SO141" s="1" t="s">
        <v>780</v>
      </c>
      <c r="SP141" s="1" t="s">
        <v>780</v>
      </c>
      <c r="SQ141" s="1" t="s">
        <v>780</v>
      </c>
      <c r="SR141" s="1" t="s">
        <v>780</v>
      </c>
      <c r="SS141" s="1" t="s">
        <v>780</v>
      </c>
      <c r="ST141" s="1" t="s">
        <v>780</v>
      </c>
      <c r="SU141" s="1" t="s">
        <v>780</v>
      </c>
      <c r="SV141" s="1" t="s">
        <v>780</v>
      </c>
      <c r="SW141" s="1" t="s">
        <v>780</v>
      </c>
      <c r="SX141" s="1" t="s">
        <v>780</v>
      </c>
      <c r="TB141" s="1" t="s">
        <v>780</v>
      </c>
      <c r="TC141" s="1" t="s">
        <v>780</v>
      </c>
    </row>
    <row r="142" spans="1:533" ht="138.5" x14ac:dyDescent="0.35">
      <c r="A142" s="6" t="s">
        <v>545</v>
      </c>
      <c r="B142" s="6" t="s">
        <v>66</v>
      </c>
      <c r="C142" s="6" t="s">
        <v>918</v>
      </c>
      <c r="D142" s="1" t="s">
        <v>780</v>
      </c>
      <c r="E142" s="1" t="s">
        <v>780</v>
      </c>
      <c r="F142" s="1" t="s">
        <v>780</v>
      </c>
      <c r="G142" s="1" t="s">
        <v>780</v>
      </c>
      <c r="H142" s="1" t="s">
        <v>780</v>
      </c>
      <c r="AI142" s="1" t="s">
        <v>780</v>
      </c>
      <c r="GS142" s="1" t="s">
        <v>780</v>
      </c>
      <c r="SC142" s="1" t="s">
        <v>780</v>
      </c>
      <c r="SI142" s="1" t="s">
        <v>780</v>
      </c>
      <c r="SJ142" s="1" t="s">
        <v>780</v>
      </c>
      <c r="SU142" s="1" t="s">
        <v>780</v>
      </c>
      <c r="SV142" s="1" t="s">
        <v>780</v>
      </c>
      <c r="SW142" s="1" t="s">
        <v>780</v>
      </c>
      <c r="SX142" s="1" t="s">
        <v>780</v>
      </c>
      <c r="SY142" s="1" t="s">
        <v>780</v>
      </c>
      <c r="SZ142" s="1" t="s">
        <v>780</v>
      </c>
      <c r="TA142" s="1" t="s">
        <v>780</v>
      </c>
      <c r="TC142" s="1" t="s">
        <v>780</v>
      </c>
    </row>
    <row r="143" spans="1:533" ht="145" x14ac:dyDescent="0.35">
      <c r="A143" s="6" t="s">
        <v>545</v>
      </c>
      <c r="B143" s="6" t="s">
        <v>66</v>
      </c>
      <c r="C143" s="1" t="s">
        <v>919</v>
      </c>
      <c r="D143" s="1" t="s">
        <v>780</v>
      </c>
      <c r="E143" s="1" t="s">
        <v>780</v>
      </c>
      <c r="F143" s="1" t="s">
        <v>780</v>
      </c>
      <c r="G143" s="1" t="s">
        <v>780</v>
      </c>
      <c r="H143" s="1" t="s">
        <v>780</v>
      </c>
      <c r="I143" s="1" t="s">
        <v>780</v>
      </c>
      <c r="J143" s="1" t="s">
        <v>780</v>
      </c>
      <c r="T143" s="1" t="s">
        <v>780</v>
      </c>
      <c r="U143" s="1" t="s">
        <v>780</v>
      </c>
      <c r="AI143" s="1" t="s">
        <v>780</v>
      </c>
      <c r="AW143" s="1" t="s">
        <v>780</v>
      </c>
      <c r="AX143" s="1" t="s">
        <v>780</v>
      </c>
      <c r="BI143" s="1" t="s">
        <v>780</v>
      </c>
      <c r="BP143" s="1" t="s">
        <v>780</v>
      </c>
      <c r="BQ143" s="1" t="s">
        <v>780</v>
      </c>
      <c r="BU143" s="1" t="s">
        <v>780</v>
      </c>
      <c r="BW143" s="1" t="s">
        <v>780</v>
      </c>
      <c r="GS143" s="1" t="s">
        <v>780</v>
      </c>
      <c r="IM143" s="1" t="s">
        <v>780</v>
      </c>
      <c r="JL143" s="1" t="s">
        <v>780</v>
      </c>
      <c r="JR143" s="1" t="s">
        <v>780</v>
      </c>
      <c r="SC143" s="1" t="s">
        <v>780</v>
      </c>
      <c r="SF143" s="1" t="s">
        <v>780</v>
      </c>
      <c r="SI143" s="1" t="s">
        <v>780</v>
      </c>
      <c r="SJ143" s="1" t="s">
        <v>780</v>
      </c>
      <c r="SK143" s="1" t="s">
        <v>780</v>
      </c>
      <c r="SL143" s="1" t="s">
        <v>780</v>
      </c>
      <c r="SM143" s="1" t="s">
        <v>780</v>
      </c>
      <c r="SO143" s="1" t="s">
        <v>780</v>
      </c>
      <c r="SP143" s="1" t="s">
        <v>780</v>
      </c>
      <c r="SQ143" s="1" t="s">
        <v>780</v>
      </c>
      <c r="SR143" s="1" t="s">
        <v>780</v>
      </c>
      <c r="SS143" s="1" t="s">
        <v>780</v>
      </c>
      <c r="ST143" s="1" t="s">
        <v>780</v>
      </c>
      <c r="SU143" s="1" t="s">
        <v>780</v>
      </c>
      <c r="SV143" s="1" t="s">
        <v>780</v>
      </c>
      <c r="SW143" s="1" t="s">
        <v>780</v>
      </c>
      <c r="SX143" s="1" t="s">
        <v>780</v>
      </c>
      <c r="TC143" s="1" t="s">
        <v>780</v>
      </c>
    </row>
    <row r="144" spans="1:533" ht="116" x14ac:dyDescent="0.35">
      <c r="A144" s="6" t="s">
        <v>545</v>
      </c>
      <c r="B144" s="6" t="s">
        <v>66</v>
      </c>
      <c r="C144" s="1" t="s">
        <v>920</v>
      </c>
      <c r="D144" s="1" t="s">
        <v>780</v>
      </c>
      <c r="E144" s="1" t="s">
        <v>780</v>
      </c>
      <c r="F144" s="1" t="s">
        <v>780</v>
      </c>
      <c r="G144" s="1" t="s">
        <v>780</v>
      </c>
      <c r="H144" s="1" t="s">
        <v>780</v>
      </c>
      <c r="TD144" s="1" t="s">
        <v>780</v>
      </c>
      <c r="TE144" s="1" t="s">
        <v>780</v>
      </c>
      <c r="TF144" s="1" t="s">
        <v>780</v>
      </c>
      <c r="TG144" s="1" t="s">
        <v>780</v>
      </c>
      <c r="TH144" s="1" t="s">
        <v>780</v>
      </c>
      <c r="TI144" s="1" t="s">
        <v>780</v>
      </c>
    </row>
    <row r="145" spans="1:588" ht="88.5" x14ac:dyDescent="0.35">
      <c r="A145" s="6" t="s">
        <v>545</v>
      </c>
      <c r="B145" s="6" t="s">
        <v>66</v>
      </c>
      <c r="C145" s="6" t="s">
        <v>921</v>
      </c>
      <c r="D145" s="1" t="s">
        <v>780</v>
      </c>
      <c r="E145" s="1" t="s">
        <v>780</v>
      </c>
      <c r="F145" s="1" t="s">
        <v>780</v>
      </c>
      <c r="G145" s="1" t="s">
        <v>780</v>
      </c>
      <c r="H145" s="1" t="s">
        <v>780</v>
      </c>
      <c r="AX145" s="1" t="s">
        <v>780</v>
      </c>
      <c r="BI145" s="1" t="s">
        <v>780</v>
      </c>
      <c r="TJ145" s="1" t="s">
        <v>780</v>
      </c>
      <c r="TK145" s="1" t="s">
        <v>780</v>
      </c>
      <c r="TM145" s="1" t="s">
        <v>780</v>
      </c>
      <c r="TN145" s="1" t="s">
        <v>780</v>
      </c>
    </row>
    <row r="146" spans="1:588" ht="88.5" x14ac:dyDescent="0.35">
      <c r="A146" s="6" t="s">
        <v>545</v>
      </c>
      <c r="B146" s="6" t="s">
        <v>66</v>
      </c>
      <c r="C146" s="6" t="s">
        <v>922</v>
      </c>
      <c r="D146" s="1" t="s">
        <v>780</v>
      </c>
      <c r="E146" s="1" t="s">
        <v>780</v>
      </c>
      <c r="F146" s="1" t="s">
        <v>780</v>
      </c>
      <c r="G146" s="1" t="s">
        <v>780</v>
      </c>
      <c r="H146" s="1" t="s">
        <v>780</v>
      </c>
      <c r="AX146" s="1" t="s">
        <v>780</v>
      </c>
      <c r="BI146" s="1" t="s">
        <v>780</v>
      </c>
      <c r="TK146" s="1" t="s">
        <v>780</v>
      </c>
      <c r="TL146" s="1" t="s">
        <v>780</v>
      </c>
      <c r="TM146" s="1" t="s">
        <v>780</v>
      </c>
      <c r="TN146" s="1" t="s">
        <v>780</v>
      </c>
    </row>
    <row r="147" spans="1:588" ht="144.65" customHeight="1" x14ac:dyDescent="0.35">
      <c r="A147" s="6" t="s">
        <v>545</v>
      </c>
      <c r="B147" s="6" t="s">
        <v>66</v>
      </c>
      <c r="C147" s="6" t="s">
        <v>923</v>
      </c>
      <c r="D147" s="1" t="s">
        <v>780</v>
      </c>
      <c r="E147" s="1" t="s">
        <v>780</v>
      </c>
      <c r="F147" s="1" t="s">
        <v>780</v>
      </c>
      <c r="G147" s="1" t="s">
        <v>780</v>
      </c>
      <c r="H147" s="1" t="s">
        <v>780</v>
      </c>
      <c r="I147" s="1" t="s">
        <v>780</v>
      </c>
      <c r="J147" s="1" t="s">
        <v>780</v>
      </c>
      <c r="BI147" s="1" t="s">
        <v>780</v>
      </c>
      <c r="SC147" s="1" t="s">
        <v>780</v>
      </c>
      <c r="SW147" s="1" t="s">
        <v>780</v>
      </c>
      <c r="TM147" s="1" t="s">
        <v>780</v>
      </c>
      <c r="TO147" s="1" t="s">
        <v>780</v>
      </c>
      <c r="TP147" s="1" t="s">
        <v>780</v>
      </c>
      <c r="TQ147" s="1" t="s">
        <v>780</v>
      </c>
      <c r="TR147" s="1" t="s">
        <v>780</v>
      </c>
      <c r="TS147" s="1" t="s">
        <v>780</v>
      </c>
      <c r="TT147" s="1" t="s">
        <v>780</v>
      </c>
    </row>
    <row r="148" spans="1:588" ht="113.5" x14ac:dyDescent="0.35">
      <c r="A148" s="6" t="s">
        <v>545</v>
      </c>
      <c r="B148" s="6" t="s">
        <v>66</v>
      </c>
      <c r="C148" s="6" t="s">
        <v>924</v>
      </c>
      <c r="D148" s="1" t="s">
        <v>780</v>
      </c>
      <c r="E148" s="1" t="s">
        <v>780</v>
      </c>
      <c r="F148" s="1" t="s">
        <v>780</v>
      </c>
      <c r="G148" s="1" t="s">
        <v>780</v>
      </c>
      <c r="H148" s="1" t="s">
        <v>780</v>
      </c>
      <c r="R148" s="1" t="s">
        <v>780</v>
      </c>
      <c r="S148" s="1" t="s">
        <v>780</v>
      </c>
      <c r="BI148" s="1" t="s">
        <v>780</v>
      </c>
      <c r="SC148" s="1" t="s">
        <v>780</v>
      </c>
      <c r="TM148" s="1" t="s">
        <v>780</v>
      </c>
      <c r="TN148" s="1" t="s">
        <v>780</v>
      </c>
      <c r="TO148" s="1" t="s">
        <v>780</v>
      </c>
    </row>
    <row r="149" spans="1:588" ht="131.5" customHeight="1" x14ac:dyDescent="0.35">
      <c r="A149" s="6" t="s">
        <v>545</v>
      </c>
      <c r="B149" s="6" t="s">
        <v>66</v>
      </c>
      <c r="C149" s="6" t="s">
        <v>925</v>
      </c>
      <c r="D149" s="1" t="s">
        <v>780</v>
      </c>
      <c r="E149" s="1" t="s">
        <v>780</v>
      </c>
      <c r="F149" s="1" t="s">
        <v>780</v>
      </c>
      <c r="G149" s="1" t="s">
        <v>780</v>
      </c>
      <c r="H149" s="1" t="s">
        <v>780</v>
      </c>
      <c r="S149" s="1" t="s">
        <v>780</v>
      </c>
      <c r="AX149" s="1" t="s">
        <v>780</v>
      </c>
      <c r="BI149" s="1" t="s">
        <v>780</v>
      </c>
      <c r="BP149" s="1" t="s">
        <v>780</v>
      </c>
      <c r="BW149" s="1" t="s">
        <v>780</v>
      </c>
      <c r="IM149" s="1" t="s">
        <v>780</v>
      </c>
      <c r="SC149" s="1" t="s">
        <v>780</v>
      </c>
      <c r="SW149" s="1" t="s">
        <v>780</v>
      </c>
      <c r="TM149" s="1" t="s">
        <v>780</v>
      </c>
      <c r="TN149" s="1" t="s">
        <v>780</v>
      </c>
      <c r="TO149" s="1" t="s">
        <v>780</v>
      </c>
      <c r="TU149" s="1" t="s">
        <v>780</v>
      </c>
    </row>
    <row r="150" spans="1:588" ht="113.5" x14ac:dyDescent="0.35">
      <c r="A150" s="6" t="s">
        <v>545</v>
      </c>
      <c r="B150" s="6" t="s">
        <v>69</v>
      </c>
      <c r="C150" s="6" t="s">
        <v>926</v>
      </c>
      <c r="D150" s="1" t="s">
        <v>780</v>
      </c>
      <c r="E150" s="1" t="s">
        <v>780</v>
      </c>
      <c r="F150" s="1" t="s">
        <v>780</v>
      </c>
      <c r="G150" s="1" t="s">
        <v>780</v>
      </c>
      <c r="H150" s="1" t="s">
        <v>780</v>
      </c>
      <c r="I150" s="1" t="s">
        <v>780</v>
      </c>
      <c r="J150" s="1" t="s">
        <v>780</v>
      </c>
      <c r="R150" s="1" t="s">
        <v>780</v>
      </c>
      <c r="TV150" s="1" t="s">
        <v>780</v>
      </c>
      <c r="TW150" s="1" t="s">
        <v>780</v>
      </c>
    </row>
    <row r="151" spans="1:588" ht="113.5" x14ac:dyDescent="0.35">
      <c r="A151" s="6" t="s">
        <v>545</v>
      </c>
      <c r="B151" s="6" t="s">
        <v>69</v>
      </c>
      <c r="C151" s="6" t="s">
        <v>927</v>
      </c>
      <c r="D151" s="1" t="s">
        <v>780</v>
      </c>
      <c r="E151" s="1" t="s">
        <v>780</v>
      </c>
      <c r="F151" s="1" t="s">
        <v>780</v>
      </c>
      <c r="G151" s="1" t="s">
        <v>780</v>
      </c>
      <c r="H151" s="1" t="s">
        <v>780</v>
      </c>
      <c r="BI151" s="1" t="s">
        <v>780</v>
      </c>
      <c r="TV151" s="1" t="s">
        <v>780</v>
      </c>
      <c r="TX151" s="1" t="s">
        <v>780</v>
      </c>
      <c r="TY151" s="1" t="s">
        <v>780</v>
      </c>
      <c r="TZ151" s="1" t="s">
        <v>780</v>
      </c>
      <c r="UA151" s="1" t="s">
        <v>780</v>
      </c>
      <c r="UB151" s="1" t="s">
        <v>780</v>
      </c>
      <c r="UC151" s="1" t="s">
        <v>780</v>
      </c>
      <c r="UD151" s="1" t="s">
        <v>780</v>
      </c>
      <c r="UE151" s="1" t="s">
        <v>780</v>
      </c>
      <c r="UF151" s="1" t="s">
        <v>780</v>
      </c>
      <c r="UG151" s="1" t="s">
        <v>780</v>
      </c>
      <c r="UH151" s="1" t="s">
        <v>780</v>
      </c>
    </row>
    <row r="152" spans="1:588" ht="116" x14ac:dyDescent="0.35">
      <c r="A152" s="6" t="s">
        <v>545</v>
      </c>
      <c r="B152" s="6" t="s">
        <v>69</v>
      </c>
      <c r="C152" s="1" t="s">
        <v>928</v>
      </c>
      <c r="D152" s="1" t="s">
        <v>780</v>
      </c>
      <c r="E152" s="1" t="s">
        <v>780</v>
      </c>
      <c r="F152" s="1" t="s">
        <v>780</v>
      </c>
      <c r="G152" s="1" t="s">
        <v>780</v>
      </c>
      <c r="H152" s="1" t="s">
        <v>780</v>
      </c>
      <c r="BI152" s="1" t="s">
        <v>780</v>
      </c>
      <c r="SV152" s="1" t="s">
        <v>780</v>
      </c>
      <c r="SW152" s="1" t="s">
        <v>780</v>
      </c>
      <c r="SX152" s="1" t="s">
        <v>780</v>
      </c>
      <c r="UI152" s="1" t="s">
        <v>780</v>
      </c>
      <c r="UJ152" s="1" t="s">
        <v>780</v>
      </c>
      <c r="UK152" s="1" t="s">
        <v>780</v>
      </c>
      <c r="UL152" s="1" t="s">
        <v>780</v>
      </c>
      <c r="UM152" s="1" t="s">
        <v>780</v>
      </c>
    </row>
    <row r="153" spans="1:588" ht="113.5" x14ac:dyDescent="0.35">
      <c r="A153" s="6" t="s">
        <v>545</v>
      </c>
      <c r="B153" s="6" t="s">
        <v>69</v>
      </c>
      <c r="C153" s="6" t="s">
        <v>929</v>
      </c>
      <c r="D153" s="1" t="s">
        <v>780</v>
      </c>
      <c r="E153" s="1" t="s">
        <v>780</v>
      </c>
      <c r="F153" s="1" t="s">
        <v>780</v>
      </c>
      <c r="G153" s="1" t="s">
        <v>780</v>
      </c>
      <c r="H153" s="1" t="s">
        <v>780</v>
      </c>
      <c r="S153" s="1" t="s">
        <v>780</v>
      </c>
      <c r="SV153" s="1" t="s">
        <v>780</v>
      </c>
      <c r="SW153" s="1" t="s">
        <v>780</v>
      </c>
      <c r="SX153" s="1" t="s">
        <v>780</v>
      </c>
      <c r="UJ153" s="1" t="s">
        <v>780</v>
      </c>
      <c r="UM153" s="1" t="s">
        <v>780</v>
      </c>
      <c r="UN153" s="1" t="s">
        <v>780</v>
      </c>
      <c r="UO153" s="1" t="s">
        <v>780</v>
      </c>
    </row>
    <row r="154" spans="1:588" ht="126" x14ac:dyDescent="0.35">
      <c r="A154" s="6" t="s">
        <v>545</v>
      </c>
      <c r="B154" s="6" t="s">
        <v>69</v>
      </c>
      <c r="C154" s="6" t="s">
        <v>930</v>
      </c>
      <c r="D154" s="1" t="s">
        <v>780</v>
      </c>
      <c r="E154" s="1" t="s">
        <v>780</v>
      </c>
      <c r="F154" s="1" t="s">
        <v>780</v>
      </c>
      <c r="G154" s="1" t="s">
        <v>780</v>
      </c>
      <c r="H154" s="1" t="s">
        <v>780</v>
      </c>
      <c r="R154" s="1" t="s">
        <v>780</v>
      </c>
      <c r="TV154" s="1" t="s">
        <v>780</v>
      </c>
      <c r="UP154" s="1" t="s">
        <v>780</v>
      </c>
      <c r="UQ154" s="1" t="s">
        <v>780</v>
      </c>
      <c r="UR154" s="1" t="s">
        <v>780</v>
      </c>
      <c r="US154" s="1" t="s">
        <v>780</v>
      </c>
      <c r="UT154" s="1" t="s">
        <v>780</v>
      </c>
    </row>
    <row r="155" spans="1:588" ht="101" x14ac:dyDescent="0.35">
      <c r="A155" s="6" t="s">
        <v>545</v>
      </c>
      <c r="B155" s="6" t="s">
        <v>69</v>
      </c>
      <c r="C155" s="6" t="s">
        <v>931</v>
      </c>
      <c r="D155" s="1" t="s">
        <v>780</v>
      </c>
      <c r="E155" s="1" t="s">
        <v>780</v>
      </c>
      <c r="F155" s="1" t="s">
        <v>780</v>
      </c>
      <c r="G155" s="1" t="s">
        <v>780</v>
      </c>
      <c r="H155" s="1" t="s">
        <v>780</v>
      </c>
      <c r="BI155" s="1" t="s">
        <v>780</v>
      </c>
      <c r="SV155" s="1" t="s">
        <v>780</v>
      </c>
      <c r="SW155" s="1" t="s">
        <v>780</v>
      </c>
      <c r="SX155" s="1" t="s">
        <v>780</v>
      </c>
      <c r="UJ155" s="1" t="s">
        <v>780</v>
      </c>
      <c r="UM155" s="1" t="s">
        <v>780</v>
      </c>
      <c r="UN155" s="1" t="s">
        <v>780</v>
      </c>
      <c r="UO155" s="1" t="s">
        <v>780</v>
      </c>
      <c r="UU155" s="1" t="s">
        <v>780</v>
      </c>
      <c r="UV155" s="1" t="s">
        <v>780</v>
      </c>
      <c r="UW155" s="1" t="s">
        <v>780</v>
      </c>
      <c r="UX155" s="1" t="s">
        <v>780</v>
      </c>
      <c r="UY155" s="1" t="s">
        <v>780</v>
      </c>
      <c r="UZ155" s="1" t="s">
        <v>780</v>
      </c>
      <c r="VA155" s="1" t="s">
        <v>780</v>
      </c>
    </row>
    <row r="156" spans="1:588" ht="126" x14ac:dyDescent="0.35">
      <c r="A156" s="6" t="s">
        <v>545</v>
      </c>
      <c r="B156" s="6" t="s">
        <v>69</v>
      </c>
      <c r="C156" s="2" t="s">
        <v>932</v>
      </c>
      <c r="D156" s="1" t="s">
        <v>780</v>
      </c>
      <c r="E156" s="1" t="s">
        <v>780</v>
      </c>
      <c r="F156" s="1" t="s">
        <v>780</v>
      </c>
      <c r="G156" s="1" t="s">
        <v>780</v>
      </c>
      <c r="H156" s="1" t="s">
        <v>780</v>
      </c>
      <c r="BI156" s="1" t="s">
        <v>780</v>
      </c>
      <c r="VB156" s="1" t="s">
        <v>780</v>
      </c>
      <c r="VC156" s="1" t="s">
        <v>780</v>
      </c>
      <c r="VD156" s="1" t="s">
        <v>780</v>
      </c>
      <c r="VE156" s="1" t="s">
        <v>780</v>
      </c>
      <c r="VF156" s="1" t="s">
        <v>780</v>
      </c>
      <c r="VG156" s="1" t="s">
        <v>780</v>
      </c>
    </row>
    <row r="157" spans="1:588" ht="51" x14ac:dyDescent="0.35">
      <c r="A157" s="6" t="s">
        <v>545</v>
      </c>
      <c r="B157" s="6" t="s">
        <v>100</v>
      </c>
      <c r="C157" s="6" t="s">
        <v>933</v>
      </c>
      <c r="D157" s="1" t="s">
        <v>780</v>
      </c>
      <c r="E157" s="1" t="s">
        <v>780</v>
      </c>
      <c r="F157" s="1" t="s">
        <v>780</v>
      </c>
      <c r="G157" s="1" t="s">
        <v>780</v>
      </c>
      <c r="H157" s="1" t="s">
        <v>780</v>
      </c>
      <c r="AD157" s="1" t="s">
        <v>780</v>
      </c>
      <c r="AG157" s="1" t="s">
        <v>780</v>
      </c>
      <c r="VH157" s="1" t="s">
        <v>780</v>
      </c>
      <c r="VK157" s="1" t="s">
        <v>780</v>
      </c>
      <c r="VN157" s="1" t="s">
        <v>780</v>
      </c>
      <c r="VO157" s="1" t="s">
        <v>780</v>
      </c>
      <c r="VP157" s="1" t="s">
        <v>780</v>
      </c>
    </row>
    <row r="158" spans="1:588" ht="51" x14ac:dyDescent="0.35">
      <c r="A158" s="6" t="s">
        <v>545</v>
      </c>
      <c r="B158" s="6" t="s">
        <v>100</v>
      </c>
      <c r="C158" s="6" t="s">
        <v>934</v>
      </c>
      <c r="D158" s="1" t="s">
        <v>780</v>
      </c>
      <c r="E158" s="1" t="s">
        <v>780</v>
      </c>
      <c r="F158" s="1" t="s">
        <v>780</v>
      </c>
      <c r="G158" s="1" t="s">
        <v>780</v>
      </c>
      <c r="H158" s="1" t="s">
        <v>780</v>
      </c>
      <c r="I158" s="1" t="s">
        <v>780</v>
      </c>
      <c r="J158" s="1" t="s">
        <v>780</v>
      </c>
      <c r="K158" s="1" t="s">
        <v>780</v>
      </c>
      <c r="L158" s="1" t="s">
        <v>780</v>
      </c>
      <c r="M158" s="1" t="s">
        <v>780</v>
      </c>
      <c r="BS158" s="1" t="s">
        <v>780</v>
      </c>
      <c r="BT158" s="1" t="s">
        <v>780</v>
      </c>
      <c r="VH158" s="1" t="s">
        <v>780</v>
      </c>
      <c r="VK158" s="1" t="s">
        <v>780</v>
      </c>
      <c r="VN158" s="1" t="s">
        <v>780</v>
      </c>
      <c r="VO158" s="1" t="s">
        <v>780</v>
      </c>
      <c r="VP158" s="1" t="s">
        <v>780</v>
      </c>
    </row>
    <row r="159" spans="1:588" ht="51" x14ac:dyDescent="0.35">
      <c r="A159" s="6" t="s">
        <v>545</v>
      </c>
      <c r="B159" s="6" t="s">
        <v>100</v>
      </c>
      <c r="C159" s="6" t="s">
        <v>935</v>
      </c>
      <c r="D159" s="1" t="s">
        <v>780</v>
      </c>
      <c r="E159" s="1" t="s">
        <v>780</v>
      </c>
      <c r="F159" s="1" t="s">
        <v>780</v>
      </c>
      <c r="G159" s="1" t="s">
        <v>780</v>
      </c>
      <c r="H159" s="1" t="s">
        <v>780</v>
      </c>
      <c r="I159" s="1" t="s">
        <v>780</v>
      </c>
      <c r="J159" s="1" t="s">
        <v>780</v>
      </c>
      <c r="K159" s="1" t="s">
        <v>780</v>
      </c>
      <c r="L159" s="1" t="s">
        <v>780</v>
      </c>
      <c r="M159" s="1" t="s">
        <v>780</v>
      </c>
      <c r="BW159" s="1" t="s">
        <v>780</v>
      </c>
      <c r="VH159" s="1" t="s">
        <v>780</v>
      </c>
      <c r="VK159" s="1" t="s">
        <v>780</v>
      </c>
      <c r="VN159" s="1" t="s">
        <v>780</v>
      </c>
      <c r="VO159" s="1" t="s">
        <v>780</v>
      </c>
      <c r="VP159" s="1" t="s">
        <v>780</v>
      </c>
    </row>
    <row r="160" spans="1:588" ht="51" x14ac:dyDescent="0.35">
      <c r="A160" s="6" t="s">
        <v>545</v>
      </c>
      <c r="B160" s="6" t="s">
        <v>100</v>
      </c>
      <c r="C160" s="1" t="s">
        <v>936</v>
      </c>
      <c r="D160" s="1" t="s">
        <v>780</v>
      </c>
      <c r="E160" s="1" t="s">
        <v>780</v>
      </c>
      <c r="F160" s="1" t="s">
        <v>780</v>
      </c>
      <c r="G160" s="1" t="s">
        <v>780</v>
      </c>
      <c r="H160" s="1" t="s">
        <v>780</v>
      </c>
      <c r="I160" s="1" t="s">
        <v>780</v>
      </c>
      <c r="J160" s="1" t="s">
        <v>780</v>
      </c>
      <c r="K160" s="1" t="s">
        <v>780</v>
      </c>
      <c r="L160" s="1" t="s">
        <v>780</v>
      </c>
      <c r="M160" s="1" t="s">
        <v>780</v>
      </c>
      <c r="BX160" s="1" t="s">
        <v>780</v>
      </c>
      <c r="BY160" s="1" t="s">
        <v>780</v>
      </c>
      <c r="VH160" s="1" t="s">
        <v>780</v>
      </c>
      <c r="VI160" s="1" t="s">
        <v>780</v>
      </c>
      <c r="VJ160" s="1" t="s">
        <v>780</v>
      </c>
      <c r="VK160" s="1" t="s">
        <v>780</v>
      </c>
      <c r="VL160" s="1" t="s">
        <v>780</v>
      </c>
      <c r="VM160" s="1" t="s">
        <v>780</v>
      </c>
    </row>
    <row r="161" spans="1:615" ht="51" x14ac:dyDescent="0.35">
      <c r="A161" s="6" t="s">
        <v>545</v>
      </c>
      <c r="B161" s="6" t="s">
        <v>100</v>
      </c>
      <c r="C161" s="6" t="s">
        <v>937</v>
      </c>
      <c r="D161" s="1" t="s">
        <v>780</v>
      </c>
      <c r="E161" s="1" t="s">
        <v>780</v>
      </c>
      <c r="F161" s="1" t="s">
        <v>780</v>
      </c>
      <c r="G161" s="1" t="s">
        <v>780</v>
      </c>
      <c r="H161" s="1" t="s">
        <v>780</v>
      </c>
      <c r="AX161" s="1" t="s">
        <v>780</v>
      </c>
      <c r="BS161" s="1" t="s">
        <v>780</v>
      </c>
      <c r="BT161" s="1" t="s">
        <v>780</v>
      </c>
      <c r="BW161" s="1" t="s">
        <v>780</v>
      </c>
      <c r="VH161" s="1" t="s">
        <v>780</v>
      </c>
      <c r="VK161" s="1" t="s">
        <v>780</v>
      </c>
      <c r="VN161" s="1" t="s">
        <v>780</v>
      </c>
      <c r="VO161" s="1" t="s">
        <v>780</v>
      </c>
      <c r="VP161" s="1" t="s">
        <v>780</v>
      </c>
    </row>
    <row r="162" spans="1:615" ht="51" x14ac:dyDescent="0.35">
      <c r="A162" s="6" t="s">
        <v>545</v>
      </c>
      <c r="B162" s="6" t="s">
        <v>100</v>
      </c>
      <c r="C162" s="6" t="s">
        <v>938</v>
      </c>
      <c r="D162" s="1" t="s">
        <v>780</v>
      </c>
      <c r="E162" s="1" t="s">
        <v>780</v>
      </c>
      <c r="F162" s="1" t="s">
        <v>780</v>
      </c>
      <c r="G162" s="1" t="s">
        <v>780</v>
      </c>
      <c r="H162" s="1" t="s">
        <v>780</v>
      </c>
      <c r="I162" s="1" t="s">
        <v>780</v>
      </c>
      <c r="J162" s="1" t="s">
        <v>780</v>
      </c>
      <c r="AX162" s="1" t="s">
        <v>780</v>
      </c>
      <c r="BS162" s="1" t="s">
        <v>780</v>
      </c>
      <c r="BW162" s="1" t="s">
        <v>780</v>
      </c>
      <c r="VH162" s="1" t="s">
        <v>780</v>
      </c>
      <c r="VK162" s="1" t="s">
        <v>780</v>
      </c>
      <c r="VN162" s="1" t="s">
        <v>780</v>
      </c>
      <c r="VO162" s="1" t="s">
        <v>780</v>
      </c>
      <c r="VP162" s="1" t="s">
        <v>780</v>
      </c>
    </row>
    <row r="163" spans="1:615" ht="51" x14ac:dyDescent="0.35">
      <c r="A163" s="6" t="s">
        <v>545</v>
      </c>
      <c r="B163" s="6" t="s">
        <v>100</v>
      </c>
      <c r="C163" s="6" t="s">
        <v>939</v>
      </c>
      <c r="D163" s="1" t="s">
        <v>780</v>
      </c>
      <c r="E163" s="1" t="s">
        <v>780</v>
      </c>
      <c r="F163" s="1" t="s">
        <v>780</v>
      </c>
      <c r="G163" s="1" t="s">
        <v>780</v>
      </c>
      <c r="H163" s="1" t="s">
        <v>780</v>
      </c>
      <c r="I163" s="1" t="s">
        <v>780</v>
      </c>
      <c r="J163" s="1" t="s">
        <v>780</v>
      </c>
      <c r="K163" s="1" t="s">
        <v>780</v>
      </c>
      <c r="L163" s="1" t="s">
        <v>780</v>
      </c>
      <c r="M163" s="1" t="s">
        <v>780</v>
      </c>
      <c r="AX163" s="1" t="s">
        <v>780</v>
      </c>
      <c r="VH163" s="1" t="s">
        <v>780</v>
      </c>
      <c r="VK163" s="1" t="s">
        <v>780</v>
      </c>
      <c r="VN163" s="1" t="s">
        <v>780</v>
      </c>
      <c r="VO163" s="1" t="s">
        <v>780</v>
      </c>
      <c r="VP163" s="1" t="s">
        <v>780</v>
      </c>
    </row>
    <row r="164" spans="1:615" ht="51" x14ac:dyDescent="0.35">
      <c r="A164" s="6" t="s">
        <v>545</v>
      </c>
      <c r="B164" s="6" t="s">
        <v>100</v>
      </c>
      <c r="C164" s="6" t="s">
        <v>940</v>
      </c>
      <c r="D164" s="1" t="s">
        <v>780</v>
      </c>
      <c r="E164" s="1" t="s">
        <v>780</v>
      </c>
      <c r="F164" s="1" t="s">
        <v>780</v>
      </c>
      <c r="G164" s="1" t="s">
        <v>780</v>
      </c>
      <c r="H164" s="1" t="s">
        <v>780</v>
      </c>
      <c r="BX164" s="1" t="s">
        <v>788</v>
      </c>
      <c r="VQ164" s="1" t="s">
        <v>788</v>
      </c>
      <c r="VR164" s="1" t="s">
        <v>788</v>
      </c>
      <c r="VS164" s="1" t="s">
        <v>788</v>
      </c>
      <c r="VT164" s="1" t="s">
        <v>788</v>
      </c>
      <c r="VU164" s="1" t="s">
        <v>788</v>
      </c>
    </row>
    <row r="165" spans="1:615" ht="51" x14ac:dyDescent="0.35">
      <c r="A165" s="6" t="s">
        <v>545</v>
      </c>
      <c r="B165" s="6" t="s">
        <v>100</v>
      </c>
      <c r="C165" s="1" t="s">
        <v>941</v>
      </c>
      <c r="D165" s="1" t="s">
        <v>780</v>
      </c>
      <c r="E165" s="1" t="s">
        <v>780</v>
      </c>
      <c r="F165" s="1" t="s">
        <v>780</v>
      </c>
      <c r="G165" s="1" t="s">
        <v>780</v>
      </c>
      <c r="H165" s="1" t="s">
        <v>780</v>
      </c>
      <c r="RE165" s="1" t="s">
        <v>780</v>
      </c>
      <c r="RG165" s="1" t="s">
        <v>780</v>
      </c>
      <c r="VH165" s="1" t="s">
        <v>780</v>
      </c>
      <c r="VK165" s="1" t="s">
        <v>780</v>
      </c>
      <c r="VN165" s="1" t="s">
        <v>780</v>
      </c>
      <c r="VO165" s="1" t="s">
        <v>780</v>
      </c>
      <c r="VP165" s="1" t="s">
        <v>780</v>
      </c>
    </row>
    <row r="166" spans="1:615" ht="51" x14ac:dyDescent="0.35">
      <c r="A166" s="6" t="s">
        <v>545</v>
      </c>
      <c r="B166" s="6" t="s">
        <v>100</v>
      </c>
      <c r="C166" s="1" t="s">
        <v>942</v>
      </c>
      <c r="D166" s="1" t="s">
        <v>780</v>
      </c>
      <c r="E166" s="1" t="s">
        <v>780</v>
      </c>
      <c r="F166" s="1" t="s">
        <v>780</v>
      </c>
      <c r="G166" s="1" t="s">
        <v>780</v>
      </c>
      <c r="H166" s="1" t="s">
        <v>780</v>
      </c>
      <c r="RG166" s="1">
        <f>IF(ISERROR(HLOOKUP(RG2,[1]school_type_gap!$A$1:$L$1,1,FALSE)),0,1)</f>
        <v>1</v>
      </c>
      <c r="VL166" s="1" t="s">
        <v>780</v>
      </c>
      <c r="VM166" s="1" t="s">
        <v>780</v>
      </c>
      <c r="VV166" s="1" t="s">
        <v>780</v>
      </c>
      <c r="VW166" s="1" t="s">
        <v>780</v>
      </c>
      <c r="VX166" s="1" t="s">
        <v>780</v>
      </c>
      <c r="VY166" s="1" t="s">
        <v>780</v>
      </c>
    </row>
    <row r="167" spans="1:615" ht="51" x14ac:dyDescent="0.35">
      <c r="A167" s="6" t="s">
        <v>545</v>
      </c>
      <c r="B167" s="6" t="s">
        <v>100</v>
      </c>
      <c r="C167" s="6" t="s">
        <v>943</v>
      </c>
      <c r="D167" s="1" t="s">
        <v>780</v>
      </c>
      <c r="E167" s="1" t="s">
        <v>780</v>
      </c>
      <c r="F167" s="1" t="s">
        <v>780</v>
      </c>
      <c r="G167" s="1" t="s">
        <v>780</v>
      </c>
      <c r="H167" s="1" t="s">
        <v>780</v>
      </c>
      <c r="I167" s="1" t="s">
        <v>780</v>
      </c>
      <c r="J167" s="1" t="s">
        <v>780</v>
      </c>
      <c r="K167" s="1" t="s">
        <v>780</v>
      </c>
      <c r="L167" s="1" t="s">
        <v>780</v>
      </c>
      <c r="M167" s="1" t="s">
        <v>780</v>
      </c>
      <c r="VH167" s="1" t="s">
        <v>780</v>
      </c>
      <c r="VK167" s="1" t="s">
        <v>780</v>
      </c>
      <c r="VN167" s="1" t="s">
        <v>780</v>
      </c>
      <c r="VO167" s="1" t="s">
        <v>780</v>
      </c>
      <c r="VP167" s="1" t="s">
        <v>780</v>
      </c>
      <c r="VZ167" s="1" t="s">
        <v>780</v>
      </c>
    </row>
    <row r="168" spans="1:615" ht="51" x14ac:dyDescent="0.35">
      <c r="A168" s="6" t="s">
        <v>545</v>
      </c>
      <c r="B168" s="6" t="s">
        <v>100</v>
      </c>
      <c r="C168" s="6" t="s">
        <v>944</v>
      </c>
      <c r="D168" s="1" t="s">
        <v>780</v>
      </c>
      <c r="E168" s="1" t="s">
        <v>780</v>
      </c>
      <c r="F168" s="1" t="s">
        <v>780</v>
      </c>
      <c r="G168" s="1" t="s">
        <v>780</v>
      </c>
      <c r="H168" s="1" t="s">
        <v>780</v>
      </c>
      <c r="FH168" s="1" t="s">
        <v>780</v>
      </c>
      <c r="FI168" s="1" t="s">
        <v>780</v>
      </c>
      <c r="WA168" s="1" t="s">
        <v>780</v>
      </c>
      <c r="WB168" s="1" t="s">
        <v>780</v>
      </c>
    </row>
    <row r="169" spans="1:615" ht="63.5" x14ac:dyDescent="0.35">
      <c r="A169" s="6" t="s">
        <v>545</v>
      </c>
      <c r="B169" s="6" t="s">
        <v>100</v>
      </c>
      <c r="C169" s="6" t="s">
        <v>945</v>
      </c>
      <c r="D169" s="1" t="s">
        <v>780</v>
      </c>
      <c r="E169" s="1" t="s">
        <v>780</v>
      </c>
      <c r="F169" s="1" t="s">
        <v>780</v>
      </c>
      <c r="G169" s="1" t="s">
        <v>780</v>
      </c>
      <c r="H169" s="1" t="s">
        <v>780</v>
      </c>
      <c r="RE169" s="1" t="s">
        <v>780</v>
      </c>
      <c r="VH169" s="1" t="s">
        <v>780</v>
      </c>
      <c r="VN169" s="1" t="s">
        <v>780</v>
      </c>
      <c r="WC169" s="1" t="s">
        <v>780</v>
      </c>
      <c r="WD169" s="1" t="s">
        <v>780</v>
      </c>
    </row>
    <row r="170" spans="1:615" ht="38.5" x14ac:dyDescent="0.35">
      <c r="A170" s="6" t="s">
        <v>545</v>
      </c>
      <c r="B170" s="6" t="s">
        <v>61</v>
      </c>
      <c r="C170" s="6" t="s">
        <v>946</v>
      </c>
      <c r="D170" s="1" t="s">
        <v>780</v>
      </c>
      <c r="E170" s="1" t="s">
        <v>780</v>
      </c>
      <c r="F170" s="1" t="s">
        <v>780</v>
      </c>
      <c r="G170" s="1" t="s">
        <v>780</v>
      </c>
      <c r="H170" s="1" t="s">
        <v>780</v>
      </c>
      <c r="WJ170" s="1" t="s">
        <v>780</v>
      </c>
      <c r="WK170" s="1" t="s">
        <v>780</v>
      </c>
      <c r="WL170" s="1" t="s">
        <v>780</v>
      </c>
      <c r="WM170" s="1" t="s">
        <v>780</v>
      </c>
      <c r="WN170" s="1" t="s">
        <v>780</v>
      </c>
      <c r="WO170" s="1" t="s">
        <v>780</v>
      </c>
    </row>
    <row r="171" spans="1:615" ht="72.5" x14ac:dyDescent="0.35">
      <c r="A171" s="6" t="s">
        <v>545</v>
      </c>
      <c r="B171" s="1" t="s">
        <v>61</v>
      </c>
      <c r="C171" s="1" t="s">
        <v>947</v>
      </c>
      <c r="D171" s="1" t="s">
        <v>780</v>
      </c>
      <c r="E171" s="1" t="s">
        <v>780</v>
      </c>
      <c r="F171" s="1" t="s">
        <v>780</v>
      </c>
      <c r="G171" s="1" t="s">
        <v>780</v>
      </c>
      <c r="H171" s="1" t="s">
        <v>780</v>
      </c>
      <c r="AJ171" s="1" t="s">
        <v>780</v>
      </c>
      <c r="AS171" s="1" t="s">
        <v>780</v>
      </c>
      <c r="JR171" s="1" t="s">
        <v>780</v>
      </c>
      <c r="WE171" s="1" t="s">
        <v>780</v>
      </c>
      <c r="WF171" s="1" t="s">
        <v>780</v>
      </c>
      <c r="WG171" s="1" t="s">
        <v>780</v>
      </c>
    </row>
    <row r="172" spans="1:615" ht="51" x14ac:dyDescent="0.35">
      <c r="A172" s="6" t="s">
        <v>545</v>
      </c>
      <c r="B172" s="6" t="s">
        <v>61</v>
      </c>
      <c r="C172" s="6" t="s">
        <v>948</v>
      </c>
      <c r="D172" s="1" t="s">
        <v>780</v>
      </c>
      <c r="E172" s="1" t="s">
        <v>780</v>
      </c>
      <c r="F172" s="1" t="s">
        <v>780</v>
      </c>
      <c r="G172" s="1" t="s">
        <v>780</v>
      </c>
      <c r="H172" s="1" t="s">
        <v>780</v>
      </c>
      <c r="AK172" s="1" t="s">
        <v>780</v>
      </c>
      <c r="BN172" s="1" t="s">
        <v>780</v>
      </c>
      <c r="WF172" s="1" t="s">
        <v>780</v>
      </c>
      <c r="WG172" s="1" t="s">
        <v>780</v>
      </c>
      <c r="WJ172" s="1" t="s">
        <v>780</v>
      </c>
    </row>
    <row r="173" spans="1:615" ht="51" x14ac:dyDescent="0.35">
      <c r="A173" s="6" t="s">
        <v>545</v>
      </c>
      <c r="B173" s="6" t="s">
        <v>61</v>
      </c>
      <c r="C173" s="6" t="s">
        <v>949</v>
      </c>
      <c r="D173" s="1" t="s">
        <v>780</v>
      </c>
      <c r="E173" s="1" t="s">
        <v>780</v>
      </c>
      <c r="F173" s="1" t="s">
        <v>780</v>
      </c>
      <c r="G173" s="1" t="s">
        <v>780</v>
      </c>
      <c r="H173" s="1" t="s">
        <v>780</v>
      </c>
      <c r="AJ173" s="1" t="s">
        <v>780</v>
      </c>
      <c r="BP173" s="1" t="s">
        <v>780</v>
      </c>
      <c r="WE173" s="1" t="s">
        <v>780</v>
      </c>
      <c r="WF173" s="1" t="s">
        <v>780</v>
      </c>
      <c r="WG173" s="1" t="s">
        <v>780</v>
      </c>
    </row>
    <row r="174" spans="1:615" ht="63.5" x14ac:dyDescent="0.35">
      <c r="A174" s="6" t="s">
        <v>545</v>
      </c>
      <c r="B174" s="6" t="s">
        <v>61</v>
      </c>
      <c r="C174" s="6" t="s">
        <v>950</v>
      </c>
      <c r="D174" s="1" t="s">
        <v>780</v>
      </c>
      <c r="E174" s="1" t="s">
        <v>780</v>
      </c>
      <c r="F174" s="1" t="s">
        <v>780</v>
      </c>
      <c r="G174" s="1" t="s">
        <v>780</v>
      </c>
      <c r="H174" s="1" t="s">
        <v>780</v>
      </c>
      <c r="AJ174" s="1" t="s">
        <v>780</v>
      </c>
      <c r="WE174" s="1" t="s">
        <v>780</v>
      </c>
      <c r="WF174" s="1" t="s">
        <v>780</v>
      </c>
      <c r="WG174" s="1" t="s">
        <v>780</v>
      </c>
      <c r="WP174" s="1" t="s">
        <v>780</v>
      </c>
    </row>
    <row r="175" spans="1:615" ht="51" x14ac:dyDescent="0.35">
      <c r="A175" s="6" t="s">
        <v>545</v>
      </c>
      <c r="B175" s="6" t="s">
        <v>61</v>
      </c>
      <c r="C175" s="6" t="s">
        <v>951</v>
      </c>
      <c r="D175" s="1" t="s">
        <v>780</v>
      </c>
      <c r="E175" s="1" t="s">
        <v>780</v>
      </c>
      <c r="F175" s="1" t="s">
        <v>780</v>
      </c>
      <c r="G175" s="1" t="s">
        <v>780</v>
      </c>
      <c r="H175" s="1" t="s">
        <v>780</v>
      </c>
      <c r="AJ175" s="1" t="s">
        <v>780</v>
      </c>
      <c r="JR175" s="1" t="s">
        <v>780</v>
      </c>
      <c r="WE175" s="1" t="s">
        <v>780</v>
      </c>
      <c r="WF175" s="1" t="s">
        <v>780</v>
      </c>
      <c r="WG175" s="1" t="s">
        <v>780</v>
      </c>
    </row>
    <row r="176" spans="1:615" ht="63.5" x14ac:dyDescent="0.35">
      <c r="A176" s="6" t="s">
        <v>545</v>
      </c>
      <c r="B176" s="6" t="s">
        <v>61</v>
      </c>
      <c r="C176" s="6" t="s">
        <v>952</v>
      </c>
      <c r="D176" s="1" t="s">
        <v>780</v>
      </c>
      <c r="E176" s="1" t="s">
        <v>780</v>
      </c>
      <c r="F176" s="1" t="s">
        <v>780</v>
      </c>
      <c r="G176" s="1" t="s">
        <v>780</v>
      </c>
      <c r="H176" s="1" t="s">
        <v>780</v>
      </c>
      <c r="AJ176" s="1" t="s">
        <v>780</v>
      </c>
      <c r="JR176" s="1" t="s">
        <v>780</v>
      </c>
      <c r="WE176" s="1" t="s">
        <v>780</v>
      </c>
      <c r="WF176" s="1" t="s">
        <v>780</v>
      </c>
      <c r="WG176" s="1" t="s">
        <v>780</v>
      </c>
      <c r="WQ176" s="1" t="s">
        <v>780</v>
      </c>
    </row>
    <row r="177" spans="1:619" ht="63.5" x14ac:dyDescent="0.35">
      <c r="A177" s="6" t="s">
        <v>545</v>
      </c>
      <c r="B177" s="6" t="s">
        <v>61</v>
      </c>
      <c r="C177" s="6" t="s">
        <v>953</v>
      </c>
      <c r="D177" s="1" t="s">
        <v>780</v>
      </c>
      <c r="E177" s="1" t="s">
        <v>780</v>
      </c>
      <c r="F177" s="1" t="s">
        <v>780</v>
      </c>
      <c r="G177" s="1" t="s">
        <v>780</v>
      </c>
      <c r="H177" s="1" t="s">
        <v>780</v>
      </c>
      <c r="AJ177" s="1" t="s">
        <v>780</v>
      </c>
      <c r="WE177" s="1" t="s">
        <v>780</v>
      </c>
      <c r="WF177" s="1" t="s">
        <v>780</v>
      </c>
      <c r="WG177" s="1" t="s">
        <v>780</v>
      </c>
      <c r="WR177" s="1" t="s">
        <v>780</v>
      </c>
    </row>
    <row r="178" spans="1:619" ht="51" x14ac:dyDescent="0.35">
      <c r="A178" s="6" t="s">
        <v>545</v>
      </c>
      <c r="B178" s="6" t="s">
        <v>61</v>
      </c>
      <c r="C178" s="6" t="s">
        <v>954</v>
      </c>
      <c r="D178" s="1" t="s">
        <v>780</v>
      </c>
      <c r="E178" s="1" t="s">
        <v>780</v>
      </c>
      <c r="F178" s="1" t="s">
        <v>780</v>
      </c>
      <c r="G178" s="1" t="s">
        <v>780</v>
      </c>
      <c r="H178" s="1" t="s">
        <v>780</v>
      </c>
      <c r="I178" s="1" t="s">
        <v>780</v>
      </c>
      <c r="J178" s="1" t="s">
        <v>780</v>
      </c>
      <c r="AJ178" s="1" t="s">
        <v>780</v>
      </c>
      <c r="WE178" s="1" t="s">
        <v>780</v>
      </c>
      <c r="WF178" s="1" t="s">
        <v>780</v>
      </c>
      <c r="WG178" s="1" t="s">
        <v>780</v>
      </c>
    </row>
    <row r="179" spans="1:619" ht="38.5" x14ac:dyDescent="0.35">
      <c r="A179" s="6" t="s">
        <v>545</v>
      </c>
      <c r="B179" s="6" t="s">
        <v>61</v>
      </c>
      <c r="C179" s="6" t="s">
        <v>955</v>
      </c>
      <c r="D179" s="1" t="s">
        <v>780</v>
      </c>
      <c r="E179" s="1" t="s">
        <v>780</v>
      </c>
      <c r="F179" s="1" t="s">
        <v>780</v>
      </c>
      <c r="G179" s="1" t="s">
        <v>780</v>
      </c>
      <c r="H179" s="1" t="s">
        <v>780</v>
      </c>
      <c r="AJ179" s="1" t="s">
        <v>780</v>
      </c>
      <c r="AX179" s="1" t="s">
        <v>780</v>
      </c>
      <c r="WE179" s="1" t="s">
        <v>780</v>
      </c>
      <c r="WF179" s="1" t="s">
        <v>780</v>
      </c>
      <c r="WG179" s="1" t="s">
        <v>780</v>
      </c>
    </row>
    <row r="180" spans="1:619" ht="76" x14ac:dyDescent="0.35">
      <c r="A180" s="6" t="s">
        <v>545</v>
      </c>
      <c r="B180" s="6" t="s">
        <v>61</v>
      </c>
      <c r="C180" s="6" t="s">
        <v>956</v>
      </c>
      <c r="D180" s="1" t="s">
        <v>780</v>
      </c>
      <c r="E180" s="1" t="s">
        <v>780</v>
      </c>
      <c r="F180" s="1" t="s">
        <v>780</v>
      </c>
      <c r="G180" s="1" t="s">
        <v>780</v>
      </c>
      <c r="H180" s="1" t="s">
        <v>780</v>
      </c>
      <c r="AJ180" s="1" t="s">
        <v>780</v>
      </c>
      <c r="WE180" s="1" t="s">
        <v>780</v>
      </c>
      <c r="WF180" s="1" t="s">
        <v>780</v>
      </c>
      <c r="WG180" s="1" t="s">
        <v>780</v>
      </c>
      <c r="WS180" s="1" t="s">
        <v>780</v>
      </c>
    </row>
    <row r="181" spans="1:619" ht="76" x14ac:dyDescent="0.35">
      <c r="A181" s="6" t="s">
        <v>545</v>
      </c>
      <c r="B181" s="6" t="s">
        <v>61</v>
      </c>
      <c r="C181" s="6" t="s">
        <v>957</v>
      </c>
      <c r="D181" s="1" t="s">
        <v>780</v>
      </c>
      <c r="E181" s="1" t="s">
        <v>780</v>
      </c>
      <c r="F181" s="1" t="s">
        <v>780</v>
      </c>
      <c r="G181" s="1" t="s">
        <v>780</v>
      </c>
      <c r="H181" s="1" t="s">
        <v>780</v>
      </c>
      <c r="AJ181" s="1" t="s">
        <v>780</v>
      </c>
      <c r="WE181" s="1" t="s">
        <v>780</v>
      </c>
      <c r="WF181" s="1" t="s">
        <v>780</v>
      </c>
      <c r="WG181" s="1" t="s">
        <v>780</v>
      </c>
      <c r="WT181" s="1" t="s">
        <v>780</v>
      </c>
    </row>
    <row r="182" spans="1:619" ht="101" x14ac:dyDescent="0.35">
      <c r="A182" s="6" t="s">
        <v>545</v>
      </c>
      <c r="B182" s="6" t="s">
        <v>61</v>
      </c>
      <c r="C182" s="6" t="s">
        <v>958</v>
      </c>
      <c r="D182" s="1" t="s">
        <v>780</v>
      </c>
      <c r="E182" s="1" t="s">
        <v>780</v>
      </c>
      <c r="F182" s="1" t="s">
        <v>780</v>
      </c>
      <c r="G182" s="1" t="s">
        <v>780</v>
      </c>
      <c r="H182" s="1" t="s">
        <v>780</v>
      </c>
      <c r="AJ182" s="1" t="s">
        <v>780</v>
      </c>
      <c r="WE182" s="1" t="s">
        <v>780</v>
      </c>
      <c r="WF182" s="1" t="s">
        <v>780</v>
      </c>
      <c r="WG182" s="1" t="s">
        <v>780</v>
      </c>
      <c r="WU182" s="1" t="s">
        <v>780</v>
      </c>
    </row>
    <row r="183" spans="1:619" ht="63.5" x14ac:dyDescent="0.35">
      <c r="A183" s="6" t="s">
        <v>545</v>
      </c>
      <c r="B183" s="6" t="s">
        <v>61</v>
      </c>
      <c r="C183" s="6" t="s">
        <v>959</v>
      </c>
      <c r="D183" s="1" t="s">
        <v>780</v>
      </c>
      <c r="E183" s="1" t="s">
        <v>780</v>
      </c>
      <c r="F183" s="1" t="s">
        <v>780</v>
      </c>
      <c r="G183" s="1" t="s">
        <v>780</v>
      </c>
      <c r="H183" s="1" t="s">
        <v>780</v>
      </c>
      <c r="AJ183" s="1" t="s">
        <v>780</v>
      </c>
      <c r="OT183" s="1" t="s">
        <v>780</v>
      </c>
      <c r="WE183" s="1" t="s">
        <v>780</v>
      </c>
      <c r="WG183" s="1" t="s">
        <v>780</v>
      </c>
    </row>
    <row r="184" spans="1:619" ht="63.5" x14ac:dyDescent="0.35">
      <c r="A184" s="6" t="s">
        <v>545</v>
      </c>
      <c r="B184" s="6" t="s">
        <v>61</v>
      </c>
      <c r="C184" s="6" t="s">
        <v>960</v>
      </c>
      <c r="D184" s="1" t="s">
        <v>780</v>
      </c>
      <c r="E184" s="1" t="s">
        <v>780</v>
      </c>
      <c r="F184" s="1" t="s">
        <v>780</v>
      </c>
      <c r="G184" s="1" t="s">
        <v>780</v>
      </c>
      <c r="H184" s="1" t="s">
        <v>780</v>
      </c>
      <c r="AJ184" s="1" t="s">
        <v>780</v>
      </c>
      <c r="AS184" s="1" t="s">
        <v>780</v>
      </c>
      <c r="EE184" s="1" t="s">
        <v>780</v>
      </c>
      <c r="JR184" s="1" t="s">
        <v>780</v>
      </c>
      <c r="RU184" s="1" t="s">
        <v>780</v>
      </c>
      <c r="WF184" s="1" t="s">
        <v>780</v>
      </c>
      <c r="WH184" s="1" t="s">
        <v>780</v>
      </c>
      <c r="WI184" s="1" t="s">
        <v>780</v>
      </c>
    </row>
    <row r="185" spans="1:619" ht="63.5" x14ac:dyDescent="0.35">
      <c r="A185" s="6" t="s">
        <v>545</v>
      </c>
      <c r="B185" s="6" t="s">
        <v>61</v>
      </c>
      <c r="C185" s="6" t="s">
        <v>961</v>
      </c>
      <c r="D185" s="1" t="s">
        <v>780</v>
      </c>
      <c r="E185" s="1" t="s">
        <v>780</v>
      </c>
      <c r="F185" s="1" t="s">
        <v>780</v>
      </c>
      <c r="G185" s="1" t="s">
        <v>780</v>
      </c>
      <c r="H185" s="1" t="s">
        <v>780</v>
      </c>
      <c r="AJ185" s="1" t="s">
        <v>780</v>
      </c>
      <c r="BM185" s="1" t="s">
        <v>780</v>
      </c>
      <c r="EE185" s="1" t="s">
        <v>780</v>
      </c>
      <c r="RU185" s="1" t="s">
        <v>780</v>
      </c>
      <c r="WF185" s="1" t="s">
        <v>780</v>
      </c>
      <c r="WH185" s="1" t="s">
        <v>780</v>
      </c>
      <c r="WI185" s="1" t="s">
        <v>780</v>
      </c>
    </row>
    <row r="186" spans="1:619" ht="63.5" x14ac:dyDescent="0.35">
      <c r="A186" s="6" t="s">
        <v>545</v>
      </c>
      <c r="B186" s="6" t="s">
        <v>61</v>
      </c>
      <c r="C186" s="6" t="s">
        <v>962</v>
      </c>
      <c r="D186" s="1" t="s">
        <v>780</v>
      </c>
      <c r="E186" s="1" t="s">
        <v>780</v>
      </c>
      <c r="F186" s="1" t="s">
        <v>780</v>
      </c>
      <c r="G186" s="1" t="s">
        <v>780</v>
      </c>
      <c r="H186" s="1" t="s">
        <v>780</v>
      </c>
      <c r="AJ186" s="1" t="s">
        <v>780</v>
      </c>
      <c r="EE186" s="1" t="s">
        <v>780</v>
      </c>
      <c r="GV186" s="1" t="s">
        <v>780</v>
      </c>
      <c r="RU186" s="1" t="s">
        <v>780</v>
      </c>
      <c r="WF186" s="1" t="s">
        <v>780</v>
      </c>
      <c r="WH186" s="1" t="s">
        <v>780</v>
      </c>
      <c r="WI186" s="1" t="s">
        <v>780</v>
      </c>
    </row>
    <row r="187" spans="1:619" ht="63.5" x14ac:dyDescent="0.35">
      <c r="A187" s="6" t="s">
        <v>545</v>
      </c>
      <c r="B187" s="6" t="s">
        <v>61</v>
      </c>
      <c r="C187" s="6" t="s">
        <v>963</v>
      </c>
      <c r="D187" s="1" t="s">
        <v>780</v>
      </c>
      <c r="E187" s="1" t="s">
        <v>780</v>
      </c>
      <c r="F187" s="1" t="s">
        <v>780</v>
      </c>
      <c r="G187" s="1" t="s">
        <v>780</v>
      </c>
      <c r="H187" s="1" t="s">
        <v>780</v>
      </c>
      <c r="AJ187" s="1" t="s">
        <v>780</v>
      </c>
      <c r="BP187" s="1" t="s">
        <v>780</v>
      </c>
      <c r="EE187" s="1" t="s">
        <v>780</v>
      </c>
      <c r="RU187" s="1" t="s">
        <v>780</v>
      </c>
      <c r="WF187" s="1" t="s">
        <v>780</v>
      </c>
      <c r="WH187" s="1" t="s">
        <v>780</v>
      </c>
      <c r="WI187" s="1" t="s">
        <v>780</v>
      </c>
    </row>
    <row r="188" spans="1:619" ht="76" x14ac:dyDescent="0.35">
      <c r="A188" s="6" t="s">
        <v>545</v>
      </c>
      <c r="B188" s="6" t="s">
        <v>61</v>
      </c>
      <c r="C188" s="6" t="s">
        <v>964</v>
      </c>
      <c r="D188" s="1" t="s">
        <v>780</v>
      </c>
      <c r="E188" s="1" t="s">
        <v>780</v>
      </c>
      <c r="F188" s="1" t="s">
        <v>780</v>
      </c>
      <c r="G188" s="1" t="s">
        <v>780</v>
      </c>
      <c r="H188" s="1" t="s">
        <v>780</v>
      </c>
      <c r="AJ188" s="1" t="s">
        <v>780</v>
      </c>
      <c r="EE188" s="1" t="s">
        <v>780</v>
      </c>
      <c r="RU188" s="1" t="s">
        <v>780</v>
      </c>
      <c r="WF188" s="1" t="s">
        <v>780</v>
      </c>
      <c r="WH188" s="1" t="s">
        <v>780</v>
      </c>
      <c r="WI188" s="1" t="s">
        <v>780</v>
      </c>
      <c r="WP188" s="1" t="s">
        <v>780</v>
      </c>
    </row>
    <row r="189" spans="1:619" ht="63.5" x14ac:dyDescent="0.35">
      <c r="A189" s="6" t="s">
        <v>545</v>
      </c>
      <c r="B189" s="6" t="s">
        <v>61</v>
      </c>
      <c r="C189" s="6" t="s">
        <v>965</v>
      </c>
      <c r="D189" s="1" t="s">
        <v>780</v>
      </c>
      <c r="E189" s="1" t="s">
        <v>780</v>
      </c>
      <c r="F189" s="1" t="s">
        <v>780</v>
      </c>
      <c r="G189" s="1" t="s">
        <v>780</v>
      </c>
      <c r="H189" s="1" t="s">
        <v>780</v>
      </c>
      <c r="AJ189" s="1" t="s">
        <v>780</v>
      </c>
      <c r="EE189" s="1" t="s">
        <v>780</v>
      </c>
      <c r="JR189" s="1" t="s">
        <v>780</v>
      </c>
      <c r="RU189" s="1" t="s">
        <v>780</v>
      </c>
      <c r="WF189" s="1" t="s">
        <v>780</v>
      </c>
      <c r="WH189" s="1" t="s">
        <v>780</v>
      </c>
      <c r="WI189" s="1" t="s">
        <v>780</v>
      </c>
    </row>
    <row r="190" spans="1:619" ht="76" x14ac:dyDescent="0.35">
      <c r="A190" s="6" t="s">
        <v>545</v>
      </c>
      <c r="B190" s="6" t="s">
        <v>61</v>
      </c>
      <c r="C190" s="6" t="s">
        <v>966</v>
      </c>
      <c r="D190" s="1" t="s">
        <v>780</v>
      </c>
      <c r="E190" s="1" t="s">
        <v>780</v>
      </c>
      <c r="F190" s="1" t="s">
        <v>780</v>
      </c>
      <c r="G190" s="1" t="s">
        <v>780</v>
      </c>
      <c r="H190" s="1" t="s">
        <v>780</v>
      </c>
      <c r="AJ190" s="1" t="s">
        <v>780</v>
      </c>
      <c r="EE190" s="1" t="s">
        <v>780</v>
      </c>
      <c r="JR190" s="1" t="s">
        <v>780</v>
      </c>
      <c r="RU190" s="1" t="s">
        <v>780</v>
      </c>
      <c r="WF190" s="1" t="s">
        <v>780</v>
      </c>
      <c r="WH190" s="1" t="s">
        <v>780</v>
      </c>
      <c r="WI190" s="1" t="s">
        <v>780</v>
      </c>
      <c r="WQ190" s="1" t="s">
        <v>780</v>
      </c>
    </row>
    <row r="191" spans="1:619" ht="51" x14ac:dyDescent="0.35">
      <c r="A191" s="6" t="s">
        <v>545</v>
      </c>
      <c r="B191" s="6" t="s">
        <v>61</v>
      </c>
      <c r="C191" s="6" t="s">
        <v>967</v>
      </c>
      <c r="D191" s="1" t="s">
        <v>780</v>
      </c>
      <c r="E191" s="1" t="s">
        <v>780</v>
      </c>
      <c r="F191" s="1" t="s">
        <v>780</v>
      </c>
      <c r="G191" s="1" t="s">
        <v>780</v>
      </c>
      <c r="H191" s="1" t="s">
        <v>780</v>
      </c>
      <c r="AJ191" s="1" t="s">
        <v>780</v>
      </c>
      <c r="EE191" s="1" t="s">
        <v>780</v>
      </c>
      <c r="RU191" s="1" t="s">
        <v>780</v>
      </c>
      <c r="WF191" s="1" t="s">
        <v>780</v>
      </c>
      <c r="WH191" s="1" t="s">
        <v>780</v>
      </c>
      <c r="WI191" s="1" t="s">
        <v>780</v>
      </c>
      <c r="WR191" s="1" t="s">
        <v>780</v>
      </c>
    </row>
    <row r="192" spans="1:619" ht="63.5" x14ac:dyDescent="0.35">
      <c r="A192" s="6" t="s">
        <v>545</v>
      </c>
      <c r="B192" s="6" t="s">
        <v>61</v>
      </c>
      <c r="C192" s="6" t="s">
        <v>968</v>
      </c>
      <c r="D192" s="1" t="s">
        <v>780</v>
      </c>
      <c r="E192" s="1" t="s">
        <v>780</v>
      </c>
      <c r="F192" s="1" t="s">
        <v>780</v>
      </c>
      <c r="G192" s="1" t="s">
        <v>780</v>
      </c>
      <c r="H192" s="1" t="s">
        <v>780</v>
      </c>
      <c r="AJ192" s="1" t="s">
        <v>780</v>
      </c>
      <c r="EE192" s="1" t="s">
        <v>780</v>
      </c>
      <c r="GX192" s="1" t="s">
        <v>780</v>
      </c>
      <c r="RU192" s="1" t="s">
        <v>780</v>
      </c>
      <c r="WF192" s="1" t="s">
        <v>780</v>
      </c>
      <c r="WH192" s="1" t="s">
        <v>780</v>
      </c>
      <c r="WI192" s="1" t="s">
        <v>780</v>
      </c>
    </row>
    <row r="193" spans="1:632" ht="63.5" x14ac:dyDescent="0.35">
      <c r="A193" s="6" t="s">
        <v>545</v>
      </c>
      <c r="B193" s="6" t="s">
        <v>61</v>
      </c>
      <c r="C193" s="6" t="s">
        <v>969</v>
      </c>
      <c r="D193" s="1" t="s">
        <v>780</v>
      </c>
      <c r="E193" s="1" t="s">
        <v>780</v>
      </c>
      <c r="F193" s="1" t="s">
        <v>780</v>
      </c>
      <c r="G193" s="1" t="s">
        <v>780</v>
      </c>
      <c r="H193" s="1" t="s">
        <v>780</v>
      </c>
      <c r="I193" s="1" t="s">
        <v>780</v>
      </c>
      <c r="J193" s="1" t="s">
        <v>780</v>
      </c>
      <c r="AJ193" s="1" t="s">
        <v>780</v>
      </c>
      <c r="EE193" s="1" t="s">
        <v>780</v>
      </c>
      <c r="RU193" s="1" t="s">
        <v>780</v>
      </c>
      <c r="WF193" s="1" t="s">
        <v>780</v>
      </c>
      <c r="WH193" s="1" t="s">
        <v>780</v>
      </c>
      <c r="WI193" s="1" t="s">
        <v>780</v>
      </c>
    </row>
    <row r="194" spans="1:632" ht="51" x14ac:dyDescent="0.35">
      <c r="A194" s="6" t="s">
        <v>545</v>
      </c>
      <c r="B194" s="6" t="s">
        <v>61</v>
      </c>
      <c r="C194" s="6" t="s">
        <v>970</v>
      </c>
      <c r="D194" s="1" t="s">
        <v>780</v>
      </c>
      <c r="E194" s="1" t="s">
        <v>780</v>
      </c>
      <c r="F194" s="1" t="s">
        <v>780</v>
      </c>
      <c r="G194" s="1" t="s">
        <v>780</v>
      </c>
      <c r="H194" s="1" t="s">
        <v>780</v>
      </c>
      <c r="AJ194" s="1" t="s">
        <v>780</v>
      </c>
      <c r="AX194" s="1" t="s">
        <v>780</v>
      </c>
      <c r="EE194" s="1" t="s">
        <v>780</v>
      </c>
      <c r="RU194" s="1" t="s">
        <v>780</v>
      </c>
      <c r="WF194" s="1" t="s">
        <v>780</v>
      </c>
      <c r="WH194" s="1" t="s">
        <v>780</v>
      </c>
      <c r="WI194" s="1" t="s">
        <v>780</v>
      </c>
    </row>
    <row r="195" spans="1:632" ht="76" x14ac:dyDescent="0.35">
      <c r="A195" s="6" t="s">
        <v>545</v>
      </c>
      <c r="B195" s="6" t="s">
        <v>61</v>
      </c>
      <c r="C195" s="6" t="s">
        <v>971</v>
      </c>
      <c r="D195" s="1" t="s">
        <v>780</v>
      </c>
      <c r="E195" s="1" t="s">
        <v>780</v>
      </c>
      <c r="F195" s="1" t="s">
        <v>780</v>
      </c>
      <c r="G195" s="1" t="s">
        <v>780</v>
      </c>
      <c r="H195" s="1" t="s">
        <v>780</v>
      </c>
      <c r="AJ195" s="1" t="s">
        <v>780</v>
      </c>
      <c r="EE195" s="1" t="s">
        <v>780</v>
      </c>
      <c r="RU195" s="1" t="s">
        <v>780</v>
      </c>
      <c r="WF195" s="1" t="s">
        <v>780</v>
      </c>
      <c r="WH195" s="1" t="s">
        <v>780</v>
      </c>
      <c r="WI195" s="1" t="s">
        <v>780</v>
      </c>
      <c r="WS195" s="1" t="s">
        <v>780</v>
      </c>
    </row>
    <row r="196" spans="1:632" ht="76" x14ac:dyDescent="0.35">
      <c r="A196" s="6" t="s">
        <v>545</v>
      </c>
      <c r="B196" s="6" t="s">
        <v>61</v>
      </c>
      <c r="C196" s="6" t="s">
        <v>972</v>
      </c>
      <c r="D196" s="1" t="s">
        <v>780</v>
      </c>
      <c r="E196" s="1" t="s">
        <v>780</v>
      </c>
      <c r="F196" s="1" t="s">
        <v>780</v>
      </c>
      <c r="G196" s="1" t="s">
        <v>780</v>
      </c>
      <c r="H196" s="1" t="s">
        <v>780</v>
      </c>
      <c r="AJ196" s="1" t="s">
        <v>780</v>
      </c>
      <c r="EE196" s="1" t="s">
        <v>780</v>
      </c>
      <c r="RU196" s="1" t="s">
        <v>780</v>
      </c>
      <c r="WF196" s="1" t="s">
        <v>780</v>
      </c>
      <c r="WH196" s="1" t="s">
        <v>780</v>
      </c>
      <c r="WI196" s="1" t="s">
        <v>780</v>
      </c>
      <c r="WT196" s="1" t="s">
        <v>780</v>
      </c>
    </row>
    <row r="197" spans="1:632" ht="101" x14ac:dyDescent="0.35">
      <c r="A197" s="6" t="s">
        <v>545</v>
      </c>
      <c r="B197" s="6" t="s">
        <v>61</v>
      </c>
      <c r="C197" s="6" t="s">
        <v>973</v>
      </c>
      <c r="D197" s="1" t="s">
        <v>780</v>
      </c>
      <c r="E197" s="1" t="s">
        <v>780</v>
      </c>
      <c r="F197" s="1" t="s">
        <v>780</v>
      </c>
      <c r="G197" s="1" t="s">
        <v>780</v>
      </c>
      <c r="H197" s="1" t="s">
        <v>780</v>
      </c>
      <c r="AJ197" s="1" t="s">
        <v>780</v>
      </c>
      <c r="EE197" s="1" t="s">
        <v>780</v>
      </c>
      <c r="RU197" s="1" t="s">
        <v>780</v>
      </c>
      <c r="WF197" s="1" t="s">
        <v>780</v>
      </c>
      <c r="WH197" s="1" t="s">
        <v>780</v>
      </c>
      <c r="WI197" s="1" t="s">
        <v>780</v>
      </c>
      <c r="WU197" s="1" t="s">
        <v>780</v>
      </c>
    </row>
    <row r="198" spans="1:632" ht="51" x14ac:dyDescent="0.35">
      <c r="A198" s="6" t="s">
        <v>545</v>
      </c>
      <c r="B198" s="6" t="s">
        <v>61</v>
      </c>
      <c r="C198" s="6" t="s">
        <v>974</v>
      </c>
      <c r="D198" s="1" t="s">
        <v>780</v>
      </c>
      <c r="E198" s="1" t="s">
        <v>780</v>
      </c>
      <c r="F198" s="1" t="s">
        <v>780</v>
      </c>
      <c r="G198" s="1" t="s">
        <v>780</v>
      </c>
      <c r="H198" s="1" t="s">
        <v>780</v>
      </c>
      <c r="AJ198" s="1" t="s">
        <v>780</v>
      </c>
      <c r="EE198" s="1" t="s">
        <v>780</v>
      </c>
      <c r="OT198" s="1" t="s">
        <v>780</v>
      </c>
      <c r="RU198" s="1" t="s">
        <v>780</v>
      </c>
      <c r="WH198" s="1" t="s">
        <v>780</v>
      </c>
      <c r="WI198" s="1" t="s">
        <v>780</v>
      </c>
    </row>
    <row r="199" spans="1:632" ht="51" x14ac:dyDescent="0.35">
      <c r="A199" s="6" t="s">
        <v>545</v>
      </c>
      <c r="B199" s="6" t="s">
        <v>975</v>
      </c>
      <c r="C199" s="6" t="s">
        <v>976</v>
      </c>
      <c r="D199" s="1" t="s">
        <v>780</v>
      </c>
      <c r="E199" s="1" t="s">
        <v>780</v>
      </c>
      <c r="F199" s="1" t="s">
        <v>780</v>
      </c>
      <c r="G199" s="1" t="s">
        <v>780</v>
      </c>
      <c r="H199" s="1" t="s">
        <v>780</v>
      </c>
      <c r="BM199" s="1" t="s">
        <v>780</v>
      </c>
      <c r="WY199" s="1" t="s">
        <v>780</v>
      </c>
      <c r="XD199" s="1" t="s">
        <v>780</v>
      </c>
      <c r="XE199" s="1" t="s">
        <v>780</v>
      </c>
      <c r="XF199" s="1" t="s">
        <v>780</v>
      </c>
      <c r="XG199" s="1" t="s">
        <v>780</v>
      </c>
    </row>
    <row r="200" spans="1:632" ht="51" x14ac:dyDescent="0.35">
      <c r="A200" s="6" t="s">
        <v>545</v>
      </c>
      <c r="B200" s="6" t="s">
        <v>975</v>
      </c>
      <c r="C200" s="6" t="s">
        <v>977</v>
      </c>
      <c r="D200" s="1" t="s">
        <v>780</v>
      </c>
      <c r="E200" s="1" t="s">
        <v>780</v>
      </c>
      <c r="F200" s="1" t="s">
        <v>780</v>
      </c>
      <c r="G200" s="1" t="s">
        <v>780</v>
      </c>
      <c r="H200" s="1" t="s">
        <v>780</v>
      </c>
      <c r="BP200" s="1" t="s">
        <v>780</v>
      </c>
      <c r="WY200" s="1" t="s">
        <v>780</v>
      </c>
      <c r="XD200" s="1" t="s">
        <v>780</v>
      </c>
      <c r="XE200" s="1" t="s">
        <v>780</v>
      </c>
      <c r="XF200" s="1" t="s">
        <v>780</v>
      </c>
      <c r="XG200" s="1" t="s">
        <v>780</v>
      </c>
    </row>
    <row r="201" spans="1:632" ht="51" x14ac:dyDescent="0.35">
      <c r="A201" s="6" t="s">
        <v>545</v>
      </c>
      <c r="B201" s="6" t="s">
        <v>975</v>
      </c>
      <c r="C201" s="6" t="s">
        <v>978</v>
      </c>
      <c r="D201" s="1" t="s">
        <v>780</v>
      </c>
      <c r="E201" s="1" t="s">
        <v>780</v>
      </c>
      <c r="F201" s="1" t="s">
        <v>780</v>
      </c>
      <c r="G201" s="1" t="s">
        <v>780</v>
      </c>
      <c r="H201" s="1" t="s">
        <v>780</v>
      </c>
      <c r="PT201" s="1" t="s">
        <v>780</v>
      </c>
      <c r="WV201" s="1" t="s">
        <v>780</v>
      </c>
      <c r="WW201" s="1" t="s">
        <v>780</v>
      </c>
      <c r="XD201" s="1" t="s">
        <v>780</v>
      </c>
      <c r="XE201" s="1" t="s">
        <v>780</v>
      </c>
      <c r="XF201" s="1" t="s">
        <v>780</v>
      </c>
      <c r="XG201" s="1" t="s">
        <v>780</v>
      </c>
    </row>
    <row r="202" spans="1:632" ht="51" x14ac:dyDescent="0.35">
      <c r="A202" s="6" t="s">
        <v>545</v>
      </c>
      <c r="B202" s="6" t="s">
        <v>975</v>
      </c>
      <c r="C202" s="6" t="s">
        <v>979</v>
      </c>
      <c r="D202" s="1" t="s">
        <v>780</v>
      </c>
      <c r="E202" s="1" t="s">
        <v>780</v>
      </c>
      <c r="F202" s="1" t="s">
        <v>780</v>
      </c>
      <c r="G202" s="1" t="s">
        <v>780</v>
      </c>
      <c r="H202" s="1" t="s">
        <v>780</v>
      </c>
      <c r="QJ202" s="1" t="s">
        <v>780</v>
      </c>
      <c r="WY202" s="1" t="s">
        <v>780</v>
      </c>
      <c r="XD202" s="1" t="s">
        <v>780</v>
      </c>
      <c r="XE202" s="1" t="s">
        <v>780</v>
      </c>
      <c r="XF202" s="1" t="s">
        <v>780</v>
      </c>
      <c r="XG202" s="1" t="s">
        <v>780</v>
      </c>
    </row>
    <row r="203" spans="1:632" ht="51" x14ac:dyDescent="0.35">
      <c r="A203" s="6" t="s">
        <v>545</v>
      </c>
      <c r="B203" s="6" t="s">
        <v>975</v>
      </c>
      <c r="C203" s="6" t="s">
        <v>980</v>
      </c>
      <c r="D203" s="1" t="s">
        <v>780</v>
      </c>
      <c r="E203" s="1" t="s">
        <v>780</v>
      </c>
      <c r="F203" s="1" t="s">
        <v>780</v>
      </c>
      <c r="G203" s="1" t="s">
        <v>780</v>
      </c>
      <c r="H203" s="1" t="s">
        <v>780</v>
      </c>
      <c r="WV203" s="1" t="s">
        <v>780</v>
      </c>
      <c r="WW203" s="1" t="s">
        <v>780</v>
      </c>
      <c r="WY203" s="1" t="s">
        <v>780</v>
      </c>
      <c r="XD203" s="1" t="s">
        <v>780</v>
      </c>
      <c r="XE203" s="1" t="s">
        <v>780</v>
      </c>
      <c r="XF203" s="1" t="s">
        <v>780</v>
      </c>
      <c r="XG203" s="1" t="s">
        <v>780</v>
      </c>
    </row>
    <row r="204" spans="1:632" ht="51" x14ac:dyDescent="0.35">
      <c r="A204" s="6" t="s">
        <v>545</v>
      </c>
      <c r="B204" s="6" t="s">
        <v>975</v>
      </c>
      <c r="C204" s="6" t="s">
        <v>981</v>
      </c>
      <c r="D204" s="1" t="s">
        <v>780</v>
      </c>
      <c r="E204" s="1" t="s">
        <v>780</v>
      </c>
      <c r="F204" s="1" t="s">
        <v>780</v>
      </c>
      <c r="G204" s="1" t="s">
        <v>780</v>
      </c>
      <c r="H204" s="1" t="s">
        <v>780</v>
      </c>
      <c r="NA204" s="1" t="s">
        <v>780</v>
      </c>
      <c r="PT204" s="1" t="s">
        <v>780</v>
      </c>
      <c r="WV204" s="1" t="s">
        <v>780</v>
      </c>
      <c r="WW204" s="1" t="s">
        <v>780</v>
      </c>
      <c r="WY204" s="1" t="s">
        <v>780</v>
      </c>
    </row>
    <row r="205" spans="1:632" ht="51" x14ac:dyDescent="0.35">
      <c r="A205" s="6" t="s">
        <v>545</v>
      </c>
      <c r="B205" s="6" t="s">
        <v>975</v>
      </c>
      <c r="C205" s="6" t="s">
        <v>982</v>
      </c>
      <c r="D205" s="1" t="s">
        <v>780</v>
      </c>
      <c r="E205" s="1" t="s">
        <v>780</v>
      </c>
      <c r="F205" s="1" t="s">
        <v>780</v>
      </c>
      <c r="G205" s="1" t="s">
        <v>780</v>
      </c>
      <c r="H205" s="1" t="s">
        <v>780</v>
      </c>
      <c r="AX205" s="1" t="s">
        <v>780</v>
      </c>
      <c r="BA205" s="1" t="s">
        <v>780</v>
      </c>
      <c r="NA205" s="1" t="s">
        <v>780</v>
      </c>
      <c r="PT205" s="1" t="s">
        <v>780</v>
      </c>
      <c r="WY205" s="1" t="s">
        <v>780</v>
      </c>
    </row>
    <row r="206" spans="1:632" ht="51" x14ac:dyDescent="0.35">
      <c r="A206" s="6" t="s">
        <v>545</v>
      </c>
      <c r="B206" s="6" t="s">
        <v>975</v>
      </c>
      <c r="C206" s="6" t="s">
        <v>983</v>
      </c>
      <c r="D206" s="1" t="s">
        <v>780</v>
      </c>
      <c r="E206" s="1" t="s">
        <v>780</v>
      </c>
      <c r="F206" s="1" t="s">
        <v>780</v>
      </c>
      <c r="G206" s="1" t="s">
        <v>780</v>
      </c>
      <c r="H206" s="1" t="s">
        <v>780</v>
      </c>
      <c r="AS206" s="1" t="s">
        <v>780</v>
      </c>
      <c r="WZ206" s="1" t="s">
        <v>780</v>
      </c>
      <c r="XA206" s="1" t="s">
        <v>780</v>
      </c>
      <c r="XB206" s="1" t="s">
        <v>780</v>
      </c>
      <c r="XC206" s="1" t="s">
        <v>780</v>
      </c>
    </row>
    <row r="207" spans="1:632" ht="51" x14ac:dyDescent="0.35">
      <c r="A207" s="6" t="s">
        <v>545</v>
      </c>
      <c r="B207" s="6" t="s">
        <v>975</v>
      </c>
      <c r="C207" s="6" t="s">
        <v>984</v>
      </c>
      <c r="D207" s="1" t="s">
        <v>780</v>
      </c>
      <c r="E207" s="1" t="s">
        <v>780</v>
      </c>
      <c r="F207" s="1" t="s">
        <v>780</v>
      </c>
      <c r="G207" s="1" t="s">
        <v>780</v>
      </c>
      <c r="H207" s="1" t="s">
        <v>780</v>
      </c>
      <c r="AS207" s="1" t="s">
        <v>780</v>
      </c>
      <c r="WX207" s="1" t="s">
        <v>780</v>
      </c>
      <c r="XD207" s="1" t="s">
        <v>780</v>
      </c>
      <c r="XE207" s="1" t="s">
        <v>780</v>
      </c>
      <c r="XF207" s="1" t="s">
        <v>780</v>
      </c>
      <c r="XG207" s="1" t="s">
        <v>780</v>
      </c>
    </row>
    <row r="208" spans="1:632" ht="51" x14ac:dyDescent="0.35">
      <c r="A208" s="6" t="s">
        <v>545</v>
      </c>
      <c r="B208" s="6" t="s">
        <v>975</v>
      </c>
      <c r="C208" s="6" t="s">
        <v>985</v>
      </c>
      <c r="D208" s="1" t="s">
        <v>780</v>
      </c>
      <c r="E208" s="1" t="s">
        <v>780</v>
      </c>
      <c r="F208" s="1" t="s">
        <v>780</v>
      </c>
      <c r="G208" s="1" t="s">
        <v>780</v>
      </c>
      <c r="H208" s="1" t="s">
        <v>780</v>
      </c>
      <c r="WV208" s="1" t="s">
        <v>780</v>
      </c>
      <c r="WW208" s="1" t="s">
        <v>780</v>
      </c>
      <c r="WX208" s="1" t="s">
        <v>780</v>
      </c>
      <c r="XH208" s="1" t="s">
        <v>780</v>
      </c>
    </row>
    <row r="209" spans="1:642" ht="51" x14ac:dyDescent="0.35">
      <c r="A209" s="6" t="s">
        <v>545</v>
      </c>
      <c r="B209" s="6" t="s">
        <v>975</v>
      </c>
      <c r="C209" s="6" t="s">
        <v>986</v>
      </c>
      <c r="D209" s="1" t="s">
        <v>780</v>
      </c>
      <c r="E209" s="1" t="s">
        <v>780</v>
      </c>
      <c r="F209" s="1" t="s">
        <v>780</v>
      </c>
      <c r="G209" s="1" t="s">
        <v>780</v>
      </c>
      <c r="H209" s="1" t="s">
        <v>780</v>
      </c>
      <c r="AP209" s="1" t="s">
        <v>780</v>
      </c>
      <c r="AS209" s="1" t="s">
        <v>780</v>
      </c>
      <c r="WX209" s="1" t="s">
        <v>780</v>
      </c>
      <c r="XI209" s="1" t="s">
        <v>780</v>
      </c>
      <c r="XJ209" s="1" t="s">
        <v>780</v>
      </c>
      <c r="XK209" s="1" t="s">
        <v>780</v>
      </c>
      <c r="XL209" s="1" t="s">
        <v>780</v>
      </c>
      <c r="XM209" s="1" t="s">
        <v>780</v>
      </c>
      <c r="XN209" s="1" t="s">
        <v>780</v>
      </c>
      <c r="XO209" s="1" t="s">
        <v>780</v>
      </c>
      <c r="XP209" s="1" t="s">
        <v>780</v>
      </c>
      <c r="XQ209" s="1" t="s">
        <v>780</v>
      </c>
      <c r="XR209" s="1">
        <f>SUM(D209:XQ209)</f>
        <v>0</v>
      </c>
    </row>
    <row r="210" spans="1:642" ht="51" x14ac:dyDescent="0.35">
      <c r="A210" s="6" t="s">
        <v>545</v>
      </c>
      <c r="B210" s="6" t="s">
        <v>975</v>
      </c>
      <c r="C210" s="6" t="s">
        <v>987</v>
      </c>
      <c r="D210" s="1" t="s">
        <v>780</v>
      </c>
      <c r="E210" s="1" t="s">
        <v>780</v>
      </c>
      <c r="F210" s="1" t="s">
        <v>780</v>
      </c>
      <c r="G210" s="1" t="s">
        <v>780</v>
      </c>
      <c r="H210" s="1" t="s">
        <v>780</v>
      </c>
      <c r="AS210" s="1" t="s">
        <v>780</v>
      </c>
      <c r="AX210" s="1" t="s">
        <v>780</v>
      </c>
      <c r="PT210" s="1" t="s">
        <v>780</v>
      </c>
      <c r="WX210" s="1" t="s">
        <v>780</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2:AEA248"/>
  <sheetViews>
    <sheetView workbookViewId="0">
      <selection activeCell="D3" sqref="D3"/>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7" width="4.54296875" style="1" bestFit="1" customWidth="1"/>
    <col min="38" max="39" width="4.54296875" style="1" customWidth="1"/>
    <col min="40" max="41" width="7.1796875" style="1" customWidth="1"/>
    <col min="42" max="45" width="8.7265625" style="1"/>
    <col min="46" max="46" width="5.7265625" style="1" customWidth="1"/>
    <col min="47" max="49" width="8.7265625" style="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ol min="80" max="82" width="10" style="1" customWidth="1"/>
    <col min="83" max="83" width="5" style="1" customWidth="1"/>
    <col min="84" max="84" width="10" style="1" customWidth="1"/>
    <col min="85" max="85" width="6.453125" style="1" bestFit="1" customWidth="1"/>
    <col min="86" max="86" width="7" style="1" bestFit="1" customWidth="1"/>
    <col min="87" max="89" width="8.7265625" style="1"/>
    <col min="90" max="91" width="6.81640625" style="1" customWidth="1"/>
    <col min="92" max="92" width="6" style="1" customWidth="1"/>
    <col min="93" max="95" width="11.54296875" style="1" customWidth="1"/>
    <col min="96" max="96" width="10.1796875" style="1" customWidth="1"/>
    <col min="97" max="100" width="8.7265625" style="1"/>
    <col min="101" max="101" width="10.1796875" style="1" customWidth="1"/>
    <col min="102" max="102" width="12.453125" style="1" customWidth="1"/>
    <col min="103" max="103" width="7.26953125" style="1" customWidth="1"/>
    <col min="104" max="104" width="7.54296875" style="1" customWidth="1"/>
    <col min="105" max="105" width="5.453125" style="1" bestFit="1" customWidth="1"/>
    <col min="106" max="106" width="8.1796875" style="1" customWidth="1"/>
    <col min="107" max="109" width="8.7265625" style="1"/>
    <col min="110" max="110" width="10.54296875" style="1" customWidth="1"/>
    <col min="111" max="114" width="8.7265625" style="1"/>
    <col min="115" max="115" width="10.1796875" style="1" customWidth="1"/>
    <col min="116" max="121" width="9.1796875" style="1" customWidth="1"/>
    <col min="122" max="135" width="8.7265625" style="1"/>
    <col min="136" max="137" width="9.81640625" style="1" customWidth="1"/>
    <col min="138" max="138" width="8.7265625" style="1"/>
    <col min="139" max="139" width="5.7265625" style="1" customWidth="1"/>
    <col min="140" max="140" width="8.7265625" style="1"/>
    <col min="141" max="141" width="5.7265625" style="1" customWidth="1"/>
    <col min="142" max="144" width="8.7265625" style="1"/>
    <col min="145" max="145" width="6.1796875" style="1" customWidth="1"/>
    <col min="146" max="146" width="8.7265625" style="1"/>
    <col min="147" max="147" width="12.26953125" style="1" customWidth="1"/>
    <col min="148" max="168" width="8.7265625" style="1"/>
    <col min="169" max="169" width="5.54296875" style="1" customWidth="1"/>
    <col min="170" max="170" width="7.453125" style="1" customWidth="1"/>
    <col min="171" max="175" width="9.54296875" style="1" customWidth="1"/>
    <col min="176" max="176" width="6.26953125" style="1" customWidth="1"/>
    <col min="177" max="177" width="5.7265625" style="1" customWidth="1"/>
    <col min="178" max="178" width="7.7265625" style="1" customWidth="1"/>
    <col min="179" max="179" width="5.81640625" style="1" customWidth="1"/>
    <col min="180" max="180" width="5.26953125" style="1" customWidth="1"/>
    <col min="181" max="181" width="8.7265625" style="1"/>
    <col min="182" max="183" width="5.1796875" style="1" customWidth="1"/>
    <col min="184" max="184" width="8.26953125" style="1" customWidth="1"/>
    <col min="185" max="186" width="8.7265625" style="1"/>
    <col min="187" max="187" width="9.81640625" style="1" customWidth="1"/>
    <col min="188" max="192" width="8.7265625" style="1"/>
    <col min="193" max="193" width="7" style="1" customWidth="1"/>
    <col min="194" max="194" width="8" style="1" customWidth="1"/>
    <col min="195" max="195" width="7.54296875" style="1" customWidth="1"/>
    <col min="196" max="196" width="7.453125" style="1" customWidth="1"/>
    <col min="197" max="197" width="7.26953125" style="1" customWidth="1"/>
    <col min="198" max="198" width="7" style="1" customWidth="1"/>
    <col min="199" max="199" width="3.453125" style="1" customWidth="1"/>
    <col min="200" max="201" width="10.26953125" style="1" customWidth="1"/>
    <col min="202" max="217" width="8.7265625" style="1"/>
    <col min="218" max="218" width="4.7265625" style="1" customWidth="1"/>
    <col min="219" max="219" width="4.54296875" style="1" customWidth="1"/>
    <col min="220" max="237" width="8.7265625" style="1"/>
    <col min="238" max="238" width="11.54296875" style="1" customWidth="1"/>
    <col min="239" max="240" width="8.7265625" style="1"/>
    <col min="241" max="241" width="10.1796875" style="1" customWidth="1"/>
    <col min="242" max="242" width="9.54296875" style="1" customWidth="1"/>
    <col min="243" max="687" width="8.7265625" style="1"/>
    <col min="688" max="688" width="9.1796875" customWidth="1"/>
    <col min="689" max="16384" width="8.7265625" style="1"/>
  </cols>
  <sheetData>
    <row r="2" spans="1:807" ht="112" customHeight="1" x14ac:dyDescent="0.35">
      <c r="B2" s="1" t="s">
        <v>138</v>
      </c>
      <c r="C2" s="1" t="s">
        <v>2164</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c r="XR2" s="1" t="s">
        <v>777</v>
      </c>
      <c r="XS2" s="1" t="s">
        <v>988</v>
      </c>
      <c r="XT2" s="1" t="s">
        <v>989</v>
      </c>
      <c r="XU2" s="1" t="s">
        <v>990</v>
      </c>
      <c r="XV2" s="1" t="s">
        <v>991</v>
      </c>
      <c r="XW2" s="1" t="s">
        <v>992</v>
      </c>
      <c r="XX2" s="1" t="s">
        <v>993</v>
      </c>
      <c r="XY2" s="1" t="s">
        <v>994</v>
      </c>
      <c r="XZ2" s="1" t="s">
        <v>995</v>
      </c>
      <c r="YA2" s="1" t="s">
        <v>996</v>
      </c>
      <c r="YB2" s="1" t="s">
        <v>997</v>
      </c>
      <c r="YC2" s="1" t="s">
        <v>998</v>
      </c>
      <c r="YD2" s="1" t="s">
        <v>999</v>
      </c>
      <c r="YE2" s="1" t="s">
        <v>1000</v>
      </c>
      <c r="YF2" s="1" t="s">
        <v>1001</v>
      </c>
      <c r="YG2" s="1" t="s">
        <v>1002</v>
      </c>
      <c r="YH2" s="1" t="s">
        <v>1003</v>
      </c>
      <c r="YI2" s="1" t="s">
        <v>1004</v>
      </c>
      <c r="YJ2" s="1" t="s">
        <v>1005</v>
      </c>
      <c r="YK2" s="1" t="s">
        <v>1006</v>
      </c>
      <c r="YL2" s="1" t="s">
        <v>1007</v>
      </c>
      <c r="YM2" s="1" t="s">
        <v>1008</v>
      </c>
      <c r="YN2" s="1" t="s">
        <v>1009</v>
      </c>
      <c r="YO2" s="1" t="s">
        <v>1010</v>
      </c>
      <c r="YP2" s="1" t="s">
        <v>1011</v>
      </c>
      <c r="YQ2" s="1" t="s">
        <v>1012</v>
      </c>
      <c r="YR2" s="1" t="s">
        <v>1013</v>
      </c>
      <c r="YS2" s="1" t="s">
        <v>1014</v>
      </c>
      <c r="YT2" s="1" t="s">
        <v>1015</v>
      </c>
      <c r="YU2" s="1" t="s">
        <v>1016</v>
      </c>
      <c r="YV2" s="1" t="s">
        <v>1017</v>
      </c>
      <c r="YW2" s="1" t="s">
        <v>1018</v>
      </c>
      <c r="YX2" s="1" t="s">
        <v>1019</v>
      </c>
      <c r="YY2" s="1" t="s">
        <v>1020</v>
      </c>
      <c r="YZ2" s="1" t="s">
        <v>1021</v>
      </c>
      <c r="ZA2" s="1" t="s">
        <v>1022</v>
      </c>
      <c r="ZB2" s="1" t="s">
        <v>1023</v>
      </c>
      <c r="ZC2" s="1" t="s">
        <v>1024</v>
      </c>
      <c r="ZD2" s="1" t="s">
        <v>1025</v>
      </c>
      <c r="ZE2" s="1" t="s">
        <v>1026</v>
      </c>
      <c r="ZF2" s="1" t="s">
        <v>1027</v>
      </c>
      <c r="ZG2" s="1" t="s">
        <v>1028</v>
      </c>
      <c r="ZH2" s="1" t="s">
        <v>1029</v>
      </c>
      <c r="ZI2" s="1" t="s">
        <v>1030</v>
      </c>
      <c r="ZJ2" s="1" t="s">
        <v>1031</v>
      </c>
      <c r="ZK2" s="1" t="s">
        <v>1032</v>
      </c>
      <c r="ZL2" s="1" t="s">
        <v>1033</v>
      </c>
      <c r="ZM2" s="1" t="s">
        <v>1034</v>
      </c>
      <c r="ZN2" s="1" t="s">
        <v>1035</v>
      </c>
      <c r="ZO2" s="1" t="s">
        <v>1036</v>
      </c>
      <c r="ZP2" s="1" t="s">
        <v>1037</v>
      </c>
      <c r="ZQ2" s="1" t="s">
        <v>1038</v>
      </c>
      <c r="ZR2" s="1" t="s">
        <v>1039</v>
      </c>
      <c r="ZS2" s="1" t="s">
        <v>1040</v>
      </c>
      <c r="ZT2" s="1" t="s">
        <v>1041</v>
      </c>
      <c r="ZU2" s="1" t="s">
        <v>1042</v>
      </c>
      <c r="ZV2" s="1" t="s">
        <v>1043</v>
      </c>
      <c r="ZW2" s="1" t="s">
        <v>1044</v>
      </c>
      <c r="ZX2" s="1" t="s">
        <v>1045</v>
      </c>
      <c r="ZY2" s="1" t="s">
        <v>1046</v>
      </c>
      <c r="ZZ2" s="1" t="s">
        <v>1047</v>
      </c>
      <c r="AAA2" s="1" t="s">
        <v>1048</v>
      </c>
      <c r="AAB2" s="1" t="s">
        <v>1049</v>
      </c>
      <c r="AAC2" s="1" t="s">
        <v>1050</v>
      </c>
      <c r="AAD2" s="1" t="s">
        <v>1051</v>
      </c>
      <c r="AAE2" s="1" t="s">
        <v>1052</v>
      </c>
      <c r="AAF2" s="1" t="s">
        <v>1053</v>
      </c>
      <c r="AAG2" s="1" t="s">
        <v>1054</v>
      </c>
      <c r="AAH2" s="1" t="s">
        <v>1055</v>
      </c>
      <c r="AAI2" s="1" t="s">
        <v>1056</v>
      </c>
      <c r="AAJ2" s="1" t="s">
        <v>1057</v>
      </c>
      <c r="AAK2" s="1" t="s">
        <v>1058</v>
      </c>
      <c r="AAL2" s="1" t="s">
        <v>1059</v>
      </c>
      <c r="AAM2" s="1" t="s">
        <v>1060</v>
      </c>
      <c r="AAN2" s="1" t="s">
        <v>1061</v>
      </c>
      <c r="AAO2" s="1" t="s">
        <v>1062</v>
      </c>
      <c r="AAP2" s="1" t="s">
        <v>1063</v>
      </c>
      <c r="AAQ2" s="1" t="s">
        <v>1064</v>
      </c>
      <c r="AAR2" s="1" t="s">
        <v>1065</v>
      </c>
      <c r="AAS2" s="1" t="s">
        <v>1066</v>
      </c>
      <c r="AAT2" s="1" t="s">
        <v>1067</v>
      </c>
      <c r="AAU2" t="s">
        <v>1068</v>
      </c>
      <c r="AAV2" t="s">
        <v>1069</v>
      </c>
      <c r="AAW2" t="s">
        <v>1070</v>
      </c>
      <c r="AAX2" s="1" t="s">
        <v>1071</v>
      </c>
      <c r="AAY2" s="1" t="s">
        <v>1072</v>
      </c>
      <c r="AAZ2" s="1" t="s">
        <v>1073</v>
      </c>
      <c r="ABA2" s="1" t="s">
        <v>1074</v>
      </c>
      <c r="ABB2" s="1" t="s">
        <v>1075</v>
      </c>
      <c r="ABC2" s="1" t="s">
        <v>1076</v>
      </c>
      <c r="ABD2" s="1" t="s">
        <v>1077</v>
      </c>
      <c r="ABE2" s="1" t="s">
        <v>1078</v>
      </c>
      <c r="ABF2" s="1" t="s">
        <v>1079</v>
      </c>
      <c r="ABG2" s="1" t="s">
        <v>1080</v>
      </c>
      <c r="ABH2" s="1" t="s">
        <v>1081</v>
      </c>
      <c r="ABI2" t="s">
        <v>1082</v>
      </c>
      <c r="ABJ2" t="s">
        <v>1083</v>
      </c>
      <c r="ABK2" t="s">
        <v>1084</v>
      </c>
      <c r="ABL2" t="s">
        <v>1085</v>
      </c>
      <c r="ABM2" t="s">
        <v>1086</v>
      </c>
      <c r="ABN2" t="s">
        <v>1087</v>
      </c>
      <c r="ABO2" t="s">
        <v>1088</v>
      </c>
      <c r="ABP2" t="s">
        <v>1089</v>
      </c>
      <c r="ABQ2" t="s">
        <v>1090</v>
      </c>
      <c r="ABR2" s="1" t="s">
        <v>1091</v>
      </c>
      <c r="ABS2" s="1" t="s">
        <v>1092</v>
      </c>
      <c r="ABT2" s="1" t="s">
        <v>1093</v>
      </c>
      <c r="ABU2" s="1" t="s">
        <v>1094</v>
      </c>
      <c r="ABV2" s="1" t="s">
        <v>1095</v>
      </c>
      <c r="ABW2" s="1" t="s">
        <v>1096</v>
      </c>
      <c r="ABX2" s="1" t="s">
        <v>1097</v>
      </c>
      <c r="ABY2" s="1" t="s">
        <v>1098</v>
      </c>
      <c r="ABZ2" s="1" t="s">
        <v>1099</v>
      </c>
      <c r="ACA2" s="1" t="s">
        <v>1100</v>
      </c>
      <c r="ACB2" s="1" t="s">
        <v>1101</v>
      </c>
      <c r="ACC2" s="1" t="s">
        <v>1102</v>
      </c>
      <c r="ACD2" s="1" t="s">
        <v>1103</v>
      </c>
      <c r="ACE2" s="1" t="s">
        <v>1104</v>
      </c>
      <c r="ACF2" s="1" t="s">
        <v>1105</v>
      </c>
      <c r="ACG2" s="1" t="s">
        <v>1106</v>
      </c>
      <c r="ACH2" s="1" t="s">
        <v>1107</v>
      </c>
      <c r="ACI2" s="1" t="s">
        <v>1108</v>
      </c>
      <c r="ACJ2" s="1" t="s">
        <v>1109</v>
      </c>
      <c r="ACK2" s="1" t="s">
        <v>1110</v>
      </c>
      <c r="ACL2" s="1" t="s">
        <v>1111</v>
      </c>
      <c r="ACM2" s="1" t="s">
        <v>1112</v>
      </c>
      <c r="ACN2" s="1" t="s">
        <v>1113</v>
      </c>
      <c r="ACO2" s="1" t="s">
        <v>1114</v>
      </c>
      <c r="ACP2" s="1" t="s">
        <v>1115</v>
      </c>
      <c r="ACQ2" s="1" t="s">
        <v>1116</v>
      </c>
      <c r="ACR2" s="1" t="s">
        <v>1117</v>
      </c>
      <c r="ACS2" s="1" t="s">
        <v>1118</v>
      </c>
      <c r="ACT2" s="1" t="s">
        <v>1119</v>
      </c>
      <c r="ACU2" s="1" t="s">
        <v>1120</v>
      </c>
      <c r="ACV2" s="1" t="s">
        <v>1121</v>
      </c>
      <c r="ACW2" s="1" t="s">
        <v>1122</v>
      </c>
      <c r="ACX2" s="1" t="s">
        <v>1123</v>
      </c>
      <c r="ACY2" s="1" t="s">
        <v>1124</v>
      </c>
      <c r="ACZ2" s="1" t="s">
        <v>1125</v>
      </c>
      <c r="ADA2" s="1" t="s">
        <v>1126</v>
      </c>
      <c r="ADB2" s="1" t="s">
        <v>1127</v>
      </c>
      <c r="ADC2" s="1" t="s">
        <v>1128</v>
      </c>
      <c r="ADD2" s="1" t="s">
        <v>1129</v>
      </c>
      <c r="ADE2" s="1" t="s">
        <v>1130</v>
      </c>
      <c r="ADF2" s="1" t="s">
        <v>1131</v>
      </c>
      <c r="ADG2" s="1" t="s">
        <v>1132</v>
      </c>
      <c r="ADH2" s="1" t="s">
        <v>1133</v>
      </c>
      <c r="ADI2" s="1" t="s">
        <v>1134</v>
      </c>
      <c r="ADJ2" s="1" t="s">
        <v>1135</v>
      </c>
      <c r="ADK2" s="1" t="s">
        <v>1136</v>
      </c>
      <c r="ADL2" s="1" t="s">
        <v>1137</v>
      </c>
      <c r="ADM2" s="1" t="s">
        <v>1138</v>
      </c>
      <c r="ADN2" s="1" t="s">
        <v>1139</v>
      </c>
      <c r="ADO2" s="1" t="s">
        <v>1140</v>
      </c>
      <c r="ADP2" s="1" t="s">
        <v>1141</v>
      </c>
      <c r="ADQ2" s="1" t="s">
        <v>1142</v>
      </c>
      <c r="ADR2" s="1" t="s">
        <v>1143</v>
      </c>
      <c r="ADS2" s="1" t="s">
        <v>1144</v>
      </c>
      <c r="ADT2" s="1" t="s">
        <v>1145</v>
      </c>
      <c r="ADU2" s="1" t="s">
        <v>1146</v>
      </c>
      <c r="ADV2" s="1" t="s">
        <v>1147</v>
      </c>
      <c r="ADW2" s="1" t="s">
        <v>1148</v>
      </c>
      <c r="ADX2" s="1" t="s">
        <v>1149</v>
      </c>
      <c r="ADY2" s="1" t="s">
        <v>1150</v>
      </c>
      <c r="ADZ2" s="1" t="s">
        <v>1151</v>
      </c>
      <c r="AEA2" s="1" t="s">
        <v>1152</v>
      </c>
    </row>
    <row r="3" spans="1:807" ht="145" x14ac:dyDescent="0.35">
      <c r="A3" s="1" t="s">
        <v>778</v>
      </c>
      <c r="B3" s="14" t="s">
        <v>24</v>
      </c>
      <c r="C3" s="1" t="str" cm="1">
        <f t="array" ref="C3">GetURL(B3)</f>
        <v>https://explore-education-statistics.service.gov.uk/find-statistics/apprenticeships-and-traineeships</v>
      </c>
      <c r="D3" s="1" t="s">
        <v>779</v>
      </c>
      <c r="E3" s="1" t="s">
        <v>780</v>
      </c>
      <c r="F3" s="1" t="s">
        <v>780</v>
      </c>
      <c r="G3" s="1" t="s">
        <v>780</v>
      </c>
      <c r="H3" s="1" t="s">
        <v>780</v>
      </c>
      <c r="I3" s="1" t="s">
        <v>780</v>
      </c>
      <c r="AK3" s="1" t="s">
        <v>780</v>
      </c>
      <c r="AR3" s="1" t="s">
        <v>780</v>
      </c>
      <c r="AT3" s="1" t="s">
        <v>780</v>
      </c>
      <c r="AY3" s="1" t="s">
        <v>780</v>
      </c>
      <c r="AZ3"/>
      <c r="BA3"/>
      <c r="BB3"/>
      <c r="BC3"/>
      <c r="BD3"/>
      <c r="BK3" s="1" t="s">
        <v>780</v>
      </c>
      <c r="BS3" s="1" t="s">
        <v>780</v>
      </c>
      <c r="BT3" s="1" t="s">
        <v>780</v>
      </c>
      <c r="CA3" s="1" t="s">
        <v>780</v>
      </c>
      <c r="CB3" s="1" t="s">
        <v>780</v>
      </c>
      <c r="CC3" s="1" t="s">
        <v>780</v>
      </c>
      <c r="CD3" s="1" t="s">
        <v>780</v>
      </c>
      <c r="CE3" s="1" t="s">
        <v>780</v>
      </c>
      <c r="CF3" s="1" t="s">
        <v>780</v>
      </c>
      <c r="FH3"/>
      <c r="FM3"/>
    </row>
    <row r="4" spans="1:807" ht="145" x14ac:dyDescent="0.35">
      <c r="A4" s="1" t="s">
        <v>778</v>
      </c>
      <c r="B4" s="14" t="s">
        <v>24</v>
      </c>
      <c r="C4" s="1" t="str" cm="1">
        <f t="array" ref="C4">GetURL(B4)</f>
        <v>https://explore-education-statistics.service.gov.uk/find-statistics/apprenticeships-and-traineeships</v>
      </c>
      <c r="D4" s="1" t="s">
        <v>781</v>
      </c>
      <c r="E4" s="1" t="s">
        <v>780</v>
      </c>
      <c r="F4" s="1" t="s">
        <v>780</v>
      </c>
      <c r="G4" s="1" t="s">
        <v>780</v>
      </c>
      <c r="H4" s="1" t="s">
        <v>780</v>
      </c>
      <c r="I4" s="1" t="s">
        <v>780</v>
      </c>
      <c r="AC4" s="1" t="s">
        <v>780</v>
      </c>
      <c r="AK4" s="1" t="s">
        <v>780</v>
      </c>
      <c r="AP4" s="1" t="s">
        <v>780</v>
      </c>
      <c r="AR4" s="1" t="s">
        <v>780</v>
      </c>
      <c r="AT4" s="1" t="s">
        <v>780</v>
      </c>
      <c r="AZ4" t="s">
        <v>780</v>
      </c>
      <c r="BA4"/>
      <c r="BB4"/>
      <c r="BC4"/>
      <c r="BD4" t="s">
        <v>780</v>
      </c>
      <c r="BO4" s="1" t="s">
        <v>780</v>
      </c>
      <c r="CA4" s="1" t="s">
        <v>780</v>
      </c>
      <c r="CB4" s="1" t="s">
        <v>780</v>
      </c>
      <c r="CC4" s="1" t="s">
        <v>780</v>
      </c>
      <c r="CD4" s="1" t="s">
        <v>780</v>
      </c>
      <c r="CE4" s="1" t="s">
        <v>780</v>
      </c>
      <c r="CF4" s="1" t="s">
        <v>780</v>
      </c>
      <c r="FH4"/>
      <c r="FM4"/>
    </row>
    <row r="5" spans="1:807" ht="145" x14ac:dyDescent="0.35">
      <c r="A5" s="1" t="s">
        <v>778</v>
      </c>
      <c r="B5" s="14" t="s">
        <v>24</v>
      </c>
      <c r="C5" s="1" t="str" cm="1">
        <f t="array" ref="C5">GetURL(B5)</f>
        <v>https://explore-education-statistics.service.gov.uk/find-statistics/apprenticeships-and-traineeships</v>
      </c>
      <c r="D5" s="1" t="s">
        <v>782</v>
      </c>
      <c r="E5" s="1" t="s">
        <v>780</v>
      </c>
      <c r="F5" s="1" t="s">
        <v>780</v>
      </c>
      <c r="G5" s="1" t="s">
        <v>780</v>
      </c>
      <c r="H5" s="1" t="s">
        <v>780</v>
      </c>
      <c r="I5" s="1" t="s">
        <v>780</v>
      </c>
      <c r="AK5" s="1" t="s">
        <v>780</v>
      </c>
      <c r="AR5" s="1" t="s">
        <v>780</v>
      </c>
      <c r="AT5" s="1" t="s">
        <v>780</v>
      </c>
      <c r="AZ5"/>
      <c r="BA5"/>
      <c r="BB5"/>
      <c r="BC5"/>
      <c r="BD5" t="s">
        <v>780</v>
      </c>
      <c r="CA5" s="1" t="s">
        <v>780</v>
      </c>
      <c r="CB5" s="1" t="s">
        <v>780</v>
      </c>
      <c r="CC5" s="1" t="s">
        <v>780</v>
      </c>
      <c r="CD5" s="1" t="s">
        <v>780</v>
      </c>
      <c r="CE5" s="1" t="s">
        <v>780</v>
      </c>
      <c r="CF5" s="1" t="s">
        <v>780</v>
      </c>
      <c r="FH5" t="s">
        <v>780</v>
      </c>
      <c r="FM5"/>
    </row>
    <row r="6" spans="1:807" ht="145" x14ac:dyDescent="0.35">
      <c r="A6" s="1" t="s">
        <v>778</v>
      </c>
      <c r="B6" s="14" t="s">
        <v>24</v>
      </c>
      <c r="C6" s="1" t="str" cm="1">
        <f t="array" ref="C6">GetURL(B6)</f>
        <v>https://explore-education-statistics.service.gov.uk/find-statistics/apprenticeships-and-traineeships</v>
      </c>
      <c r="D6" s="1" t="s">
        <v>783</v>
      </c>
      <c r="E6" s="1" t="s">
        <v>780</v>
      </c>
      <c r="F6" s="1" t="s">
        <v>780</v>
      </c>
      <c r="G6" s="1" t="s">
        <v>780</v>
      </c>
      <c r="H6" s="1" t="s">
        <v>780</v>
      </c>
      <c r="I6" s="1" t="s">
        <v>780</v>
      </c>
      <c r="AK6" s="1" t="s">
        <v>780</v>
      </c>
      <c r="AR6" s="1" t="s">
        <v>780</v>
      </c>
      <c r="AT6" s="1" t="s">
        <v>780</v>
      </c>
      <c r="AY6" s="1" t="s">
        <v>780</v>
      </c>
      <c r="BK6" s="1" t="s">
        <v>780</v>
      </c>
      <c r="BS6" s="1" t="s">
        <v>780</v>
      </c>
      <c r="BT6" s="1" t="s">
        <v>780</v>
      </c>
      <c r="CA6" s="1" t="s">
        <v>780</v>
      </c>
      <c r="CB6" s="1" t="s">
        <v>780</v>
      </c>
    </row>
    <row r="7" spans="1:807" ht="145" x14ac:dyDescent="0.35">
      <c r="A7" s="1" t="s">
        <v>778</v>
      </c>
      <c r="B7" s="14" t="s">
        <v>24</v>
      </c>
      <c r="C7" s="1" t="str" cm="1">
        <f t="array" ref="C7">GetURL(B7)</f>
        <v>https://explore-education-statistics.service.gov.uk/find-statistics/apprenticeships-and-traineeships</v>
      </c>
      <c r="D7" s="1" t="s">
        <v>784</v>
      </c>
      <c r="E7" s="1" t="s">
        <v>780</v>
      </c>
      <c r="F7" s="1" t="s">
        <v>780</v>
      </c>
      <c r="G7" s="1" t="s">
        <v>780</v>
      </c>
      <c r="H7" s="1" t="s">
        <v>780</v>
      </c>
      <c r="AC7" s="1" t="s">
        <v>780</v>
      </c>
      <c r="AK7" s="1" t="s">
        <v>780</v>
      </c>
      <c r="AP7" s="1" t="s">
        <v>780</v>
      </c>
      <c r="AR7" s="1" t="s">
        <v>780</v>
      </c>
      <c r="AT7" s="1" t="s">
        <v>780</v>
      </c>
      <c r="AZ7" s="1" t="s">
        <v>780</v>
      </c>
      <c r="BD7" s="1" t="s">
        <v>780</v>
      </c>
      <c r="BO7" s="1" t="s">
        <v>780</v>
      </c>
      <c r="CA7" s="1" t="s">
        <v>780</v>
      </c>
      <c r="CB7" s="1" t="s">
        <v>780</v>
      </c>
      <c r="CC7" s="1" t="s">
        <v>780</v>
      </c>
      <c r="CD7" s="1" t="s">
        <v>780</v>
      </c>
      <c r="CE7" s="1" t="s">
        <v>780</v>
      </c>
      <c r="CF7" s="1" t="s">
        <v>780</v>
      </c>
    </row>
    <row r="8" spans="1:807" ht="145" x14ac:dyDescent="0.35">
      <c r="A8" s="1" t="s">
        <v>778</v>
      </c>
      <c r="B8" s="14" t="s">
        <v>24</v>
      </c>
      <c r="C8" s="1" t="str" cm="1">
        <f t="array" ref="C8">GetURL(B8)</f>
        <v>https://explore-education-statistics.service.gov.uk/find-statistics/apprenticeships-and-traineeships</v>
      </c>
      <c r="D8" s="1" t="s">
        <v>785</v>
      </c>
      <c r="E8" s="1" t="s">
        <v>780</v>
      </c>
      <c r="F8" s="1" t="s">
        <v>780</v>
      </c>
      <c r="G8" s="1" t="s">
        <v>780</v>
      </c>
      <c r="H8" s="1" t="s">
        <v>780</v>
      </c>
      <c r="I8" s="1" t="s">
        <v>780</v>
      </c>
      <c r="AK8" s="1" t="s">
        <v>780</v>
      </c>
      <c r="AR8" s="1" t="s">
        <v>780</v>
      </c>
      <c r="AT8" s="1" t="s">
        <v>780</v>
      </c>
      <c r="BD8" s="1" t="s">
        <v>780</v>
      </c>
      <c r="CA8" s="1" t="s">
        <v>780</v>
      </c>
      <c r="CB8" s="1" t="s">
        <v>780</v>
      </c>
      <c r="CC8" s="1" t="s">
        <v>780</v>
      </c>
      <c r="CD8" s="1" t="s">
        <v>780</v>
      </c>
      <c r="CE8" s="1" t="s">
        <v>780</v>
      </c>
      <c r="CF8" s="1" t="s">
        <v>780</v>
      </c>
      <c r="FH8" s="1" t="s">
        <v>780</v>
      </c>
    </row>
    <row r="9" spans="1:807" ht="145" x14ac:dyDescent="0.35">
      <c r="A9" s="1" t="s">
        <v>778</v>
      </c>
      <c r="B9" s="14" t="s">
        <v>24</v>
      </c>
      <c r="C9" s="1" t="str" cm="1">
        <f t="array" ref="C9">GetURL(B9)</f>
        <v>https://explore-education-statistics.service.gov.uk/find-statistics/apprenticeships-and-traineeships</v>
      </c>
      <c r="D9" s="1" t="s">
        <v>786</v>
      </c>
      <c r="E9" s="1" t="s">
        <v>780</v>
      </c>
      <c r="F9" s="1" t="s">
        <v>780</v>
      </c>
      <c r="G9" s="1" t="s">
        <v>780</v>
      </c>
      <c r="H9" s="1" t="s">
        <v>780</v>
      </c>
      <c r="I9" s="1" t="s">
        <v>780</v>
      </c>
      <c r="AC9" s="1" t="s">
        <v>780</v>
      </c>
      <c r="AK9" s="1" t="s">
        <v>780</v>
      </c>
      <c r="AR9" s="1" t="s">
        <v>780</v>
      </c>
      <c r="AT9" s="1" t="s">
        <v>780</v>
      </c>
      <c r="BD9" s="1" t="s">
        <v>780</v>
      </c>
      <c r="CA9" s="1" t="s">
        <v>780</v>
      </c>
      <c r="CB9" s="1" t="s">
        <v>780</v>
      </c>
      <c r="CC9" s="1" t="s">
        <v>780</v>
      </c>
      <c r="CD9" s="1" t="s">
        <v>780</v>
      </c>
      <c r="CE9" s="1" t="s">
        <v>780</v>
      </c>
      <c r="CF9" s="1" t="s">
        <v>780</v>
      </c>
      <c r="FI9" s="1" t="s">
        <v>780</v>
      </c>
      <c r="FJ9" s="1" t="s">
        <v>780</v>
      </c>
    </row>
    <row r="10" spans="1:807" ht="145" x14ac:dyDescent="0.35">
      <c r="A10" s="1" t="s">
        <v>778</v>
      </c>
      <c r="B10" s="14" t="s">
        <v>24</v>
      </c>
      <c r="C10" s="1" t="str" cm="1">
        <f t="array" ref="C10">GetURL(B10)</f>
        <v>https://explore-education-statistics.service.gov.uk/find-statistics/apprenticeships-and-traineeships</v>
      </c>
      <c r="D10" s="1" t="s">
        <v>787</v>
      </c>
      <c r="E10" s="1" t="s">
        <v>780</v>
      </c>
      <c r="F10" s="1" t="s">
        <v>780</v>
      </c>
      <c r="G10" s="1" t="s">
        <v>780</v>
      </c>
      <c r="H10" s="1" t="s">
        <v>780</v>
      </c>
      <c r="I10" s="1" t="s">
        <v>780</v>
      </c>
      <c r="AC10" s="1" t="s">
        <v>780</v>
      </c>
      <c r="AD10" s="1" t="s">
        <v>780</v>
      </c>
      <c r="AK10" s="1" t="s">
        <v>780</v>
      </c>
      <c r="AP10" s="1" t="s">
        <v>780</v>
      </c>
      <c r="AR10" s="1" t="s">
        <v>780</v>
      </c>
      <c r="AT10" s="1" t="s">
        <v>780</v>
      </c>
      <c r="AZ10" s="1" t="s">
        <v>788</v>
      </c>
      <c r="BD10" s="1" t="s">
        <v>788</v>
      </c>
      <c r="BE10" s="1" t="s">
        <v>780</v>
      </c>
      <c r="CA10" s="1" t="s">
        <v>780</v>
      </c>
      <c r="CB10" s="1" t="s">
        <v>780</v>
      </c>
      <c r="CC10" s="1" t="s">
        <v>780</v>
      </c>
      <c r="CD10" s="1" t="s">
        <v>780</v>
      </c>
      <c r="CE10" s="1" t="s">
        <v>780</v>
      </c>
      <c r="CF10" s="1" t="s">
        <v>780</v>
      </c>
      <c r="FL10" s="1" t="s">
        <v>780</v>
      </c>
    </row>
    <row r="11" spans="1:807" ht="145" x14ac:dyDescent="0.35">
      <c r="A11" s="1" t="s">
        <v>778</v>
      </c>
      <c r="B11" s="14" t="s">
        <v>24</v>
      </c>
      <c r="C11" s="1" t="str" cm="1">
        <f t="array" ref="C11">GetURL(B11)</f>
        <v>https://explore-education-statistics.service.gov.uk/find-statistics/apprenticeships-and-traineeships</v>
      </c>
      <c r="D11" s="1" t="s">
        <v>789</v>
      </c>
      <c r="E11" s="1" t="s">
        <v>780</v>
      </c>
      <c r="F11" s="1" t="s">
        <v>780</v>
      </c>
      <c r="G11" s="1" t="s">
        <v>780</v>
      </c>
      <c r="H11" s="1" t="s">
        <v>780</v>
      </c>
      <c r="I11" s="1" t="s">
        <v>780</v>
      </c>
      <c r="AK11" s="1" t="s">
        <v>780</v>
      </c>
      <c r="AP11" s="1" t="s">
        <v>780</v>
      </c>
      <c r="AZ11" s="1" t="s">
        <v>780</v>
      </c>
      <c r="BD11" s="1" t="s">
        <v>780</v>
      </c>
      <c r="CA11" s="1" t="s">
        <v>780</v>
      </c>
      <c r="CB11" s="1" t="s">
        <v>780</v>
      </c>
      <c r="CC11" s="1" t="s">
        <v>780</v>
      </c>
      <c r="CD11" s="1" t="s">
        <v>780</v>
      </c>
      <c r="CE11" s="1" t="s">
        <v>780</v>
      </c>
      <c r="CF11" s="1" t="s">
        <v>780</v>
      </c>
    </row>
    <row r="12" spans="1:807" ht="145" x14ac:dyDescent="0.35">
      <c r="A12" s="1" t="s">
        <v>778</v>
      </c>
      <c r="B12" s="14" t="s">
        <v>24</v>
      </c>
      <c r="C12" s="1" t="str" cm="1">
        <f t="array" ref="C12">GetURL(B12)</f>
        <v>https://explore-education-statistics.service.gov.uk/find-statistics/apprenticeships-and-traineeships</v>
      </c>
      <c r="D12" s="1" t="s">
        <v>790</v>
      </c>
      <c r="E12" s="1" t="s">
        <v>780</v>
      </c>
      <c r="F12" s="1" t="s">
        <v>780</v>
      </c>
      <c r="G12" s="1" t="s">
        <v>780</v>
      </c>
      <c r="H12" s="1" t="s">
        <v>780</v>
      </c>
      <c r="I12" s="1" t="s">
        <v>780</v>
      </c>
      <c r="AK12" s="1" t="s">
        <v>780</v>
      </c>
      <c r="CG12" s="1" t="s">
        <v>780</v>
      </c>
      <c r="CH12" s="1" t="s">
        <v>780</v>
      </c>
      <c r="CI12" s="1" t="s">
        <v>780</v>
      </c>
    </row>
    <row r="13" spans="1:807" ht="145" x14ac:dyDescent="0.35">
      <c r="A13" s="1" t="s">
        <v>778</v>
      </c>
      <c r="B13" s="14" t="s">
        <v>24</v>
      </c>
      <c r="C13" s="1" t="str" cm="1">
        <f t="array" ref="C13">GetURL(B13)</f>
        <v>https://explore-education-statistics.service.gov.uk/find-statistics/apprenticeships-and-traineeships</v>
      </c>
      <c r="D13" s="1" t="s">
        <v>791</v>
      </c>
      <c r="E13" s="1" t="s">
        <v>780</v>
      </c>
      <c r="F13" s="1" t="s">
        <v>780</v>
      </c>
      <c r="G13" s="1" t="s">
        <v>780</v>
      </c>
      <c r="H13" s="1" t="s">
        <v>780</v>
      </c>
      <c r="I13" s="1" t="s">
        <v>780</v>
      </c>
      <c r="AK13" s="1" t="s">
        <v>780</v>
      </c>
      <c r="AT13" s="1" t="s">
        <v>780</v>
      </c>
      <c r="CK13" s="1" t="s">
        <v>780</v>
      </c>
      <c r="CL13" s="1" t="s">
        <v>780</v>
      </c>
      <c r="CS13" s="1" t="s">
        <v>780</v>
      </c>
      <c r="CT13" s="1" t="s">
        <v>780</v>
      </c>
      <c r="CU13" s="1" t="s">
        <v>780</v>
      </c>
      <c r="CV13" s="1" t="s">
        <v>780</v>
      </c>
    </row>
    <row r="14" spans="1:807" ht="145" x14ac:dyDescent="0.35">
      <c r="A14" s="1" t="s">
        <v>778</v>
      </c>
      <c r="B14" s="14" t="s">
        <v>24</v>
      </c>
      <c r="C14" s="1" t="str" cm="1">
        <f t="array" ref="C14">GetURL(B14)</f>
        <v>https://explore-education-statistics.service.gov.uk/find-statistics/apprenticeships-and-traineeships</v>
      </c>
      <c r="D14" s="1" t="s">
        <v>792</v>
      </c>
      <c r="E14" s="1" t="s">
        <v>780</v>
      </c>
      <c r="F14" s="1" t="s">
        <v>780</v>
      </c>
      <c r="G14" s="1" t="s">
        <v>780</v>
      </c>
      <c r="H14" s="1" t="s">
        <v>780</v>
      </c>
      <c r="I14" s="1" t="s">
        <v>780</v>
      </c>
      <c r="AU14" s="1" t="s">
        <v>780</v>
      </c>
      <c r="CW14" s="1" t="s">
        <v>780</v>
      </c>
      <c r="CX14" s="1" t="s">
        <v>780</v>
      </c>
      <c r="CY14" s="1" t="s">
        <v>780</v>
      </c>
      <c r="CZ14" s="1" t="s">
        <v>780</v>
      </c>
      <c r="DA14" s="1" t="s">
        <v>780</v>
      </c>
      <c r="EJ14" s="1" t="s">
        <v>780</v>
      </c>
    </row>
    <row r="15" spans="1:807" ht="145" x14ac:dyDescent="0.35">
      <c r="A15" s="1" t="s">
        <v>778</v>
      </c>
      <c r="B15" s="14" t="s">
        <v>24</v>
      </c>
      <c r="C15" s="1" t="str" cm="1">
        <f t="array" ref="C15">GetURL(B15)</f>
        <v>https://explore-education-statistics.service.gov.uk/find-statistics/apprenticeships-and-traineeships</v>
      </c>
      <c r="D15" s="1" t="s">
        <v>793</v>
      </c>
      <c r="E15" s="1" t="s">
        <v>780</v>
      </c>
      <c r="F15" s="1" t="s">
        <v>780</v>
      </c>
      <c r="G15" s="1" t="s">
        <v>780</v>
      </c>
      <c r="H15" s="1" t="s">
        <v>780</v>
      </c>
      <c r="I15" s="1" t="s">
        <v>780</v>
      </c>
      <c r="J15" s="1" t="s">
        <v>780</v>
      </c>
      <c r="K15" s="1" t="s">
        <v>780</v>
      </c>
      <c r="L15" s="1" t="s">
        <v>780</v>
      </c>
      <c r="M15" s="1" t="s">
        <v>780</v>
      </c>
      <c r="N15" s="1" t="s">
        <v>780</v>
      </c>
      <c r="Q15" s="1" t="s">
        <v>780</v>
      </c>
      <c r="R15" s="1" t="s">
        <v>780</v>
      </c>
      <c r="CJ15" s="1" t="s">
        <v>780</v>
      </c>
      <c r="DA15" s="1" t="s">
        <v>780</v>
      </c>
    </row>
    <row r="16" spans="1:807" ht="145" x14ac:dyDescent="0.35">
      <c r="A16" s="1" t="s">
        <v>778</v>
      </c>
      <c r="B16" s="14" t="s">
        <v>24</v>
      </c>
      <c r="C16" s="1" t="str" cm="1">
        <f t="array" ref="C16">GetURL(B16)</f>
        <v>https://explore-education-statistics.service.gov.uk/find-statistics/apprenticeships-and-traineeships</v>
      </c>
      <c r="D16" s="1" t="s">
        <v>794</v>
      </c>
      <c r="E16" s="1" t="s">
        <v>780</v>
      </c>
      <c r="F16" s="1" t="s">
        <v>780</v>
      </c>
      <c r="G16" s="1" t="s">
        <v>780</v>
      </c>
      <c r="H16" s="1" t="s">
        <v>780</v>
      </c>
      <c r="I16" s="1" t="s">
        <v>780</v>
      </c>
      <c r="O16" s="1" t="s">
        <v>780</v>
      </c>
      <c r="P16" s="1" t="s">
        <v>780</v>
      </c>
      <c r="Q16" s="1" t="s">
        <v>780</v>
      </c>
      <c r="R16" s="1" t="s">
        <v>780</v>
      </c>
      <c r="AT16" s="1" t="s">
        <v>780</v>
      </c>
      <c r="AY16" s="1" t="s">
        <v>780</v>
      </c>
      <c r="DA16" s="1" t="s">
        <v>780</v>
      </c>
      <c r="DG16" s="1" t="s">
        <v>780</v>
      </c>
      <c r="DR16" s="1" t="s">
        <v>780</v>
      </c>
      <c r="EI16" s="1" t="s">
        <v>780</v>
      </c>
    </row>
    <row r="17" spans="1:188" ht="145" x14ac:dyDescent="0.35">
      <c r="A17" s="1" t="s">
        <v>778</v>
      </c>
      <c r="B17" s="14" t="s">
        <v>24</v>
      </c>
      <c r="C17" s="1" t="str" cm="1">
        <f t="array" ref="C17">GetURL(B17)</f>
        <v>https://explore-education-statistics.service.gov.uk/find-statistics/apprenticeships-and-traineeships</v>
      </c>
      <c r="D17" s="1" t="s">
        <v>795</v>
      </c>
      <c r="E17" s="1" t="s">
        <v>780</v>
      </c>
      <c r="F17" s="1" t="s">
        <v>780</v>
      </c>
      <c r="G17" s="1" t="s">
        <v>780</v>
      </c>
      <c r="H17" s="1" t="s">
        <v>780</v>
      </c>
      <c r="I17" s="1" t="s">
        <v>780</v>
      </c>
      <c r="Y17" s="1" t="s">
        <v>780</v>
      </c>
      <c r="Z17" s="1" t="s">
        <v>780</v>
      </c>
      <c r="AA17" s="1" t="s">
        <v>780</v>
      </c>
      <c r="AB17" s="1" t="s">
        <v>780</v>
      </c>
      <c r="AU17" s="1" t="s">
        <v>780</v>
      </c>
      <c r="AY17" s="1" t="s">
        <v>780</v>
      </c>
      <c r="BF17" s="1" t="s">
        <v>780</v>
      </c>
      <c r="BT17" s="1" t="s">
        <v>780</v>
      </c>
      <c r="DA17" s="1" t="s">
        <v>780</v>
      </c>
      <c r="DG17" s="1" t="s">
        <v>780</v>
      </c>
      <c r="EI17" s="1" t="s">
        <v>780</v>
      </c>
    </row>
    <row r="18" spans="1:188" ht="145" x14ac:dyDescent="0.35">
      <c r="A18" s="1" t="s">
        <v>778</v>
      </c>
      <c r="B18" s="14" t="s">
        <v>24</v>
      </c>
      <c r="C18" s="1" t="str" cm="1">
        <f t="array" ref="C18">GetURL(B18)</f>
        <v>https://explore-education-statistics.service.gov.uk/find-statistics/apprenticeships-and-traineeships</v>
      </c>
      <c r="D18" s="1" t="s">
        <v>796</v>
      </c>
      <c r="E18" s="1" t="s">
        <v>780</v>
      </c>
      <c r="F18" s="1" t="s">
        <v>780</v>
      </c>
      <c r="G18" s="1" t="s">
        <v>780</v>
      </c>
      <c r="H18" s="1" t="s">
        <v>780</v>
      </c>
      <c r="I18" s="1" t="s">
        <v>780</v>
      </c>
      <c r="J18" s="1" t="s">
        <v>780</v>
      </c>
      <c r="K18" s="1" t="s">
        <v>780</v>
      </c>
      <c r="L18" s="1" t="s">
        <v>780</v>
      </c>
      <c r="M18" s="1" t="s">
        <v>780</v>
      </c>
      <c r="N18" s="1" t="s">
        <v>780</v>
      </c>
      <c r="O18" s="1" t="s">
        <v>780</v>
      </c>
      <c r="Q18" s="1" t="s">
        <v>780</v>
      </c>
      <c r="R18" s="1" t="s">
        <v>780</v>
      </c>
      <c r="AT18" s="1" t="s">
        <v>780</v>
      </c>
      <c r="DA18" s="1" t="s">
        <v>780</v>
      </c>
      <c r="DC18" s="1" t="s">
        <v>780</v>
      </c>
      <c r="DG18" s="1" t="s">
        <v>780</v>
      </c>
      <c r="DI18" s="1" t="s">
        <v>780</v>
      </c>
      <c r="DR18" s="1" t="s">
        <v>780</v>
      </c>
      <c r="DX18" s="1" t="s">
        <v>780</v>
      </c>
      <c r="EI18" s="1" t="s">
        <v>780</v>
      </c>
    </row>
    <row r="19" spans="1:188" ht="145" x14ac:dyDescent="0.35">
      <c r="A19" s="1" t="s">
        <v>778</v>
      </c>
      <c r="B19" s="14" t="s">
        <v>24</v>
      </c>
      <c r="C19" s="1" t="str" cm="1">
        <f t="array" ref="C19">GetURL(B19)</f>
        <v>https://explore-education-statistics.service.gov.uk/find-statistics/apprenticeships-and-traineeships</v>
      </c>
      <c r="D19" s="1" t="s">
        <v>797</v>
      </c>
      <c r="E19" s="1" t="s">
        <v>780</v>
      </c>
      <c r="F19" s="1" t="s">
        <v>780</v>
      </c>
      <c r="G19" s="1" t="s">
        <v>780</v>
      </c>
      <c r="H19" s="1" t="s">
        <v>780</v>
      </c>
      <c r="I19" s="1" t="s">
        <v>780</v>
      </c>
      <c r="J19" s="1" t="s">
        <v>780</v>
      </c>
      <c r="K19" s="1" t="s">
        <v>780</v>
      </c>
      <c r="O19" s="1" t="s">
        <v>780</v>
      </c>
      <c r="P19" s="1" t="s">
        <v>780</v>
      </c>
      <c r="AY19" s="1" t="s">
        <v>780</v>
      </c>
      <c r="BF19" s="1" t="s">
        <v>780</v>
      </c>
      <c r="BT19" s="1" t="s">
        <v>780</v>
      </c>
      <c r="DA19" s="1" t="s">
        <v>780</v>
      </c>
      <c r="DG19" s="1" t="s">
        <v>780</v>
      </c>
      <c r="EI19" s="1" t="s">
        <v>780</v>
      </c>
    </row>
    <row r="20" spans="1:188" ht="145" x14ac:dyDescent="0.35">
      <c r="A20" s="1" t="s">
        <v>778</v>
      </c>
      <c r="B20" s="14" t="s">
        <v>24</v>
      </c>
      <c r="C20" s="1" t="str" cm="1">
        <f t="array" ref="C20">GetURL(B20)</f>
        <v>https://explore-education-statistics.service.gov.uk/find-statistics/apprenticeships-and-traineeships</v>
      </c>
      <c r="D20" s="1" t="s">
        <v>798</v>
      </c>
      <c r="E20" s="1" t="s">
        <v>780</v>
      </c>
      <c r="F20" s="1" t="s">
        <v>780</v>
      </c>
      <c r="G20" s="1" t="s">
        <v>780</v>
      </c>
      <c r="H20" s="1" t="s">
        <v>780</v>
      </c>
      <c r="I20" s="1" t="s">
        <v>780</v>
      </c>
      <c r="J20" s="1" t="s">
        <v>780</v>
      </c>
      <c r="K20" s="1" t="s">
        <v>780</v>
      </c>
      <c r="AK20" s="1" t="s">
        <v>780</v>
      </c>
      <c r="AR20" s="1" t="s">
        <v>780</v>
      </c>
      <c r="AT20" s="1" t="s">
        <v>780</v>
      </c>
      <c r="DA20" s="1" t="s">
        <v>780</v>
      </c>
      <c r="DD20" s="1" t="s">
        <v>780</v>
      </c>
      <c r="DE20" s="1" t="s">
        <v>780</v>
      </c>
      <c r="DG20" s="1" t="s">
        <v>780</v>
      </c>
      <c r="DK20" s="1" t="s">
        <v>780</v>
      </c>
      <c r="DL20" s="1" t="s">
        <v>780</v>
      </c>
      <c r="DR20" s="1" t="s">
        <v>780</v>
      </c>
      <c r="FH20" s="1" t="s">
        <v>780</v>
      </c>
      <c r="FL20" s="1" t="s">
        <v>780</v>
      </c>
    </row>
    <row r="21" spans="1:188" ht="145" x14ac:dyDescent="0.35">
      <c r="A21" s="1" t="s">
        <v>778</v>
      </c>
      <c r="B21" s="14" t="s">
        <v>24</v>
      </c>
      <c r="C21" s="1" t="str" cm="1">
        <f t="array" ref="C21">GetURL(B21)</f>
        <v>https://explore-education-statistics.service.gov.uk/find-statistics/apprenticeships-and-traineeships</v>
      </c>
      <c r="D21" s="1" t="s">
        <v>799</v>
      </c>
      <c r="E21" s="1" t="s">
        <v>780</v>
      </c>
      <c r="F21" s="1" t="s">
        <v>780</v>
      </c>
      <c r="G21" s="1" t="s">
        <v>780</v>
      </c>
      <c r="H21" s="1" t="s">
        <v>780</v>
      </c>
      <c r="I21" s="1" t="s">
        <v>780</v>
      </c>
      <c r="J21" s="1" t="s">
        <v>780</v>
      </c>
      <c r="K21" s="1" t="s">
        <v>780</v>
      </c>
      <c r="AK21" s="1" t="s">
        <v>780</v>
      </c>
      <c r="AR21" s="1" t="s">
        <v>780</v>
      </c>
      <c r="AT21" s="1" t="s">
        <v>780</v>
      </c>
      <c r="DA21" s="1" t="s">
        <v>780</v>
      </c>
      <c r="DD21" s="1" t="s">
        <v>780</v>
      </c>
      <c r="DE21" s="1" t="s">
        <v>780</v>
      </c>
      <c r="DG21" s="1" t="s">
        <v>780</v>
      </c>
      <c r="DK21" s="1" t="s">
        <v>780</v>
      </c>
      <c r="DL21" s="1" t="s">
        <v>780</v>
      </c>
      <c r="DR21" s="1" t="s">
        <v>780</v>
      </c>
      <c r="FH21" s="1" t="s">
        <v>780</v>
      </c>
      <c r="FL21" s="1" t="s">
        <v>780</v>
      </c>
    </row>
    <row r="22" spans="1:188" ht="145" x14ac:dyDescent="0.35">
      <c r="A22" s="1" t="s">
        <v>778</v>
      </c>
      <c r="B22" s="14" t="s">
        <v>24</v>
      </c>
      <c r="C22" s="1" t="str" cm="1">
        <f t="array" ref="C22">GetURL(B22)</f>
        <v>https://explore-education-statistics.service.gov.uk/find-statistics/apprenticeships-and-traineeships</v>
      </c>
      <c r="D22" s="1" t="s">
        <v>800</v>
      </c>
      <c r="E22" s="1" t="s">
        <v>780</v>
      </c>
      <c r="F22" s="1" t="s">
        <v>780</v>
      </c>
      <c r="G22" s="1" t="s">
        <v>780</v>
      </c>
      <c r="H22" s="1" t="s">
        <v>780</v>
      </c>
      <c r="I22" s="1" t="s">
        <v>780</v>
      </c>
      <c r="AR22" s="1" t="s">
        <v>780</v>
      </c>
      <c r="AU22" s="1" t="s">
        <v>780</v>
      </c>
      <c r="BO22" s="1" t="s">
        <v>780</v>
      </c>
      <c r="DR22" s="1" t="s">
        <v>780</v>
      </c>
      <c r="EQ22" s="1" t="s">
        <v>780</v>
      </c>
      <c r="ER22" s="1" t="s">
        <v>780</v>
      </c>
      <c r="FG22" s="1" t="s">
        <v>780</v>
      </c>
    </row>
    <row r="23" spans="1:188" ht="145" x14ac:dyDescent="0.35">
      <c r="A23" s="1" t="s">
        <v>778</v>
      </c>
      <c r="B23" s="14" t="s">
        <v>24</v>
      </c>
      <c r="C23" s="1" t="str" cm="1">
        <f t="array" ref="C23">GetURL(B23)</f>
        <v>https://explore-education-statistics.service.gov.uk/find-statistics/apprenticeships-and-traineeships</v>
      </c>
      <c r="D23" s="1" t="s">
        <v>801</v>
      </c>
      <c r="E23" s="1" t="s">
        <v>780</v>
      </c>
      <c r="F23" s="1" t="s">
        <v>780</v>
      </c>
      <c r="G23" s="1" t="s">
        <v>780</v>
      </c>
      <c r="H23" s="1" t="s">
        <v>780</v>
      </c>
      <c r="I23" s="1" t="s">
        <v>780</v>
      </c>
      <c r="AR23" s="1" t="s">
        <v>780</v>
      </c>
      <c r="AU23" s="1" t="s">
        <v>780</v>
      </c>
      <c r="BF23" s="1" t="s">
        <v>780</v>
      </c>
      <c r="BO23" s="1" t="s">
        <v>780</v>
      </c>
      <c r="DA23" s="1" t="s">
        <v>780</v>
      </c>
      <c r="DG23" s="1" t="s">
        <v>780</v>
      </c>
      <c r="EJ23" s="1" t="s">
        <v>780</v>
      </c>
    </row>
    <row r="24" spans="1:188" ht="145" x14ac:dyDescent="0.35">
      <c r="A24" s="1" t="s">
        <v>778</v>
      </c>
      <c r="B24" s="14" t="s">
        <v>24</v>
      </c>
      <c r="C24" s="1" t="str" cm="1">
        <f t="array" ref="C24">GetURL(B24)</f>
        <v>https://explore-education-statistics.service.gov.uk/find-statistics/apprenticeships-and-traineeships</v>
      </c>
      <c r="D24" s="2" t="s">
        <v>802</v>
      </c>
      <c r="E24" s="1" t="s">
        <v>780</v>
      </c>
      <c r="F24" s="1" t="s">
        <v>780</v>
      </c>
      <c r="G24" s="1" t="s">
        <v>780</v>
      </c>
      <c r="H24" s="1" t="s">
        <v>780</v>
      </c>
      <c r="I24" s="1" t="s">
        <v>780</v>
      </c>
      <c r="J24" s="1" t="s">
        <v>780</v>
      </c>
      <c r="K24" s="1" t="s">
        <v>780</v>
      </c>
      <c r="AK24" s="1" t="s">
        <v>780</v>
      </c>
      <c r="AR24" s="1" t="s">
        <v>780</v>
      </c>
      <c r="AT24" s="1" t="s">
        <v>780</v>
      </c>
      <c r="DA24" s="1" t="s">
        <v>780</v>
      </c>
      <c r="DD24" s="1" t="s">
        <v>780</v>
      </c>
      <c r="DE24" s="1" t="s">
        <v>780</v>
      </c>
      <c r="DG24" s="1" t="s">
        <v>780</v>
      </c>
      <c r="DK24" s="1" t="s">
        <v>780</v>
      </c>
      <c r="DL24" s="1" t="s">
        <v>780</v>
      </c>
      <c r="DR24" s="1" t="s">
        <v>780</v>
      </c>
      <c r="FH24" s="1" t="s">
        <v>780</v>
      </c>
      <c r="FL24" s="1" t="s">
        <v>780</v>
      </c>
    </row>
    <row r="25" spans="1:188" ht="145" x14ac:dyDescent="0.35">
      <c r="A25" s="1" t="s">
        <v>778</v>
      </c>
      <c r="B25" s="14" t="s">
        <v>24</v>
      </c>
      <c r="C25" s="1" t="str" cm="1">
        <f t="array" ref="C25">GetURL(B25)</f>
        <v>https://explore-education-statistics.service.gov.uk/find-statistics/apprenticeships-and-traineeships</v>
      </c>
      <c r="D25" s="1" t="s">
        <v>803</v>
      </c>
      <c r="E25" s="1" t="s">
        <v>780</v>
      </c>
      <c r="F25" s="1" t="s">
        <v>780</v>
      </c>
      <c r="G25" s="1" t="s">
        <v>780</v>
      </c>
      <c r="H25" s="1" t="s">
        <v>780</v>
      </c>
      <c r="I25" s="1" t="s">
        <v>780</v>
      </c>
      <c r="AR25" s="1" t="s">
        <v>780</v>
      </c>
      <c r="AU25" s="1" t="s">
        <v>780</v>
      </c>
      <c r="BO25" s="1" t="s">
        <v>780</v>
      </c>
      <c r="DR25" s="1" t="s">
        <v>780</v>
      </c>
      <c r="EQ25" s="1" t="s">
        <v>780</v>
      </c>
      <c r="ER25" s="1" t="s">
        <v>780</v>
      </c>
      <c r="FG25" s="1" t="s">
        <v>780</v>
      </c>
    </row>
    <row r="26" spans="1:188" ht="145" x14ac:dyDescent="0.35">
      <c r="A26" s="1" t="s">
        <v>778</v>
      </c>
      <c r="B26" s="14" t="s">
        <v>24</v>
      </c>
      <c r="C26" s="1" t="str" cm="1">
        <f t="array" ref="C26">GetURL(B26)</f>
        <v>https://explore-education-statistics.service.gov.uk/find-statistics/apprenticeships-and-traineeships</v>
      </c>
      <c r="D26" s="1" t="s">
        <v>804</v>
      </c>
      <c r="E26" s="1" t="s">
        <v>780</v>
      </c>
      <c r="F26" s="1" t="s">
        <v>780</v>
      </c>
      <c r="G26" s="1" t="s">
        <v>780</v>
      </c>
      <c r="H26" s="1" t="s">
        <v>780</v>
      </c>
      <c r="I26" s="1" t="s">
        <v>780</v>
      </c>
      <c r="AK26" s="1" t="s">
        <v>780</v>
      </c>
      <c r="AR26" s="1" t="s">
        <v>780</v>
      </c>
      <c r="AU26" s="1" t="s">
        <v>780</v>
      </c>
      <c r="AY26" s="1" t="s">
        <v>780</v>
      </c>
      <c r="BK26" s="1" t="s">
        <v>780</v>
      </c>
      <c r="BS26" s="1" t="s">
        <v>780</v>
      </c>
      <c r="BT26" s="1" t="s">
        <v>780</v>
      </c>
      <c r="BU26" s="1" t="s">
        <v>780</v>
      </c>
      <c r="DA26" s="1" t="s">
        <v>780</v>
      </c>
      <c r="DG26" s="1" t="s">
        <v>780</v>
      </c>
      <c r="DR26" s="1" t="s">
        <v>780</v>
      </c>
    </row>
    <row r="27" spans="1:188" ht="145" x14ac:dyDescent="0.35">
      <c r="A27" s="1" t="s">
        <v>778</v>
      </c>
      <c r="B27" s="14" t="s">
        <v>24</v>
      </c>
      <c r="C27" s="1" t="str" cm="1">
        <f t="array" ref="C27">GetURL(B27)</f>
        <v>https://explore-education-statistics.service.gov.uk/find-statistics/apprenticeships-and-traineeships</v>
      </c>
      <c r="D27" s="1" t="s">
        <v>805</v>
      </c>
      <c r="E27" s="1" t="s">
        <v>780</v>
      </c>
      <c r="F27" s="1" t="s">
        <v>780</v>
      </c>
      <c r="G27" s="1" t="s">
        <v>780</v>
      </c>
      <c r="H27" s="1" t="s">
        <v>780</v>
      </c>
      <c r="I27" s="1" t="s">
        <v>780</v>
      </c>
      <c r="AN27" s="1" t="s">
        <v>780</v>
      </c>
      <c r="AO27" s="1" t="s">
        <v>780</v>
      </c>
      <c r="DA27" s="1" t="s">
        <v>780</v>
      </c>
      <c r="DB27" s="1" t="s">
        <v>780</v>
      </c>
      <c r="DG27" s="1" t="s">
        <v>780</v>
      </c>
      <c r="DJ27" s="1" t="s">
        <v>780</v>
      </c>
    </row>
    <row r="28" spans="1:188" ht="145" x14ac:dyDescent="0.35">
      <c r="A28" s="1" t="s">
        <v>778</v>
      </c>
      <c r="B28" s="14" t="s">
        <v>24</v>
      </c>
      <c r="C28" s="1" t="str" cm="1">
        <f t="array" ref="C28">GetURL(B28)</f>
        <v>https://explore-education-statistics.service.gov.uk/find-statistics/apprenticeships-and-traineeships</v>
      </c>
      <c r="D28" s="1" t="s">
        <v>806</v>
      </c>
      <c r="E28" s="1" t="s">
        <v>780</v>
      </c>
      <c r="F28" s="1" t="s">
        <v>780</v>
      </c>
      <c r="G28" s="1" t="s">
        <v>780</v>
      </c>
      <c r="H28" s="1" t="s">
        <v>780</v>
      </c>
      <c r="I28" s="1" t="s">
        <v>780</v>
      </c>
      <c r="AK28" s="1" t="s">
        <v>780</v>
      </c>
      <c r="AR28" s="1" t="s">
        <v>780</v>
      </c>
      <c r="AU28" s="1" t="s">
        <v>780</v>
      </c>
      <c r="BK28" s="1" t="s">
        <v>780</v>
      </c>
      <c r="BL28" s="1" t="s">
        <v>780</v>
      </c>
      <c r="BS28" s="1" t="s">
        <v>780</v>
      </c>
      <c r="DA28" s="1" t="s">
        <v>780</v>
      </c>
      <c r="DG28" s="1" t="s">
        <v>780</v>
      </c>
      <c r="DR28" s="1" t="s">
        <v>780</v>
      </c>
    </row>
    <row r="29" spans="1:188" ht="145" x14ac:dyDescent="0.35">
      <c r="A29" s="1" t="s">
        <v>778</v>
      </c>
      <c r="B29" s="14" t="s">
        <v>24</v>
      </c>
      <c r="C29" s="1" t="str" cm="1">
        <f t="array" ref="C29">GetURL(B29)</f>
        <v>https://explore-education-statistics.service.gov.uk/find-statistics/apprenticeships-and-traineeships</v>
      </c>
      <c r="D29" s="1" t="s">
        <v>807</v>
      </c>
      <c r="E29" s="1" t="s">
        <v>780</v>
      </c>
      <c r="F29" s="1" t="s">
        <v>780</v>
      </c>
      <c r="G29" s="1" t="s">
        <v>780</v>
      </c>
      <c r="H29" s="1" t="s">
        <v>780</v>
      </c>
      <c r="I29" s="1" t="s">
        <v>780</v>
      </c>
      <c r="AC29" s="1" t="s">
        <v>780</v>
      </c>
      <c r="AK29" s="1" t="s">
        <v>780</v>
      </c>
      <c r="AU29" s="1" t="s">
        <v>780</v>
      </c>
      <c r="CL29" s="1" t="s">
        <v>780</v>
      </c>
      <c r="DA29" s="1" t="s">
        <v>780</v>
      </c>
      <c r="FL29" s="1" t="s">
        <v>780</v>
      </c>
    </row>
    <row r="30" spans="1:188" ht="145" x14ac:dyDescent="0.35">
      <c r="A30" s="1" t="s">
        <v>778</v>
      </c>
      <c r="B30" s="14" t="s">
        <v>24</v>
      </c>
      <c r="C30" s="1" t="str" cm="1">
        <f t="array" ref="C30">GetURL(B30)</f>
        <v>https://explore-education-statistics.service.gov.uk/find-statistics/apprenticeships-and-traineeships</v>
      </c>
      <c r="D30" s="1" t="s">
        <v>808</v>
      </c>
      <c r="E30" s="1" t="s">
        <v>780</v>
      </c>
      <c r="F30" s="1" t="s">
        <v>780</v>
      </c>
      <c r="G30" s="1" t="s">
        <v>780</v>
      </c>
      <c r="H30" s="1" t="s">
        <v>780</v>
      </c>
      <c r="I30" s="1" t="s">
        <v>780</v>
      </c>
      <c r="BF30" s="1" t="s">
        <v>780</v>
      </c>
      <c r="DA30" s="1" t="s">
        <v>780</v>
      </c>
      <c r="DG30" s="1" t="s">
        <v>780</v>
      </c>
      <c r="EI30" s="1" t="s">
        <v>780</v>
      </c>
      <c r="FI30" s="1" t="s">
        <v>780</v>
      </c>
      <c r="FJ30" s="1" t="s">
        <v>780</v>
      </c>
    </row>
    <row r="31" spans="1:188" ht="145" x14ac:dyDescent="0.35">
      <c r="A31" s="1" t="s">
        <v>778</v>
      </c>
      <c r="B31" s="14" t="s">
        <v>24</v>
      </c>
      <c r="C31" s="1" t="str" cm="1">
        <f t="array" ref="C31">GetURL(B31)</f>
        <v>https://explore-education-statistics.service.gov.uk/find-statistics/apprenticeships-and-traineeships</v>
      </c>
      <c r="D31" s="1" t="s">
        <v>809</v>
      </c>
      <c r="E31" s="1" t="s">
        <v>780</v>
      </c>
      <c r="F31" s="1" t="s">
        <v>780</v>
      </c>
      <c r="G31" s="1" t="s">
        <v>780</v>
      </c>
      <c r="H31" s="1" t="s">
        <v>780</v>
      </c>
      <c r="I31" s="1" t="s">
        <v>780</v>
      </c>
      <c r="FM31" s="1" t="s">
        <v>780</v>
      </c>
      <c r="FN31" s="1" t="s">
        <v>780</v>
      </c>
      <c r="FO31" s="1" t="s">
        <v>780</v>
      </c>
      <c r="FT31" s="1" t="s">
        <v>780</v>
      </c>
      <c r="FU31" s="1" t="s">
        <v>780</v>
      </c>
      <c r="FV31" s="1" t="s">
        <v>780</v>
      </c>
      <c r="FW31" s="1" t="s">
        <v>780</v>
      </c>
      <c r="FX31" s="1" t="s">
        <v>780</v>
      </c>
      <c r="FY31" s="1" t="s">
        <v>780</v>
      </c>
      <c r="FZ31" s="1" t="s">
        <v>780</v>
      </c>
      <c r="GA31" s="1" t="s">
        <v>780</v>
      </c>
      <c r="GB31" s="1" t="s">
        <v>780</v>
      </c>
      <c r="GC31" s="1" t="s">
        <v>780</v>
      </c>
      <c r="GD31" s="1" t="s">
        <v>780</v>
      </c>
      <c r="GE31" s="1" t="s">
        <v>780</v>
      </c>
    </row>
    <row r="32" spans="1:188" ht="145" x14ac:dyDescent="0.35">
      <c r="A32" s="1" t="s">
        <v>778</v>
      </c>
      <c r="B32" s="14" t="s">
        <v>24</v>
      </c>
      <c r="C32" s="1" t="str" cm="1">
        <f t="array" ref="C32">GetURL(B32)</f>
        <v>https://explore-education-statistics.service.gov.uk/find-statistics/apprenticeships-and-traineeships</v>
      </c>
      <c r="D32" s="1" t="s">
        <v>810</v>
      </c>
      <c r="E32" s="1" t="s">
        <v>780</v>
      </c>
      <c r="F32" s="1" t="s">
        <v>780</v>
      </c>
      <c r="G32" s="1" t="s">
        <v>780</v>
      </c>
      <c r="H32" s="1" t="s">
        <v>780</v>
      </c>
      <c r="I32" s="1" t="s">
        <v>780</v>
      </c>
      <c r="AT32" s="1" t="s">
        <v>780</v>
      </c>
      <c r="CG32" s="1" t="s">
        <v>780</v>
      </c>
      <c r="CJ32" s="1" t="s">
        <v>780</v>
      </c>
      <c r="EI32" s="1" t="s">
        <v>780</v>
      </c>
      <c r="GF32" s="1" t="s">
        <v>780</v>
      </c>
    </row>
    <row r="33" spans="1:203" ht="145" x14ac:dyDescent="0.35">
      <c r="A33" s="1" t="s">
        <v>778</v>
      </c>
      <c r="B33" s="14" t="s">
        <v>24</v>
      </c>
      <c r="C33" s="1" t="str" cm="1">
        <f t="array" ref="C33">GetURL(B33)</f>
        <v>https://explore-education-statistics.service.gov.uk/find-statistics/apprenticeships-and-traineeships</v>
      </c>
      <c r="D33" s="1" t="s">
        <v>811</v>
      </c>
      <c r="E33" s="1" t="s">
        <v>780</v>
      </c>
      <c r="F33" s="1" t="s">
        <v>780</v>
      </c>
      <c r="G33" s="1" t="s">
        <v>780</v>
      </c>
      <c r="H33" s="1" t="s">
        <v>780</v>
      </c>
      <c r="I33" s="1" t="s">
        <v>780</v>
      </c>
      <c r="AC33" s="1" t="s">
        <v>780</v>
      </c>
      <c r="BF33" s="1" t="s">
        <v>780</v>
      </c>
      <c r="BG33" s="1" t="s">
        <v>780</v>
      </c>
      <c r="DA33" s="1" t="s">
        <v>780</v>
      </c>
      <c r="DB33" s="1" t="s">
        <v>780</v>
      </c>
      <c r="DG33" s="1" t="s">
        <v>780</v>
      </c>
      <c r="DJ33" s="1" t="s">
        <v>780</v>
      </c>
    </row>
    <row r="34" spans="1:203" ht="145" x14ac:dyDescent="0.35">
      <c r="A34" s="1" t="s">
        <v>778</v>
      </c>
      <c r="B34" s="14" t="s">
        <v>24</v>
      </c>
      <c r="C34" s="1" t="str" cm="1">
        <f t="array" ref="C34">GetURL(B34)</f>
        <v>https://explore-education-statistics.service.gov.uk/find-statistics/apprenticeships-and-traineeships</v>
      </c>
      <c r="D34" s="1" t="s">
        <v>812</v>
      </c>
      <c r="E34" s="1" t="s">
        <v>780</v>
      </c>
      <c r="F34" s="1" t="s">
        <v>780</v>
      </c>
      <c r="G34" s="1" t="s">
        <v>780</v>
      </c>
      <c r="H34" s="1" t="s">
        <v>780</v>
      </c>
      <c r="I34" s="1" t="s">
        <v>780</v>
      </c>
      <c r="AR34" s="1" t="s">
        <v>780</v>
      </c>
      <c r="AU34" s="1" t="s">
        <v>780</v>
      </c>
      <c r="AY34" s="1" t="s">
        <v>780</v>
      </c>
      <c r="BK34" s="1" t="s">
        <v>780</v>
      </c>
      <c r="DA34" s="1" t="s">
        <v>780</v>
      </c>
      <c r="DG34" s="1" t="s">
        <v>780</v>
      </c>
      <c r="EI34" s="1" t="s">
        <v>780</v>
      </c>
      <c r="FL34" s="1" t="s">
        <v>780</v>
      </c>
    </row>
    <row r="35" spans="1:203" ht="145" x14ac:dyDescent="0.35">
      <c r="A35" s="1" t="s">
        <v>778</v>
      </c>
      <c r="B35" s="14" t="s">
        <v>24</v>
      </c>
      <c r="C35" s="1" t="str" cm="1">
        <f t="array" ref="C35">GetURL(B35)</f>
        <v>https://explore-education-statistics.service.gov.uk/find-statistics/apprenticeships-and-traineeships</v>
      </c>
      <c r="D35" s="1" t="s">
        <v>813</v>
      </c>
      <c r="E35" s="1" t="s">
        <v>780</v>
      </c>
      <c r="F35" s="1" t="s">
        <v>780</v>
      </c>
      <c r="G35" s="1" t="s">
        <v>780</v>
      </c>
      <c r="H35" s="1" t="s">
        <v>780</v>
      </c>
      <c r="I35" s="1" t="s">
        <v>780</v>
      </c>
      <c r="AC35" s="1" t="s">
        <v>780</v>
      </c>
      <c r="AG35" s="1" t="s">
        <v>780</v>
      </c>
      <c r="AI35" s="1" t="s">
        <v>780</v>
      </c>
      <c r="BF35" s="1" t="s">
        <v>780</v>
      </c>
      <c r="DA35" s="1" t="s">
        <v>780</v>
      </c>
      <c r="DG35" s="1" t="s">
        <v>780</v>
      </c>
      <c r="EJ35" s="1" t="s">
        <v>780</v>
      </c>
      <c r="GK35" s="1" t="s">
        <v>780</v>
      </c>
    </row>
    <row r="36" spans="1:203" ht="145" x14ac:dyDescent="0.35">
      <c r="A36" s="1" t="s">
        <v>778</v>
      </c>
      <c r="B36" s="14" t="s">
        <v>24</v>
      </c>
      <c r="C36" s="1" t="str" cm="1">
        <f t="array" ref="C36">GetURL(B36)</f>
        <v>https://explore-education-statistics.service.gov.uk/find-statistics/apprenticeships-and-traineeships</v>
      </c>
      <c r="D36" s="1" t="s">
        <v>814</v>
      </c>
      <c r="E36" s="1" t="s">
        <v>780</v>
      </c>
      <c r="F36" s="1" t="s">
        <v>780</v>
      </c>
      <c r="G36" s="1" t="s">
        <v>780</v>
      </c>
      <c r="H36" s="1" t="s">
        <v>780</v>
      </c>
      <c r="I36" s="1" t="s">
        <v>780</v>
      </c>
      <c r="AC36" s="1" t="s">
        <v>780</v>
      </c>
      <c r="AZ36" s="1" t="s">
        <v>780</v>
      </c>
      <c r="BF36" s="1" t="s">
        <v>780</v>
      </c>
      <c r="BG36" s="1" t="s">
        <v>780</v>
      </c>
      <c r="DA36" s="1" t="s">
        <v>780</v>
      </c>
      <c r="DG36" s="1" t="s">
        <v>780</v>
      </c>
      <c r="EH36" s="1" t="s">
        <v>780</v>
      </c>
      <c r="EI36" s="1" t="s">
        <v>780</v>
      </c>
      <c r="EJ36" s="1" t="s">
        <v>780</v>
      </c>
      <c r="EO36" s="1" t="s">
        <v>780</v>
      </c>
      <c r="EP36" s="1" t="s">
        <v>780</v>
      </c>
    </row>
    <row r="37" spans="1:203" ht="145" x14ac:dyDescent="0.35">
      <c r="A37" s="1" t="s">
        <v>778</v>
      </c>
      <c r="B37" s="14" t="s">
        <v>24</v>
      </c>
      <c r="C37" s="1" t="str" cm="1">
        <f t="array" ref="C37">GetURL(B37)</f>
        <v>https://explore-education-statistics.service.gov.uk/find-statistics/apprenticeships-and-traineeships</v>
      </c>
      <c r="D37" s="1" t="s">
        <v>815</v>
      </c>
      <c r="E37" s="1" t="s">
        <v>780</v>
      </c>
      <c r="F37" s="1" t="s">
        <v>780</v>
      </c>
      <c r="G37" s="1" t="s">
        <v>780</v>
      </c>
      <c r="H37" s="1" t="s">
        <v>780</v>
      </c>
      <c r="I37" s="1" t="s">
        <v>780</v>
      </c>
      <c r="AF37" s="1" t="s">
        <v>780</v>
      </c>
      <c r="AI37" s="1" t="s">
        <v>780</v>
      </c>
      <c r="DA37" s="1" t="s">
        <v>780</v>
      </c>
    </row>
    <row r="38" spans="1:203" ht="145" x14ac:dyDescent="0.35">
      <c r="A38" s="1" t="s">
        <v>778</v>
      </c>
      <c r="B38" s="14" t="s">
        <v>24</v>
      </c>
      <c r="C38" s="1" t="str" cm="1">
        <f t="array" ref="C38">GetURL(B38)</f>
        <v>https://explore-education-statistics.service.gov.uk/find-statistics/apprenticeships-and-traineeships</v>
      </c>
      <c r="D38" s="1" t="s">
        <v>1153</v>
      </c>
      <c r="E38" s="1" t="s">
        <v>780</v>
      </c>
      <c r="F38" s="1" t="s">
        <v>780</v>
      </c>
      <c r="G38" s="1" t="s">
        <v>780</v>
      </c>
      <c r="H38" s="1" t="s">
        <v>780</v>
      </c>
      <c r="I38" s="1" t="s">
        <v>780</v>
      </c>
      <c r="J38" s="1" t="s">
        <v>780</v>
      </c>
      <c r="K38" s="1" t="s">
        <v>780</v>
      </c>
      <c r="DF38" s="1" t="s">
        <v>780</v>
      </c>
    </row>
    <row r="39" spans="1:203" ht="145" x14ac:dyDescent="0.35">
      <c r="A39" s="1" t="s">
        <v>778</v>
      </c>
      <c r="B39" s="14" t="s">
        <v>24</v>
      </c>
      <c r="C39" s="1" t="str" cm="1">
        <f t="array" ref="C39">GetURL(B39)</f>
        <v>https://explore-education-statistics.service.gov.uk/find-statistics/apprenticeships-and-traineeships</v>
      </c>
      <c r="D39" s="1" t="s">
        <v>1154</v>
      </c>
      <c r="E39" s="1" t="s">
        <v>780</v>
      </c>
      <c r="F39" s="1" t="s">
        <v>780</v>
      </c>
      <c r="G39" s="1" t="s">
        <v>780</v>
      </c>
      <c r="H39" s="1" t="s">
        <v>780</v>
      </c>
      <c r="I39" s="1" t="s">
        <v>780</v>
      </c>
      <c r="AW39" s="1" t="s">
        <v>780</v>
      </c>
      <c r="AY39" s="1" t="s">
        <v>780</v>
      </c>
      <c r="AZ39" s="1" t="s">
        <v>780</v>
      </c>
      <c r="BF39" s="1" t="s">
        <v>780</v>
      </c>
      <c r="BK39" s="1" t="s">
        <v>780</v>
      </c>
      <c r="BS39" s="1" t="s">
        <v>780</v>
      </c>
      <c r="DA39" s="1" t="s">
        <v>780</v>
      </c>
      <c r="EJ39" s="1" t="s">
        <v>780</v>
      </c>
      <c r="GK39" s="1" t="s">
        <v>780</v>
      </c>
    </row>
    <row r="40" spans="1:203" ht="145" x14ac:dyDescent="0.35">
      <c r="A40" s="1" t="s">
        <v>778</v>
      </c>
      <c r="B40" s="14" t="s">
        <v>24</v>
      </c>
      <c r="C40" s="1" t="str" cm="1">
        <f t="array" ref="C40">GetURL(B40)</f>
        <v>https://explore-education-statistics.service.gov.uk/find-statistics/apprenticeships-and-traineeships</v>
      </c>
      <c r="D40" s="1" t="s">
        <v>817</v>
      </c>
      <c r="E40" s="1" t="s">
        <v>780</v>
      </c>
      <c r="F40" s="1" t="s">
        <v>780</v>
      </c>
      <c r="G40" s="1" t="s">
        <v>780</v>
      </c>
      <c r="H40" s="1" t="s">
        <v>780</v>
      </c>
      <c r="I40" s="1" t="s">
        <v>780</v>
      </c>
      <c r="AF40" s="1" t="s">
        <v>780</v>
      </c>
      <c r="AI40" s="1" t="s">
        <v>780</v>
      </c>
      <c r="DA40" s="1" t="s">
        <v>780</v>
      </c>
    </row>
    <row r="41" spans="1:203" ht="145" x14ac:dyDescent="0.35">
      <c r="A41" s="1" t="s">
        <v>778</v>
      </c>
      <c r="B41" s="14" t="s">
        <v>24</v>
      </c>
      <c r="C41" s="1" t="str" cm="1">
        <f t="array" ref="C41">GetURL(B41)</f>
        <v>https://explore-education-statistics.service.gov.uk/find-statistics/apprenticeships-and-traineeships</v>
      </c>
      <c r="D41" s="1" t="s">
        <v>1155</v>
      </c>
      <c r="E41" s="1" t="s">
        <v>780</v>
      </c>
      <c r="F41" s="1" t="s">
        <v>780</v>
      </c>
      <c r="G41" s="1" t="s">
        <v>780</v>
      </c>
      <c r="H41" s="1" t="s">
        <v>780</v>
      </c>
      <c r="I41" s="1" t="s">
        <v>780</v>
      </c>
      <c r="AX41" s="1" t="s">
        <v>780</v>
      </c>
      <c r="AY41" s="1" t="s">
        <v>780</v>
      </c>
      <c r="BM41" s="1" t="s">
        <v>780</v>
      </c>
      <c r="BS41" s="1" t="s">
        <v>780</v>
      </c>
      <c r="BT41" s="1" t="s">
        <v>780</v>
      </c>
      <c r="CA41" s="1" t="s">
        <v>780</v>
      </c>
      <c r="CB41" s="1" t="s">
        <v>780</v>
      </c>
      <c r="CD41" s="1" t="s">
        <v>780</v>
      </c>
      <c r="GG41" s="1" t="s">
        <v>780</v>
      </c>
      <c r="GH41" s="1" t="s">
        <v>780</v>
      </c>
    </row>
    <row r="42" spans="1:203" ht="145" x14ac:dyDescent="0.35">
      <c r="A42" s="1" t="s">
        <v>778</v>
      </c>
      <c r="B42" s="14" t="s">
        <v>24</v>
      </c>
      <c r="C42" s="1" t="str" cm="1">
        <f t="array" ref="C42">GetURL(B42)</f>
        <v>https://explore-education-statistics.service.gov.uk/find-statistics/apprenticeships-and-traineeships</v>
      </c>
      <c r="D42" s="1" t="s">
        <v>1156</v>
      </c>
      <c r="E42" s="1" t="s">
        <v>780</v>
      </c>
      <c r="F42" s="1" t="s">
        <v>780</v>
      </c>
      <c r="G42" s="1" t="s">
        <v>780</v>
      </c>
      <c r="H42" s="1" t="s">
        <v>780</v>
      </c>
      <c r="I42" s="1" t="s">
        <v>780</v>
      </c>
      <c r="AX42" s="1" t="s">
        <v>780</v>
      </c>
      <c r="CA42" s="1" t="s">
        <v>780</v>
      </c>
      <c r="CB42" s="1" t="s">
        <v>780</v>
      </c>
      <c r="CD42" s="1" t="s">
        <v>780</v>
      </c>
      <c r="FI42" s="1" t="s">
        <v>780</v>
      </c>
      <c r="FJ42" s="1" t="s">
        <v>780</v>
      </c>
      <c r="GG42" s="1" t="s">
        <v>780</v>
      </c>
      <c r="GH42" s="1" t="s">
        <v>780</v>
      </c>
    </row>
    <row r="43" spans="1:203" ht="145" x14ac:dyDescent="0.35">
      <c r="A43" s="1" t="s">
        <v>778</v>
      </c>
      <c r="B43" s="14" t="s">
        <v>24</v>
      </c>
      <c r="C43" s="1" t="str" cm="1">
        <f t="array" ref="C43">GetURL(B43)</f>
        <v>https://explore-education-statistics.service.gov.uk/find-statistics/apprenticeships-and-traineeships</v>
      </c>
      <c r="D43" s="1" t="s">
        <v>819</v>
      </c>
      <c r="E43" s="1" t="s">
        <v>780</v>
      </c>
      <c r="F43" s="1" t="s">
        <v>780</v>
      </c>
      <c r="G43" s="1" t="s">
        <v>780</v>
      </c>
      <c r="H43" s="1" t="s">
        <v>780</v>
      </c>
      <c r="I43" s="1" t="s">
        <v>780</v>
      </c>
      <c r="FI43" s="1" t="s">
        <v>780</v>
      </c>
      <c r="FJ43" s="1" t="s">
        <v>780</v>
      </c>
    </row>
    <row r="44" spans="1:203" ht="145" x14ac:dyDescent="0.35">
      <c r="A44" s="1" t="s">
        <v>778</v>
      </c>
      <c r="B44" s="14" t="s">
        <v>24</v>
      </c>
      <c r="C44" s="1" t="str" cm="1">
        <f t="array" ref="C44">GetURL(B44)</f>
        <v>https://explore-education-statistics.service.gov.uk/find-statistics/apprenticeships-and-traineeships</v>
      </c>
      <c r="D44" s="1" t="s">
        <v>1157</v>
      </c>
      <c r="E44" s="1" t="s">
        <v>780</v>
      </c>
      <c r="F44" s="1" t="s">
        <v>780</v>
      </c>
      <c r="G44" s="1" t="s">
        <v>780</v>
      </c>
      <c r="H44" s="1" t="s">
        <v>780</v>
      </c>
      <c r="I44" s="1" t="s">
        <v>780</v>
      </c>
      <c r="J44" s="1" t="s">
        <v>780</v>
      </c>
      <c r="CN44" s="1" t="s">
        <v>780</v>
      </c>
      <c r="CO44" s="1" t="s">
        <v>780</v>
      </c>
      <c r="CP44" s="1" t="s">
        <v>780</v>
      </c>
      <c r="CQ44" s="1" t="s">
        <v>780</v>
      </c>
      <c r="CR44" s="1" t="s">
        <v>780</v>
      </c>
      <c r="DF44" s="1" t="s">
        <v>780</v>
      </c>
    </row>
    <row r="45" spans="1:203" ht="145" x14ac:dyDescent="0.35">
      <c r="A45" s="1" t="s">
        <v>778</v>
      </c>
      <c r="B45" s="14" t="s">
        <v>24</v>
      </c>
      <c r="C45" s="1" t="str" cm="1">
        <f t="array" ref="C45">GetURL(B45)</f>
        <v>https://explore-education-statistics.service.gov.uk/find-statistics/apprenticeships-and-traineeships</v>
      </c>
      <c r="D45" s="1" t="s">
        <v>821</v>
      </c>
      <c r="E45" s="1" t="s">
        <v>780</v>
      </c>
      <c r="F45" s="1" t="s">
        <v>780</v>
      </c>
      <c r="G45" s="1" t="s">
        <v>780</v>
      </c>
      <c r="H45" s="1" t="s">
        <v>780</v>
      </c>
      <c r="I45" s="1" t="s">
        <v>780</v>
      </c>
      <c r="EK45" s="1" t="s">
        <v>780</v>
      </c>
      <c r="EL45" s="1" t="s">
        <v>780</v>
      </c>
      <c r="EM45" s="1" t="s">
        <v>780</v>
      </c>
      <c r="EN45" s="1" t="s">
        <v>780</v>
      </c>
      <c r="GK45" s="1" t="s">
        <v>780</v>
      </c>
      <c r="GL45" s="1" t="s">
        <v>780</v>
      </c>
      <c r="GM45" s="1" t="s">
        <v>780</v>
      </c>
      <c r="GN45" s="1" t="s">
        <v>780</v>
      </c>
      <c r="GO45" s="1" t="s">
        <v>780</v>
      </c>
      <c r="GP45" s="1" t="s">
        <v>780</v>
      </c>
      <c r="GQ45" s="1" t="s">
        <v>780</v>
      </c>
    </row>
    <row r="46" spans="1:203" ht="145" x14ac:dyDescent="0.35">
      <c r="A46" s="1" t="s">
        <v>778</v>
      </c>
      <c r="B46" s="14" t="s">
        <v>822</v>
      </c>
      <c r="C46" s="1" t="str" cm="1">
        <f t="array" ref="C46">GetURL(B46)</f>
        <v>https://explore-education-statistics.service.gov.uk/find-statistics/further-education-and-skills</v>
      </c>
      <c r="D46" s="1" t="s">
        <v>823</v>
      </c>
      <c r="E46" s="1" t="s">
        <v>780</v>
      </c>
      <c r="F46" s="1" t="s">
        <v>780</v>
      </c>
      <c r="G46" s="1" t="s">
        <v>780</v>
      </c>
      <c r="H46" s="1" t="s">
        <v>780</v>
      </c>
      <c r="I46" s="1" t="s">
        <v>780</v>
      </c>
      <c r="AX46" s="1" t="s">
        <v>780</v>
      </c>
      <c r="BD46" s="1" t="s">
        <v>780</v>
      </c>
      <c r="CA46" s="1" t="s">
        <v>780</v>
      </c>
      <c r="CB46" s="1" t="s">
        <v>780</v>
      </c>
      <c r="CC46" s="1" t="s">
        <v>780</v>
      </c>
      <c r="CD46" s="1" t="s">
        <v>780</v>
      </c>
      <c r="CE46" s="1" t="s">
        <v>780</v>
      </c>
      <c r="CF46" s="1" t="s">
        <v>780</v>
      </c>
      <c r="GT46" s="1" t="s">
        <v>780</v>
      </c>
      <c r="GU46" s="1" t="s">
        <v>780</v>
      </c>
    </row>
    <row r="47" spans="1:203" ht="145" x14ac:dyDescent="0.35">
      <c r="A47" s="1" t="s">
        <v>778</v>
      </c>
      <c r="B47" s="14" t="s">
        <v>822</v>
      </c>
      <c r="C47" s="1" t="str" cm="1">
        <f t="array" ref="C47">GetURL(B47)</f>
        <v>https://explore-education-statistics.service.gov.uk/find-statistics/further-education-and-skills</v>
      </c>
      <c r="D47" s="1" t="s">
        <v>824</v>
      </c>
      <c r="E47" s="1" t="s">
        <v>780</v>
      </c>
      <c r="F47" s="1" t="s">
        <v>780</v>
      </c>
      <c r="G47" s="1" t="s">
        <v>780</v>
      </c>
      <c r="H47" s="1" t="s">
        <v>780</v>
      </c>
      <c r="I47" s="1" t="s">
        <v>780</v>
      </c>
      <c r="AX47" s="1" t="s">
        <v>780</v>
      </c>
      <c r="AY47" s="1" t="s">
        <v>780</v>
      </c>
      <c r="BM47" s="1" t="s">
        <v>780</v>
      </c>
      <c r="BS47" s="1" t="s">
        <v>780</v>
      </c>
      <c r="BT47" s="1" t="s">
        <v>780</v>
      </c>
      <c r="CA47" s="1" t="s">
        <v>780</v>
      </c>
      <c r="CB47" s="1" t="s">
        <v>780</v>
      </c>
      <c r="CC47" s="1" t="s">
        <v>780</v>
      </c>
      <c r="CD47" s="1" t="s">
        <v>780</v>
      </c>
      <c r="CE47" s="1" t="s">
        <v>780</v>
      </c>
      <c r="CF47" s="1" t="s">
        <v>780</v>
      </c>
      <c r="GT47" s="1" t="s">
        <v>780</v>
      </c>
    </row>
    <row r="48" spans="1:203" ht="145" x14ac:dyDescent="0.35">
      <c r="A48" s="1" t="s">
        <v>778</v>
      </c>
      <c r="B48" s="14" t="s">
        <v>822</v>
      </c>
      <c r="C48" s="1" t="str" cm="1">
        <f t="array" ref="C48">GetURL(B48)</f>
        <v>https://explore-education-statistics.service.gov.uk/find-statistics/further-education-and-skills</v>
      </c>
      <c r="D48" s="1" t="s">
        <v>825</v>
      </c>
      <c r="E48" s="1" t="s">
        <v>780</v>
      </c>
      <c r="F48" s="1" t="s">
        <v>780</v>
      </c>
      <c r="G48" s="1" t="s">
        <v>780</v>
      </c>
      <c r="H48" s="1" t="s">
        <v>780</v>
      </c>
      <c r="AX48" s="1" t="s">
        <v>780</v>
      </c>
      <c r="BD48" s="1" t="s">
        <v>780</v>
      </c>
      <c r="BO48" s="1" t="s">
        <v>780</v>
      </c>
      <c r="CA48" s="1" t="s">
        <v>780</v>
      </c>
      <c r="CB48" s="1" t="s">
        <v>780</v>
      </c>
      <c r="CC48" s="1" t="s">
        <v>780</v>
      </c>
      <c r="CD48" s="1" t="s">
        <v>780</v>
      </c>
      <c r="CE48" s="1" t="s">
        <v>780</v>
      </c>
      <c r="CF48" s="1" t="s">
        <v>780</v>
      </c>
      <c r="GT48" s="1" t="s">
        <v>780</v>
      </c>
      <c r="GU48" s="1" t="s">
        <v>780</v>
      </c>
    </row>
    <row r="49" spans="1:246" ht="145" x14ac:dyDescent="0.35">
      <c r="A49" s="1" t="s">
        <v>778</v>
      </c>
      <c r="B49" s="14" t="s">
        <v>822</v>
      </c>
      <c r="C49" s="1" t="str" cm="1">
        <f t="array" ref="C49">GetURL(B49)</f>
        <v>https://explore-education-statistics.service.gov.uk/find-statistics/further-education-and-skills</v>
      </c>
      <c r="D49" s="1" t="s">
        <v>826</v>
      </c>
      <c r="E49" s="1" t="s">
        <v>780</v>
      </c>
      <c r="F49" s="1" t="s">
        <v>780</v>
      </c>
      <c r="G49" s="1" t="s">
        <v>780</v>
      </c>
      <c r="H49" s="1" t="s">
        <v>780</v>
      </c>
      <c r="I49" s="1" t="s">
        <v>780</v>
      </c>
      <c r="BD49" s="1" t="s">
        <v>780</v>
      </c>
      <c r="CA49" s="1" t="s">
        <v>780</v>
      </c>
      <c r="CB49" s="1" t="s">
        <v>780</v>
      </c>
      <c r="CC49" s="1" t="s">
        <v>780</v>
      </c>
      <c r="CD49" s="1" t="s">
        <v>780</v>
      </c>
      <c r="CE49" s="1" t="s">
        <v>780</v>
      </c>
      <c r="CF49" s="1" t="s">
        <v>780</v>
      </c>
      <c r="FH49" s="1" t="s">
        <v>780</v>
      </c>
      <c r="GT49" s="1" t="s">
        <v>780</v>
      </c>
      <c r="GU49" s="1" t="s">
        <v>780</v>
      </c>
    </row>
    <row r="50" spans="1:246" ht="145" x14ac:dyDescent="0.35">
      <c r="A50" s="1" t="s">
        <v>778</v>
      </c>
      <c r="B50" s="14" t="s">
        <v>822</v>
      </c>
      <c r="C50" s="1" t="str" cm="1">
        <f t="array" ref="C50">GetURL(B50)</f>
        <v>https://explore-education-statistics.service.gov.uk/find-statistics/further-education-and-skills</v>
      </c>
      <c r="D50" s="1" t="s">
        <v>827</v>
      </c>
      <c r="E50" s="1" t="s">
        <v>780</v>
      </c>
      <c r="F50" s="1" t="s">
        <v>780</v>
      </c>
      <c r="G50" s="1" t="s">
        <v>780</v>
      </c>
      <c r="H50" s="1" t="s">
        <v>780</v>
      </c>
      <c r="I50" s="1" t="s">
        <v>780</v>
      </c>
      <c r="AX50" s="1" t="s">
        <v>780</v>
      </c>
      <c r="BD50" s="1" t="s">
        <v>780</v>
      </c>
      <c r="CA50" s="1" t="s">
        <v>780</v>
      </c>
      <c r="CB50" s="1" t="s">
        <v>780</v>
      </c>
      <c r="CC50" s="1" t="s">
        <v>780</v>
      </c>
      <c r="CD50" s="1" t="s">
        <v>780</v>
      </c>
      <c r="CE50" s="1" t="s">
        <v>780</v>
      </c>
      <c r="CF50" s="1" t="s">
        <v>780</v>
      </c>
      <c r="FI50" s="1" t="s">
        <v>780</v>
      </c>
      <c r="GT50" s="1" t="s">
        <v>780</v>
      </c>
      <c r="GU50" s="1" t="s">
        <v>780</v>
      </c>
    </row>
    <row r="51" spans="1:246" ht="145" x14ac:dyDescent="0.35">
      <c r="A51" s="1" t="s">
        <v>778</v>
      </c>
      <c r="B51" s="14" t="s">
        <v>822</v>
      </c>
      <c r="C51" s="1" t="str" cm="1">
        <f t="array" ref="C51">GetURL(B51)</f>
        <v>https://explore-education-statistics.service.gov.uk/find-statistics/further-education-and-skills</v>
      </c>
      <c r="D51" s="1" t="s">
        <v>828</v>
      </c>
      <c r="E51" s="1" t="s">
        <v>780</v>
      </c>
      <c r="F51" s="1" t="s">
        <v>780</v>
      </c>
      <c r="G51" s="1" t="s">
        <v>780</v>
      </c>
      <c r="H51" s="1" t="s">
        <v>780</v>
      </c>
      <c r="I51" s="1" t="s">
        <v>780</v>
      </c>
      <c r="AK51" s="1" t="s">
        <v>780</v>
      </c>
      <c r="AX51" s="1" t="s">
        <v>780</v>
      </c>
      <c r="BD51" s="1" t="s">
        <v>780</v>
      </c>
      <c r="CA51" s="1" t="s">
        <v>780</v>
      </c>
      <c r="CB51" s="1" t="s">
        <v>780</v>
      </c>
      <c r="CC51" s="1" t="s">
        <v>780</v>
      </c>
      <c r="CD51" s="1" t="s">
        <v>780</v>
      </c>
      <c r="CE51" s="1" t="s">
        <v>780</v>
      </c>
      <c r="CF51" s="1" t="s">
        <v>780</v>
      </c>
      <c r="GU51" s="1" t="s">
        <v>780</v>
      </c>
      <c r="GX51" s="1" t="s">
        <v>780</v>
      </c>
    </row>
    <row r="52" spans="1:246" ht="145" x14ac:dyDescent="0.35">
      <c r="A52" s="1" t="s">
        <v>778</v>
      </c>
      <c r="B52" s="14" t="s">
        <v>822</v>
      </c>
      <c r="C52" s="1" t="str" cm="1">
        <f t="array" ref="C52">GetURL(B52)</f>
        <v>https://explore-education-statistics.service.gov.uk/find-statistics/further-education-and-skills</v>
      </c>
      <c r="D52" s="3" t="s">
        <v>829</v>
      </c>
      <c r="E52" s="1" t="s">
        <v>780</v>
      </c>
      <c r="F52" s="1" t="s">
        <v>780</v>
      </c>
      <c r="G52" s="1" t="s">
        <v>780</v>
      </c>
      <c r="H52" s="1" t="s">
        <v>780</v>
      </c>
      <c r="I52" s="1" t="s">
        <v>780</v>
      </c>
      <c r="AF52" s="1" t="s">
        <v>780</v>
      </c>
      <c r="AI52" s="1" t="s">
        <v>780</v>
      </c>
      <c r="AX52" s="1" t="s">
        <v>780</v>
      </c>
      <c r="BD52" s="1" t="s">
        <v>780</v>
      </c>
      <c r="CA52" s="1" t="s">
        <v>780</v>
      </c>
      <c r="CB52" s="1" t="s">
        <v>780</v>
      </c>
      <c r="CC52" s="1" t="s">
        <v>780</v>
      </c>
      <c r="CD52" s="1" t="s">
        <v>780</v>
      </c>
      <c r="CE52" s="1" t="s">
        <v>780</v>
      </c>
      <c r="CF52" s="1" t="s">
        <v>780</v>
      </c>
      <c r="GT52" s="1" t="s">
        <v>780</v>
      </c>
    </row>
    <row r="53" spans="1:246" ht="145" x14ac:dyDescent="0.35">
      <c r="A53" s="1" t="s">
        <v>778</v>
      </c>
      <c r="B53" s="14" t="s">
        <v>822</v>
      </c>
      <c r="C53" s="1" t="str" cm="1">
        <f t="array" ref="C53">GetURL(B53)</f>
        <v>https://explore-education-statistics.service.gov.uk/find-statistics/further-education-and-skills</v>
      </c>
      <c r="D53" s="1" t="s">
        <v>830</v>
      </c>
      <c r="E53" s="1" t="s">
        <v>780</v>
      </c>
      <c r="F53" s="1" t="s">
        <v>780</v>
      </c>
      <c r="G53" s="1" t="s">
        <v>780</v>
      </c>
      <c r="H53" s="1" t="s">
        <v>780</v>
      </c>
      <c r="I53" s="1" t="s">
        <v>780</v>
      </c>
      <c r="J53" s="1" t="s">
        <v>780</v>
      </c>
      <c r="K53" s="1" t="s">
        <v>780</v>
      </c>
      <c r="AE53" s="1" t="s">
        <v>780</v>
      </c>
      <c r="AG53" s="1" t="s">
        <v>780</v>
      </c>
      <c r="BF53" s="1" t="s">
        <v>780</v>
      </c>
      <c r="FH53" s="1" t="s">
        <v>780</v>
      </c>
      <c r="GU53" s="1" t="s">
        <v>780</v>
      </c>
      <c r="HB53" s="1" t="s">
        <v>780</v>
      </c>
      <c r="HC53" s="1" t="s">
        <v>780</v>
      </c>
      <c r="HD53" s="1" t="s">
        <v>780</v>
      </c>
    </row>
    <row r="54" spans="1:246" ht="145" x14ac:dyDescent="0.35">
      <c r="A54" s="1" t="s">
        <v>778</v>
      </c>
      <c r="B54" s="14" t="s">
        <v>822</v>
      </c>
      <c r="C54" s="1" t="str" cm="1">
        <f t="array" ref="C54">GetURL(B54)</f>
        <v>https://explore-education-statistics.service.gov.uk/find-statistics/further-education-and-skills</v>
      </c>
      <c r="D54" s="1" t="s">
        <v>831</v>
      </c>
      <c r="E54" s="1" t="s">
        <v>780</v>
      </c>
      <c r="F54" s="1" t="s">
        <v>780</v>
      </c>
      <c r="G54" s="1" t="s">
        <v>780</v>
      </c>
      <c r="H54" s="1" t="s">
        <v>780</v>
      </c>
      <c r="I54" s="1" t="s">
        <v>780</v>
      </c>
      <c r="AL54" s="1" t="s">
        <v>780</v>
      </c>
      <c r="AM54" s="1" t="s">
        <v>780</v>
      </c>
      <c r="AT54" s="1" t="s">
        <v>780</v>
      </c>
      <c r="ES54" s="1" t="s">
        <v>780</v>
      </c>
    </row>
    <row r="55" spans="1:246" ht="145" x14ac:dyDescent="0.35">
      <c r="A55" s="1" t="s">
        <v>778</v>
      </c>
      <c r="B55" s="14" t="s">
        <v>822</v>
      </c>
      <c r="C55" s="1" t="str" cm="1">
        <f t="array" ref="C55">GetURL(B55)</f>
        <v>https://explore-education-statistics.service.gov.uk/find-statistics/further-education-and-skills</v>
      </c>
      <c r="D55" s="1" t="s">
        <v>832</v>
      </c>
      <c r="E55" s="1" t="s">
        <v>780</v>
      </c>
      <c r="F55" s="1" t="s">
        <v>780</v>
      </c>
      <c r="G55" s="1" t="s">
        <v>780</v>
      </c>
      <c r="H55" s="1" t="s">
        <v>780</v>
      </c>
      <c r="I55" s="1" t="s">
        <v>780</v>
      </c>
      <c r="HE55" s="1" t="s">
        <v>780</v>
      </c>
      <c r="HF55" s="1" t="s">
        <v>780</v>
      </c>
      <c r="HG55" s="1" t="s">
        <v>780</v>
      </c>
      <c r="HH55" s="1" t="s">
        <v>780</v>
      </c>
      <c r="HI55" s="1" t="s">
        <v>780</v>
      </c>
      <c r="HJ55" s="1" t="s">
        <v>780</v>
      </c>
      <c r="HK55" s="1" t="s">
        <v>780</v>
      </c>
      <c r="HM55" s="1" t="s">
        <v>780</v>
      </c>
      <c r="HN55" s="1" t="s">
        <v>780</v>
      </c>
      <c r="HO55" s="1" t="s">
        <v>780</v>
      </c>
      <c r="HP55" s="1" t="s">
        <v>780</v>
      </c>
      <c r="HQ55" s="1" t="s">
        <v>780</v>
      </c>
      <c r="HR55" s="1" t="s">
        <v>780</v>
      </c>
      <c r="HS55" s="1" t="s">
        <v>780</v>
      </c>
      <c r="HT55" s="1" t="s">
        <v>780</v>
      </c>
      <c r="HV55" s="1" t="s">
        <v>780</v>
      </c>
    </row>
    <row r="56" spans="1:246" ht="145" x14ac:dyDescent="0.35">
      <c r="A56" s="1" t="s">
        <v>778</v>
      </c>
      <c r="B56" s="14" t="s">
        <v>822</v>
      </c>
      <c r="C56" s="1" t="str" cm="1">
        <f t="array" ref="C56">GetURL(B56)</f>
        <v>https://explore-education-statistics.service.gov.uk/find-statistics/further-education-and-skills</v>
      </c>
      <c r="D56" s="1" t="s">
        <v>833</v>
      </c>
      <c r="E56" s="1" t="s">
        <v>780</v>
      </c>
      <c r="F56" s="1" t="s">
        <v>780</v>
      </c>
      <c r="G56" s="1" t="s">
        <v>780</v>
      </c>
      <c r="H56" s="1" t="s">
        <v>780</v>
      </c>
      <c r="I56" s="1" t="s">
        <v>780</v>
      </c>
      <c r="HE56" s="1" t="s">
        <v>780</v>
      </c>
      <c r="HF56" s="1" t="s">
        <v>780</v>
      </c>
      <c r="HG56" s="1" t="s">
        <v>780</v>
      </c>
      <c r="HH56" s="1" t="s">
        <v>780</v>
      </c>
      <c r="HI56" s="1" t="s">
        <v>780</v>
      </c>
      <c r="HJ56" s="1" t="s">
        <v>780</v>
      </c>
      <c r="HK56" s="1" t="s">
        <v>780</v>
      </c>
      <c r="HM56" s="1" t="s">
        <v>780</v>
      </c>
    </row>
    <row r="57" spans="1:246" ht="145" x14ac:dyDescent="0.35">
      <c r="A57" s="1" t="s">
        <v>778</v>
      </c>
      <c r="B57" s="14" t="s">
        <v>822</v>
      </c>
      <c r="C57" s="1" t="str" cm="1">
        <f t="array" ref="C57">GetURL(B57)</f>
        <v>https://explore-education-statistics.service.gov.uk/find-statistics/further-education-and-skills</v>
      </c>
      <c r="D57" s="1" t="s">
        <v>834</v>
      </c>
      <c r="E57" s="1" t="s">
        <v>780</v>
      </c>
      <c r="F57" s="1" t="s">
        <v>780</v>
      </c>
      <c r="G57" s="1" t="s">
        <v>780</v>
      </c>
      <c r="H57" s="1" t="s">
        <v>780</v>
      </c>
      <c r="I57" s="1" t="s">
        <v>780</v>
      </c>
      <c r="AK57" s="1" t="s">
        <v>780</v>
      </c>
      <c r="AR57" s="1" t="s">
        <v>780</v>
      </c>
      <c r="BH57" s="1" t="s">
        <v>780</v>
      </c>
      <c r="DO57" s="1" t="s">
        <v>780</v>
      </c>
      <c r="DP57" s="1" t="s">
        <v>780</v>
      </c>
      <c r="DQ57" s="1" t="s">
        <v>780</v>
      </c>
      <c r="DY57" s="1" t="s">
        <v>780</v>
      </c>
      <c r="DZ57" s="1" t="s">
        <v>780</v>
      </c>
      <c r="EA57" s="1" t="s">
        <v>780</v>
      </c>
      <c r="EB57" s="1" t="s">
        <v>780</v>
      </c>
      <c r="HW57" s="1" t="s">
        <v>780</v>
      </c>
    </row>
    <row r="58" spans="1:246" ht="145" x14ac:dyDescent="0.35">
      <c r="A58" s="1" t="s">
        <v>778</v>
      </c>
      <c r="B58" s="14" t="s">
        <v>822</v>
      </c>
      <c r="C58" s="1" t="str" cm="1">
        <f t="array" ref="C58">GetURL(B58)</f>
        <v>https://explore-education-statistics.service.gov.uk/find-statistics/further-education-and-skills</v>
      </c>
      <c r="D58" s="1" t="s">
        <v>835</v>
      </c>
      <c r="E58" s="1" t="s">
        <v>780</v>
      </c>
      <c r="F58" s="1" t="s">
        <v>780</v>
      </c>
      <c r="G58" s="1" t="s">
        <v>780</v>
      </c>
      <c r="H58" s="1" t="s">
        <v>780</v>
      </c>
      <c r="I58" s="1" t="s">
        <v>780</v>
      </c>
      <c r="J58" s="1" t="s">
        <v>780</v>
      </c>
      <c r="K58" s="1" t="s">
        <v>780</v>
      </c>
      <c r="N58" s="1" t="s">
        <v>780</v>
      </c>
      <c r="P58" s="1" t="s">
        <v>780</v>
      </c>
      <c r="Q58" s="1" t="s">
        <v>780</v>
      </c>
      <c r="R58" s="1" t="s">
        <v>780</v>
      </c>
      <c r="AR58" s="1" t="s">
        <v>780</v>
      </c>
      <c r="BI58" s="1" t="s">
        <v>780</v>
      </c>
      <c r="DG58" s="1" t="s">
        <v>780</v>
      </c>
      <c r="DR58" s="1" t="s">
        <v>780</v>
      </c>
    </row>
    <row r="59" spans="1:246" ht="145" x14ac:dyDescent="0.35">
      <c r="A59" s="1" t="s">
        <v>778</v>
      </c>
      <c r="B59" s="14" t="s">
        <v>822</v>
      </c>
      <c r="C59" s="1" t="str" cm="1">
        <f t="array" ref="C59">GetURL(B59)</f>
        <v>https://explore-education-statistics.service.gov.uk/find-statistics/further-education-and-skills</v>
      </c>
      <c r="D59" s="1" t="s">
        <v>836</v>
      </c>
      <c r="E59" s="1" t="s">
        <v>780</v>
      </c>
      <c r="F59" s="1" t="s">
        <v>780</v>
      </c>
      <c r="G59" s="1" t="s">
        <v>780</v>
      </c>
      <c r="H59" s="1" t="s">
        <v>780</v>
      </c>
      <c r="I59" s="1" t="s">
        <v>780</v>
      </c>
      <c r="J59" s="1" t="s">
        <v>780</v>
      </c>
      <c r="K59" s="1" t="s">
        <v>780</v>
      </c>
      <c r="N59" s="1" t="s">
        <v>780</v>
      </c>
      <c r="O59" s="1" t="s">
        <v>780</v>
      </c>
      <c r="AW59" s="1" t="s">
        <v>780</v>
      </c>
      <c r="AY59" s="1" t="s">
        <v>780</v>
      </c>
      <c r="BT59" s="1" t="s">
        <v>780</v>
      </c>
      <c r="HN59" s="1" t="s">
        <v>780</v>
      </c>
      <c r="HX59" s="1" t="s">
        <v>780</v>
      </c>
      <c r="HY59" s="1" t="s">
        <v>780</v>
      </c>
      <c r="HZ59" s="1" t="s">
        <v>780</v>
      </c>
      <c r="IA59" s="1" t="s">
        <v>780</v>
      </c>
      <c r="IB59" s="1" t="s">
        <v>780</v>
      </c>
      <c r="IC59" s="1" t="s">
        <v>780</v>
      </c>
      <c r="ID59" s="1" t="s">
        <v>780</v>
      </c>
      <c r="IE59" s="1" t="s">
        <v>780</v>
      </c>
      <c r="IF59" s="1" t="s">
        <v>780</v>
      </c>
    </row>
    <row r="60" spans="1:246" ht="145" x14ac:dyDescent="0.35">
      <c r="A60" s="1" t="s">
        <v>778</v>
      </c>
      <c r="B60" s="14" t="s">
        <v>822</v>
      </c>
      <c r="C60" s="1" t="str" cm="1">
        <f t="array" ref="C60">GetURL(B60)</f>
        <v>https://explore-education-statistics.service.gov.uk/find-statistics/further-education-and-skills</v>
      </c>
      <c r="D60" s="1" t="s">
        <v>837</v>
      </c>
      <c r="E60" s="1" t="s">
        <v>780</v>
      </c>
      <c r="F60" s="1" t="s">
        <v>780</v>
      </c>
      <c r="G60" s="1" t="s">
        <v>780</v>
      </c>
      <c r="H60" s="1" t="s">
        <v>780</v>
      </c>
      <c r="I60" s="1" t="s">
        <v>780</v>
      </c>
      <c r="AW60" s="1" t="s">
        <v>780</v>
      </c>
      <c r="AY60" s="1" t="s">
        <v>780</v>
      </c>
      <c r="BK60" s="1" t="s">
        <v>780</v>
      </c>
      <c r="BL60" s="1" t="s">
        <v>780</v>
      </c>
      <c r="BS60" s="1" t="s">
        <v>780</v>
      </c>
      <c r="HN60" s="1" t="s">
        <v>780</v>
      </c>
      <c r="HX60" s="1" t="s">
        <v>780</v>
      </c>
      <c r="HY60" s="1" t="s">
        <v>780</v>
      </c>
      <c r="HZ60" s="1" t="s">
        <v>780</v>
      </c>
      <c r="IA60" s="1" t="s">
        <v>780</v>
      </c>
      <c r="IB60" s="1" t="s">
        <v>780</v>
      </c>
      <c r="IC60" s="1" t="s">
        <v>780</v>
      </c>
      <c r="ID60" s="1" t="s">
        <v>780</v>
      </c>
      <c r="IE60" s="1" t="s">
        <v>780</v>
      </c>
      <c r="IF60" s="1" t="s">
        <v>780</v>
      </c>
    </row>
    <row r="61" spans="1:246" ht="145" x14ac:dyDescent="0.35">
      <c r="A61" s="1" t="s">
        <v>778</v>
      </c>
      <c r="B61" s="14" t="s">
        <v>822</v>
      </c>
      <c r="C61" s="1" t="str" cm="1">
        <f t="array" ref="C61">GetURL(B61)</f>
        <v>https://explore-education-statistics.service.gov.uk/find-statistics/further-education-and-skills</v>
      </c>
      <c r="D61" s="1" t="s">
        <v>838</v>
      </c>
      <c r="E61" s="1" t="s">
        <v>780</v>
      </c>
      <c r="F61" s="1" t="s">
        <v>780</v>
      </c>
      <c r="G61" s="1" t="s">
        <v>780</v>
      </c>
      <c r="H61" s="1" t="s">
        <v>780</v>
      </c>
      <c r="I61" s="1" t="s">
        <v>780</v>
      </c>
      <c r="AW61" s="1" t="s">
        <v>780</v>
      </c>
      <c r="BT61" s="1" t="s">
        <v>780</v>
      </c>
      <c r="BU61" s="1" t="s">
        <v>780</v>
      </c>
      <c r="HN61" s="1" t="s">
        <v>780</v>
      </c>
      <c r="HX61" s="1" t="s">
        <v>780</v>
      </c>
      <c r="HY61" s="1" t="s">
        <v>780</v>
      </c>
      <c r="HZ61" s="1" t="s">
        <v>780</v>
      </c>
      <c r="IA61" s="1" t="s">
        <v>780</v>
      </c>
      <c r="IB61" s="1" t="s">
        <v>780</v>
      </c>
      <c r="IC61" s="1" t="s">
        <v>780</v>
      </c>
      <c r="ID61" s="1" t="s">
        <v>780</v>
      </c>
      <c r="IE61" s="1" t="s">
        <v>780</v>
      </c>
      <c r="IF61" s="1" t="s">
        <v>780</v>
      </c>
    </row>
    <row r="62" spans="1:246" ht="145" x14ac:dyDescent="0.35">
      <c r="A62" s="1" t="s">
        <v>778</v>
      </c>
      <c r="B62" s="14" t="s">
        <v>822</v>
      </c>
      <c r="C62" s="1" t="str" cm="1">
        <f t="array" ref="C62">GetURL(B62)</f>
        <v>https://explore-education-statistics.service.gov.uk/find-statistics/further-education-and-skills</v>
      </c>
      <c r="D62" s="1" t="s">
        <v>839</v>
      </c>
      <c r="E62" s="1" t="s">
        <v>780</v>
      </c>
      <c r="F62" s="1" t="s">
        <v>780</v>
      </c>
      <c r="G62" s="1" t="s">
        <v>780</v>
      </c>
      <c r="H62" s="1" t="s">
        <v>780</v>
      </c>
      <c r="I62" s="1" t="s">
        <v>780</v>
      </c>
      <c r="HE62" s="1" t="s">
        <v>780</v>
      </c>
      <c r="HN62" s="1" t="s">
        <v>780</v>
      </c>
      <c r="HX62" s="1" t="s">
        <v>780</v>
      </c>
      <c r="HY62" s="1" t="s">
        <v>780</v>
      </c>
      <c r="HZ62" s="1" t="s">
        <v>780</v>
      </c>
      <c r="IA62" s="1" t="s">
        <v>780</v>
      </c>
      <c r="IC62" s="1" t="s">
        <v>780</v>
      </c>
      <c r="ID62" s="1" t="s">
        <v>780</v>
      </c>
      <c r="IE62" s="1" t="s">
        <v>780</v>
      </c>
      <c r="IF62" s="1" t="s">
        <v>780</v>
      </c>
    </row>
    <row r="63" spans="1:246" ht="145" x14ac:dyDescent="0.35">
      <c r="A63" s="1" t="s">
        <v>778</v>
      </c>
      <c r="B63" s="14" t="s">
        <v>822</v>
      </c>
      <c r="C63" s="1" t="str" cm="1">
        <f t="array" ref="C63">GetURL(B63)</f>
        <v>https://explore-education-statistics.service.gov.uk/find-statistics/further-education-and-skills</v>
      </c>
      <c r="D63" s="1" t="s">
        <v>840</v>
      </c>
      <c r="E63" s="1" t="s">
        <v>780</v>
      </c>
      <c r="F63" s="1" t="s">
        <v>780</v>
      </c>
      <c r="G63" s="1" t="s">
        <v>780</v>
      </c>
      <c r="H63" s="1" t="s">
        <v>780</v>
      </c>
      <c r="I63" s="1" t="s">
        <v>780</v>
      </c>
      <c r="AR63" s="1" t="s">
        <v>780</v>
      </c>
      <c r="AV63" s="1" t="s">
        <v>780</v>
      </c>
      <c r="BO63" s="1" t="s">
        <v>780</v>
      </c>
      <c r="FI63" s="1" t="s">
        <v>780</v>
      </c>
      <c r="FJ63" s="1" t="s">
        <v>780</v>
      </c>
      <c r="FK63" s="1" t="s">
        <v>780</v>
      </c>
      <c r="HE63" s="1" t="s">
        <v>780</v>
      </c>
      <c r="HF63" s="1" t="s">
        <v>780</v>
      </c>
      <c r="HG63" s="1" t="s">
        <v>780</v>
      </c>
      <c r="HH63" s="1" t="s">
        <v>780</v>
      </c>
      <c r="HI63" s="1" t="s">
        <v>780</v>
      </c>
      <c r="HJ63" s="1" t="s">
        <v>780</v>
      </c>
      <c r="HK63" s="1" t="s">
        <v>780</v>
      </c>
      <c r="HL63" s="1" t="s">
        <v>780</v>
      </c>
      <c r="HM63" s="1" t="s">
        <v>780</v>
      </c>
    </row>
    <row r="64" spans="1:246" ht="145" x14ac:dyDescent="0.35">
      <c r="A64" s="1" t="s">
        <v>778</v>
      </c>
      <c r="B64" s="14" t="s">
        <v>822</v>
      </c>
      <c r="C64" s="1" t="str" cm="1">
        <f t="array" ref="C64">GetURL(B64)</f>
        <v>https://explore-education-statistics.service.gov.uk/find-statistics/further-education-and-skills</v>
      </c>
      <c r="D64" s="1" t="s">
        <v>841</v>
      </c>
      <c r="E64" s="1" t="s">
        <v>780</v>
      </c>
      <c r="F64" s="1" t="s">
        <v>780</v>
      </c>
      <c r="G64" s="1" t="s">
        <v>780</v>
      </c>
      <c r="H64" s="1" t="s">
        <v>780</v>
      </c>
      <c r="I64" s="1" t="s">
        <v>780</v>
      </c>
      <c r="CL64" s="1" t="s">
        <v>780</v>
      </c>
      <c r="CM64" s="1" t="s">
        <v>780</v>
      </c>
      <c r="IG64" s="1" t="s">
        <v>780</v>
      </c>
      <c r="IH64" s="1" t="s">
        <v>780</v>
      </c>
      <c r="II64" s="1" t="s">
        <v>780</v>
      </c>
      <c r="IJ64" s="1" t="s">
        <v>780</v>
      </c>
      <c r="IK64" s="1" t="s">
        <v>780</v>
      </c>
      <c r="IL64" s="1" t="s">
        <v>780</v>
      </c>
    </row>
    <row r="65" spans="1:259" ht="145" x14ac:dyDescent="0.35">
      <c r="A65" s="1" t="s">
        <v>778</v>
      </c>
      <c r="B65" s="14" t="s">
        <v>822</v>
      </c>
      <c r="C65" s="1" t="str" cm="1">
        <f t="array" ref="C65">GetURL(B65)</f>
        <v>https://explore-education-statistics.service.gov.uk/find-statistics/further-education-and-skills</v>
      </c>
      <c r="D65" s="1" t="s">
        <v>842</v>
      </c>
      <c r="E65" s="1" t="s">
        <v>780</v>
      </c>
      <c r="F65" s="1" t="s">
        <v>780</v>
      </c>
      <c r="G65" s="1" t="s">
        <v>780</v>
      </c>
      <c r="H65" s="1" t="s">
        <v>780</v>
      </c>
      <c r="I65" s="1" t="s">
        <v>780</v>
      </c>
      <c r="J65" s="1" t="s">
        <v>780</v>
      </c>
      <c r="K65" s="1" t="s">
        <v>780</v>
      </c>
      <c r="O65" s="1" t="s">
        <v>780</v>
      </c>
      <c r="P65" s="1" t="s">
        <v>780</v>
      </c>
      <c r="Q65" s="1" t="s">
        <v>780</v>
      </c>
      <c r="R65" s="1" t="s">
        <v>780</v>
      </c>
      <c r="AG65" s="1" t="s">
        <v>780</v>
      </c>
      <c r="AI65" s="1" t="s">
        <v>780</v>
      </c>
      <c r="BD65" s="1" t="s">
        <v>780</v>
      </c>
      <c r="BE65" s="1" t="s">
        <v>780</v>
      </c>
      <c r="IM65" s="1" t="s">
        <v>780</v>
      </c>
      <c r="IO65" s="1" t="s">
        <v>780</v>
      </c>
      <c r="IP65" s="1" t="s">
        <v>780</v>
      </c>
      <c r="IQ65" s="1" t="s">
        <v>780</v>
      </c>
      <c r="IR65" s="1" t="s">
        <v>780</v>
      </c>
      <c r="IS65" s="1" t="s">
        <v>780</v>
      </c>
    </row>
    <row r="66" spans="1:259" ht="145" x14ac:dyDescent="0.35">
      <c r="A66" s="1" t="s">
        <v>778</v>
      </c>
      <c r="B66" s="14" t="s">
        <v>822</v>
      </c>
      <c r="C66" s="1" t="str" cm="1">
        <f t="array" ref="C66">GetURL(B66)</f>
        <v>https://explore-education-statistics.service.gov.uk/find-statistics/further-education-and-skills</v>
      </c>
      <c r="D66" s="1" t="s">
        <v>843</v>
      </c>
      <c r="E66" s="1" t="s">
        <v>780</v>
      </c>
      <c r="F66" s="1" t="s">
        <v>780</v>
      </c>
      <c r="G66" s="1" t="s">
        <v>780</v>
      </c>
      <c r="H66" s="1" t="s">
        <v>780</v>
      </c>
      <c r="I66" s="1" t="s">
        <v>780</v>
      </c>
      <c r="J66" s="1" t="s">
        <v>780</v>
      </c>
      <c r="K66" s="1" t="s">
        <v>780</v>
      </c>
      <c r="O66" s="1" t="s">
        <v>780</v>
      </c>
      <c r="P66" s="1" t="s">
        <v>780</v>
      </c>
      <c r="AA66" s="1" t="s">
        <v>780</v>
      </c>
      <c r="AB66" s="1" t="s">
        <v>780</v>
      </c>
      <c r="AY66" s="1" t="s">
        <v>780</v>
      </c>
      <c r="BF66" s="1" t="s">
        <v>780</v>
      </c>
      <c r="BT66" s="1" t="s">
        <v>780</v>
      </c>
      <c r="IT66" s="1" t="s">
        <v>780</v>
      </c>
      <c r="IU66" s="1" t="s">
        <v>780</v>
      </c>
      <c r="IV66" s="1" t="s">
        <v>780</v>
      </c>
    </row>
    <row r="67" spans="1:259" ht="145" x14ac:dyDescent="0.35">
      <c r="A67" s="1" t="s">
        <v>778</v>
      </c>
      <c r="B67" s="14" t="s">
        <v>822</v>
      </c>
      <c r="C67" s="1" t="str" cm="1">
        <f t="array" ref="C67">GetURL(B67)</f>
        <v>https://explore-education-statistics.service.gov.uk/find-statistics/further-education-and-skills</v>
      </c>
      <c r="D67" s="1" t="s">
        <v>844</v>
      </c>
      <c r="E67" s="1" t="s">
        <v>780</v>
      </c>
      <c r="F67" s="1" t="s">
        <v>780</v>
      </c>
      <c r="G67" s="1" t="s">
        <v>780</v>
      </c>
      <c r="H67" s="1" t="s">
        <v>780</v>
      </c>
      <c r="I67" s="1" t="s">
        <v>780</v>
      </c>
      <c r="J67" s="1" t="s">
        <v>780</v>
      </c>
      <c r="K67" s="1" t="s">
        <v>780</v>
      </c>
      <c r="O67" s="1" t="s">
        <v>780</v>
      </c>
      <c r="P67" s="1" t="s">
        <v>780</v>
      </c>
      <c r="AA67" s="1" t="s">
        <v>780</v>
      </c>
      <c r="AB67" s="1" t="s">
        <v>780</v>
      </c>
      <c r="AV67" s="1" t="s">
        <v>780</v>
      </c>
      <c r="AY67" s="1" t="s">
        <v>780</v>
      </c>
      <c r="BT67" s="1" t="s">
        <v>780</v>
      </c>
      <c r="HE67" s="1" t="s">
        <v>780</v>
      </c>
      <c r="HF67" s="1" t="s">
        <v>780</v>
      </c>
      <c r="HG67" s="1" t="s">
        <v>780</v>
      </c>
      <c r="HH67" s="1" t="s">
        <v>780</v>
      </c>
      <c r="HI67" s="1" t="s">
        <v>780</v>
      </c>
      <c r="HJ67" s="1" t="s">
        <v>780</v>
      </c>
      <c r="HK67" s="1" t="s">
        <v>780</v>
      </c>
      <c r="HL67" s="1" t="s">
        <v>780</v>
      </c>
      <c r="HM67" s="1" t="s">
        <v>780</v>
      </c>
      <c r="HN67" s="1" t="s">
        <v>780</v>
      </c>
      <c r="HO67" s="1" t="s">
        <v>780</v>
      </c>
      <c r="HP67" s="1" t="s">
        <v>780</v>
      </c>
      <c r="HQ67" s="1" t="s">
        <v>780</v>
      </c>
      <c r="HR67" s="1" t="s">
        <v>780</v>
      </c>
      <c r="HS67" s="1" t="s">
        <v>780</v>
      </c>
      <c r="HT67" s="1" t="s">
        <v>780</v>
      </c>
      <c r="HU67" s="1" t="s">
        <v>780</v>
      </c>
      <c r="HV67" s="1" t="s">
        <v>780</v>
      </c>
    </row>
    <row r="68" spans="1:259" ht="145" x14ac:dyDescent="0.35">
      <c r="A68" s="1" t="s">
        <v>778</v>
      </c>
      <c r="B68" s="14" t="s">
        <v>822</v>
      </c>
      <c r="C68" s="1" t="str" cm="1">
        <f t="array" ref="C68">GetURL(B68)</f>
        <v>https://explore-education-statistics.service.gov.uk/find-statistics/further-education-and-skills</v>
      </c>
      <c r="D68" s="1" t="s">
        <v>845</v>
      </c>
      <c r="E68" s="1" t="s">
        <v>780</v>
      </c>
      <c r="F68" s="1" t="s">
        <v>780</v>
      </c>
      <c r="G68" s="1" t="s">
        <v>780</v>
      </c>
      <c r="H68" s="1" t="s">
        <v>780</v>
      </c>
      <c r="I68" s="1" t="s">
        <v>780</v>
      </c>
      <c r="J68" s="1" t="s">
        <v>780</v>
      </c>
      <c r="K68" s="1" t="s">
        <v>780</v>
      </c>
      <c r="L68" s="1" t="s">
        <v>780</v>
      </c>
      <c r="M68" s="1" t="s">
        <v>780</v>
      </c>
      <c r="N68" s="1" t="s">
        <v>780</v>
      </c>
      <c r="O68" s="1" t="s">
        <v>780</v>
      </c>
      <c r="P68" s="1" t="s">
        <v>780</v>
      </c>
      <c r="Q68" s="1" t="s">
        <v>780</v>
      </c>
      <c r="R68" s="1" t="s">
        <v>780</v>
      </c>
      <c r="AT68" s="1" t="s">
        <v>780</v>
      </c>
      <c r="DA68" s="1" t="s">
        <v>780</v>
      </c>
      <c r="DC68" s="1" t="s">
        <v>780</v>
      </c>
      <c r="DG68" s="1" t="s">
        <v>780</v>
      </c>
      <c r="DI68" s="1" t="s">
        <v>780</v>
      </c>
      <c r="DR68" s="1" t="s">
        <v>780</v>
      </c>
      <c r="DX68" s="1" t="s">
        <v>780</v>
      </c>
      <c r="IW68" s="1" t="s">
        <v>780</v>
      </c>
      <c r="IX68" s="1" t="s">
        <v>780</v>
      </c>
    </row>
    <row r="69" spans="1:259" ht="145" x14ac:dyDescent="0.35">
      <c r="A69" s="1" t="s">
        <v>778</v>
      </c>
      <c r="B69" s="14" t="s">
        <v>822</v>
      </c>
      <c r="C69" s="1" t="str" cm="1">
        <f t="array" ref="C69">GetURL(B69)</f>
        <v>https://explore-education-statistics.service.gov.uk/find-statistics/further-education-and-skills</v>
      </c>
      <c r="D69" s="1" t="s">
        <v>846</v>
      </c>
      <c r="E69" s="1" t="s">
        <v>780</v>
      </c>
      <c r="F69" s="1" t="s">
        <v>780</v>
      </c>
      <c r="G69" s="1" t="s">
        <v>780</v>
      </c>
      <c r="H69" s="1" t="s">
        <v>780</v>
      </c>
      <c r="I69" s="1" t="s">
        <v>780</v>
      </c>
      <c r="HE69" s="1" t="s">
        <v>780</v>
      </c>
      <c r="HF69" s="1" t="s">
        <v>780</v>
      </c>
      <c r="HG69" s="1" t="s">
        <v>780</v>
      </c>
      <c r="HH69" s="1" t="s">
        <v>780</v>
      </c>
      <c r="HI69" s="1" t="s">
        <v>780</v>
      </c>
      <c r="HJ69" s="1" t="s">
        <v>780</v>
      </c>
      <c r="HK69" s="1" t="s">
        <v>780</v>
      </c>
      <c r="HL69" s="1" t="s">
        <v>780</v>
      </c>
      <c r="HM69" s="1" t="s">
        <v>780</v>
      </c>
    </row>
    <row r="70" spans="1:259" ht="145" x14ac:dyDescent="0.35">
      <c r="A70" s="1" t="s">
        <v>778</v>
      </c>
      <c r="B70" s="14" t="s">
        <v>822</v>
      </c>
      <c r="C70" s="1" t="str" cm="1">
        <f t="array" ref="C70">GetURL(B70)</f>
        <v>https://explore-education-statistics.service.gov.uk/find-statistics/further-education-and-skills</v>
      </c>
      <c r="D70" s="1" t="s">
        <v>847</v>
      </c>
      <c r="E70" s="1" t="s">
        <v>780</v>
      </c>
      <c r="F70" s="1" t="s">
        <v>780</v>
      </c>
      <c r="G70" s="1" t="s">
        <v>780</v>
      </c>
      <c r="H70" s="1" t="s">
        <v>780</v>
      </c>
      <c r="I70" s="1" t="s">
        <v>780</v>
      </c>
      <c r="AK70" s="1" t="s">
        <v>780</v>
      </c>
      <c r="DR70" s="1" t="s">
        <v>780</v>
      </c>
      <c r="FH70" s="1" t="s">
        <v>780</v>
      </c>
      <c r="IY70" s="1" t="s">
        <v>780</v>
      </c>
    </row>
    <row r="71" spans="1:259" ht="145" x14ac:dyDescent="0.35">
      <c r="A71" s="1" t="s">
        <v>778</v>
      </c>
      <c r="B71" s="14" t="s">
        <v>822</v>
      </c>
      <c r="C71" s="1" t="str" cm="1">
        <f t="array" ref="C71">GetURL(B71)</f>
        <v>https://explore-education-statistics.service.gov.uk/find-statistics/further-education-and-skills</v>
      </c>
      <c r="D71" s="1" t="s">
        <v>848</v>
      </c>
      <c r="E71" s="1" t="s">
        <v>780</v>
      </c>
      <c r="F71" s="1" t="s">
        <v>780</v>
      </c>
      <c r="G71" s="1" t="s">
        <v>780</v>
      </c>
      <c r="H71" s="1" t="s">
        <v>780</v>
      </c>
      <c r="I71" s="1" t="s">
        <v>780</v>
      </c>
      <c r="J71" s="1" t="s">
        <v>780</v>
      </c>
      <c r="AK71" s="1" t="s">
        <v>780</v>
      </c>
      <c r="DG71" s="1" t="s">
        <v>780</v>
      </c>
      <c r="DM71" s="1" t="s">
        <v>780</v>
      </c>
      <c r="DR71" s="1" t="s">
        <v>780</v>
      </c>
      <c r="ED71" s="1" t="s">
        <v>780</v>
      </c>
      <c r="FH71" s="1" t="s">
        <v>780</v>
      </c>
      <c r="FK71" s="1" t="s">
        <v>780</v>
      </c>
    </row>
    <row r="72" spans="1:259" ht="145" x14ac:dyDescent="0.35">
      <c r="A72" s="1" t="s">
        <v>778</v>
      </c>
      <c r="B72" s="14" t="s">
        <v>822</v>
      </c>
      <c r="C72" s="1" t="str" cm="1">
        <f t="array" ref="C72">GetURL(B72)</f>
        <v>https://explore-education-statistics.service.gov.uk/find-statistics/further-education-and-skills</v>
      </c>
      <c r="D72" s="1" t="s">
        <v>849</v>
      </c>
      <c r="E72" s="1" t="s">
        <v>780</v>
      </c>
      <c r="F72" s="1" t="s">
        <v>780</v>
      </c>
      <c r="G72" s="1" t="s">
        <v>780</v>
      </c>
      <c r="H72" s="1" t="s">
        <v>780</v>
      </c>
      <c r="I72" s="1" t="s">
        <v>780</v>
      </c>
      <c r="AE72" s="1" t="s">
        <v>780</v>
      </c>
      <c r="AO72" s="1" t="s">
        <v>780</v>
      </c>
      <c r="ET72" s="1" t="s">
        <v>780</v>
      </c>
      <c r="EU72" s="1" t="s">
        <v>780</v>
      </c>
      <c r="FB72" s="1" t="s">
        <v>780</v>
      </c>
      <c r="FF72" s="1" t="s">
        <v>780</v>
      </c>
    </row>
    <row r="73" spans="1:259" ht="145" x14ac:dyDescent="0.35">
      <c r="A73" s="1" t="s">
        <v>778</v>
      </c>
      <c r="B73" s="14" t="s">
        <v>822</v>
      </c>
      <c r="C73" s="1" t="str" cm="1">
        <f t="array" ref="C73">GetURL(B73)</f>
        <v>https://explore-education-statistics.service.gov.uk/find-statistics/further-education-and-skills</v>
      </c>
      <c r="D73" s="1" t="s">
        <v>850</v>
      </c>
      <c r="E73" s="1" t="s">
        <v>780</v>
      </c>
      <c r="F73" s="1" t="s">
        <v>780</v>
      </c>
      <c r="G73" s="1" t="s">
        <v>780</v>
      </c>
      <c r="H73" s="1" t="s">
        <v>780</v>
      </c>
      <c r="I73" s="1" t="s">
        <v>780</v>
      </c>
      <c r="AR73" s="1" t="s">
        <v>780</v>
      </c>
      <c r="AV73" s="1" t="s">
        <v>780</v>
      </c>
      <c r="BK73" s="1" t="s">
        <v>780</v>
      </c>
      <c r="BL73" s="1" t="s">
        <v>780</v>
      </c>
      <c r="BS73" s="1" t="s">
        <v>780</v>
      </c>
      <c r="FK73" s="1" t="s">
        <v>780</v>
      </c>
      <c r="HE73" s="1" t="s">
        <v>780</v>
      </c>
      <c r="HF73" s="1" t="s">
        <v>780</v>
      </c>
      <c r="HG73" s="1" t="s">
        <v>780</v>
      </c>
      <c r="HH73" s="1" t="s">
        <v>780</v>
      </c>
      <c r="HI73" s="1" t="s">
        <v>780</v>
      </c>
      <c r="HJ73" s="1" t="s">
        <v>780</v>
      </c>
      <c r="HK73" s="1" t="s">
        <v>780</v>
      </c>
      <c r="HL73" s="1" t="s">
        <v>780</v>
      </c>
      <c r="HM73" s="1" t="s">
        <v>780</v>
      </c>
      <c r="HN73" s="1" t="s">
        <v>780</v>
      </c>
      <c r="HO73" s="1" t="s">
        <v>780</v>
      </c>
      <c r="HP73" s="1" t="s">
        <v>780</v>
      </c>
      <c r="HQ73" s="1" t="s">
        <v>780</v>
      </c>
      <c r="HR73" s="1" t="s">
        <v>780</v>
      </c>
      <c r="HS73" s="1" t="s">
        <v>780</v>
      </c>
      <c r="HT73" s="1" t="s">
        <v>780</v>
      </c>
      <c r="HU73" s="1" t="s">
        <v>780</v>
      </c>
      <c r="HV73" s="1" t="s">
        <v>780</v>
      </c>
    </row>
    <row r="74" spans="1:259" ht="145" x14ac:dyDescent="0.35">
      <c r="A74" s="1" t="s">
        <v>778</v>
      </c>
      <c r="B74" s="14" t="s">
        <v>822</v>
      </c>
      <c r="C74" s="1" t="str" cm="1">
        <f t="array" ref="C74">GetURL(B74)</f>
        <v>https://explore-education-statistics.service.gov.uk/find-statistics/further-education-and-skills</v>
      </c>
      <c r="D74" s="1" t="s">
        <v>851</v>
      </c>
      <c r="E74" s="1" t="s">
        <v>780</v>
      </c>
      <c r="F74" s="1" t="s">
        <v>780</v>
      </c>
      <c r="G74" s="1" t="s">
        <v>780</v>
      </c>
      <c r="H74" s="1" t="s">
        <v>780</v>
      </c>
      <c r="I74" s="1" t="s">
        <v>780</v>
      </c>
      <c r="AV74" s="1" t="s">
        <v>780</v>
      </c>
      <c r="AY74" s="1" t="s">
        <v>780</v>
      </c>
      <c r="BK74" s="1" t="s">
        <v>780</v>
      </c>
      <c r="BS74" s="1" t="s">
        <v>780</v>
      </c>
      <c r="BT74" s="1" t="s">
        <v>780</v>
      </c>
      <c r="BU74" s="1" t="s">
        <v>780</v>
      </c>
      <c r="FK74" s="1" t="s">
        <v>780</v>
      </c>
      <c r="HE74" s="1" t="s">
        <v>780</v>
      </c>
      <c r="HF74" s="1" t="s">
        <v>780</v>
      </c>
      <c r="HG74" s="1" t="s">
        <v>780</v>
      </c>
      <c r="HH74" s="1" t="s">
        <v>780</v>
      </c>
      <c r="HI74" s="1" t="s">
        <v>780</v>
      </c>
      <c r="HJ74" s="1" t="s">
        <v>780</v>
      </c>
      <c r="HK74" s="1" t="s">
        <v>780</v>
      </c>
      <c r="HL74" s="1" t="s">
        <v>780</v>
      </c>
      <c r="HM74" s="1" t="s">
        <v>780</v>
      </c>
      <c r="HN74" s="1" t="s">
        <v>780</v>
      </c>
      <c r="HO74" s="1" t="s">
        <v>780</v>
      </c>
      <c r="HP74" s="1" t="s">
        <v>780</v>
      </c>
      <c r="HQ74" s="1" t="s">
        <v>780</v>
      </c>
      <c r="HR74" s="1" t="s">
        <v>780</v>
      </c>
      <c r="HS74" s="1" t="s">
        <v>780</v>
      </c>
      <c r="HT74" s="1" t="s">
        <v>780</v>
      </c>
      <c r="HU74" s="1" t="s">
        <v>780</v>
      </c>
      <c r="HV74" s="1" t="s">
        <v>780</v>
      </c>
    </row>
    <row r="75" spans="1:259" ht="145" x14ac:dyDescent="0.35">
      <c r="A75" s="1" t="s">
        <v>778</v>
      </c>
      <c r="B75" s="14" t="s">
        <v>822</v>
      </c>
      <c r="C75" s="1" t="str" cm="1">
        <f t="array" ref="C75">GetURL(B75)</f>
        <v>https://explore-education-statistics.service.gov.uk/find-statistics/further-education-and-skills</v>
      </c>
      <c r="D75" s="1" t="s">
        <v>852</v>
      </c>
      <c r="E75" s="1" t="s">
        <v>780</v>
      </c>
      <c r="F75" s="1" t="s">
        <v>780</v>
      </c>
      <c r="G75" s="1" t="s">
        <v>780</v>
      </c>
      <c r="H75" s="1" t="s">
        <v>780</v>
      </c>
      <c r="I75" s="1" t="s">
        <v>780</v>
      </c>
      <c r="AE75" s="1" t="s">
        <v>780</v>
      </c>
      <c r="AO75" s="1" t="s">
        <v>780</v>
      </c>
      <c r="ET75" s="1" t="s">
        <v>780</v>
      </c>
      <c r="EU75" s="1" t="s">
        <v>780</v>
      </c>
      <c r="FB75" s="1" t="s">
        <v>780</v>
      </c>
      <c r="FF75" s="1" t="s">
        <v>780</v>
      </c>
    </row>
    <row r="76" spans="1:259" ht="145" x14ac:dyDescent="0.35">
      <c r="A76" s="1" t="s">
        <v>778</v>
      </c>
      <c r="B76" s="14" t="s">
        <v>822</v>
      </c>
      <c r="C76" s="1" t="str" cm="1">
        <f t="array" ref="C76">GetURL(B76)</f>
        <v>https://explore-education-statistics.service.gov.uk/find-statistics/further-education-and-skills</v>
      </c>
      <c r="D76" s="1" t="s">
        <v>853</v>
      </c>
      <c r="E76" s="1" t="s">
        <v>780</v>
      </c>
      <c r="F76" s="1" t="s">
        <v>780</v>
      </c>
      <c r="G76" s="1" t="s">
        <v>780</v>
      </c>
      <c r="H76" s="1" t="s">
        <v>780</v>
      </c>
      <c r="I76" s="1" t="s">
        <v>780</v>
      </c>
      <c r="AK76" s="1" t="s">
        <v>780</v>
      </c>
      <c r="BF76" s="1" t="s">
        <v>780</v>
      </c>
      <c r="FI76" s="1" t="s">
        <v>780</v>
      </c>
      <c r="FJ76" s="1" t="s">
        <v>780</v>
      </c>
      <c r="GK76" s="1" t="s">
        <v>780</v>
      </c>
    </row>
    <row r="77" spans="1:259" ht="145" x14ac:dyDescent="0.35">
      <c r="A77" s="1" t="s">
        <v>778</v>
      </c>
      <c r="B77" s="14" t="s">
        <v>822</v>
      </c>
      <c r="C77" s="1" t="str" cm="1">
        <f t="array" ref="C77">GetURL(B77)</f>
        <v>https://explore-education-statistics.service.gov.uk/find-statistics/further-education-and-skills</v>
      </c>
      <c r="D77" s="1" t="s">
        <v>854</v>
      </c>
      <c r="E77" s="1" t="s">
        <v>780</v>
      </c>
      <c r="F77" s="1" t="s">
        <v>780</v>
      </c>
      <c r="G77" s="1" t="s">
        <v>780</v>
      </c>
      <c r="H77" s="1" t="s">
        <v>780</v>
      </c>
      <c r="I77" s="1" t="s">
        <v>780</v>
      </c>
      <c r="FI77" s="1" t="s">
        <v>780</v>
      </c>
      <c r="FJ77" s="1" t="s">
        <v>780</v>
      </c>
      <c r="HE77" s="1" t="s">
        <v>780</v>
      </c>
      <c r="HF77" s="1" t="s">
        <v>780</v>
      </c>
      <c r="HG77" s="1" t="s">
        <v>780</v>
      </c>
      <c r="HH77" s="1" t="s">
        <v>780</v>
      </c>
      <c r="HI77" s="1" t="s">
        <v>780</v>
      </c>
      <c r="HJ77" s="1" t="s">
        <v>780</v>
      </c>
      <c r="HK77" s="1" t="s">
        <v>780</v>
      </c>
      <c r="HL77" s="1" t="s">
        <v>780</v>
      </c>
      <c r="HM77" s="1" t="s">
        <v>780</v>
      </c>
      <c r="HN77" s="1" t="s">
        <v>780</v>
      </c>
      <c r="HO77" s="1" t="s">
        <v>780</v>
      </c>
      <c r="HP77" s="1" t="s">
        <v>780</v>
      </c>
      <c r="HQ77" s="1" t="s">
        <v>780</v>
      </c>
      <c r="HR77" s="1" t="s">
        <v>780</v>
      </c>
      <c r="HS77" s="1" t="s">
        <v>780</v>
      </c>
      <c r="HT77" s="1" t="s">
        <v>780</v>
      </c>
      <c r="HU77" s="1" t="s">
        <v>780</v>
      </c>
      <c r="HV77" s="1" t="s">
        <v>780</v>
      </c>
    </row>
    <row r="78" spans="1:259" ht="145" x14ac:dyDescent="0.35">
      <c r="A78" s="1" t="s">
        <v>778</v>
      </c>
      <c r="B78" s="14" t="s">
        <v>822</v>
      </c>
      <c r="C78" s="1" t="str" cm="1">
        <f t="array" ref="C78">GetURL(B78)</f>
        <v>https://explore-education-statistics.service.gov.uk/find-statistics/further-education-and-skills</v>
      </c>
      <c r="D78" s="1" t="s">
        <v>855</v>
      </c>
      <c r="E78" s="1" t="s">
        <v>780</v>
      </c>
      <c r="F78" s="1" t="s">
        <v>780</v>
      </c>
      <c r="G78" s="1" t="s">
        <v>780</v>
      </c>
      <c r="H78" s="1" t="s">
        <v>780</v>
      </c>
      <c r="I78" s="1" t="s">
        <v>780</v>
      </c>
      <c r="AV78" s="1" t="s">
        <v>780</v>
      </c>
      <c r="AZ78" s="1" t="s">
        <v>780</v>
      </c>
      <c r="BF78" s="1" t="s">
        <v>780</v>
      </c>
      <c r="BG78" s="1" t="s">
        <v>780</v>
      </c>
      <c r="GK78" s="1" t="s">
        <v>780</v>
      </c>
      <c r="IT78" s="1" t="s">
        <v>780</v>
      </c>
    </row>
    <row r="79" spans="1:259" ht="145" x14ac:dyDescent="0.35">
      <c r="A79" s="1" t="s">
        <v>778</v>
      </c>
      <c r="B79" s="14" t="s">
        <v>822</v>
      </c>
      <c r="C79" s="1" t="str" cm="1">
        <f t="array" ref="C79">GetURL(B79)</f>
        <v>https://explore-education-statistics.service.gov.uk/find-statistics/further-education-and-skills</v>
      </c>
      <c r="D79" s="1" t="s">
        <v>856</v>
      </c>
      <c r="E79" s="1" t="s">
        <v>780</v>
      </c>
      <c r="F79" s="1" t="s">
        <v>780</v>
      </c>
      <c r="G79" s="1" t="s">
        <v>780</v>
      </c>
      <c r="H79" s="1" t="s">
        <v>780</v>
      </c>
      <c r="I79" s="1" t="s">
        <v>780</v>
      </c>
      <c r="BF79" s="1" t="s">
        <v>780</v>
      </c>
      <c r="DH79" s="1" t="s">
        <v>780</v>
      </c>
      <c r="DN79" s="1" t="s">
        <v>780</v>
      </c>
      <c r="EF79" s="1" t="s">
        <v>780</v>
      </c>
      <c r="EG79" s="1" t="s">
        <v>780</v>
      </c>
    </row>
    <row r="80" spans="1:259" ht="145" x14ac:dyDescent="0.35">
      <c r="A80" s="1" t="s">
        <v>778</v>
      </c>
      <c r="B80" s="14" t="s">
        <v>822</v>
      </c>
      <c r="C80" s="1" t="str" cm="1">
        <f t="array" ref="C80">GetURL(B80)</f>
        <v>https://explore-education-statistics.service.gov.uk/find-statistics/further-education-and-skills</v>
      </c>
      <c r="D80" s="1" t="s">
        <v>857</v>
      </c>
      <c r="E80" s="1" t="s">
        <v>780</v>
      </c>
      <c r="F80" s="1" t="s">
        <v>780</v>
      </c>
      <c r="G80" s="1" t="s">
        <v>780</v>
      </c>
      <c r="H80" s="1" t="s">
        <v>780</v>
      </c>
      <c r="I80" s="1" t="s">
        <v>780</v>
      </c>
      <c r="EK80" s="1" t="s">
        <v>780</v>
      </c>
      <c r="EL80" s="1" t="s">
        <v>780</v>
      </c>
      <c r="EM80" s="1" t="s">
        <v>780</v>
      </c>
      <c r="EN80" s="1" t="s">
        <v>780</v>
      </c>
      <c r="GK80" s="1" t="s">
        <v>780</v>
      </c>
      <c r="GL80" s="1" t="s">
        <v>780</v>
      </c>
      <c r="GM80" s="1" t="s">
        <v>780</v>
      </c>
      <c r="GN80" s="1" t="s">
        <v>780</v>
      </c>
      <c r="GO80" s="1" t="s">
        <v>780</v>
      </c>
      <c r="GP80" s="1" t="s">
        <v>780</v>
      </c>
      <c r="GQ80" s="1" t="s">
        <v>780</v>
      </c>
    </row>
    <row r="81" spans="1:482" ht="145" x14ac:dyDescent="0.35">
      <c r="A81" s="1" t="s">
        <v>778</v>
      </c>
      <c r="B81" s="14" t="s">
        <v>822</v>
      </c>
      <c r="C81" s="1" t="str" cm="1">
        <f t="array" ref="C81">GetURL(B81)</f>
        <v>https://explore-education-statistics.service.gov.uk/find-statistics/further-education-and-skills</v>
      </c>
      <c r="D81" s="1" t="s">
        <v>858</v>
      </c>
      <c r="E81" s="1" t="s">
        <v>780</v>
      </c>
      <c r="F81" s="1" t="s">
        <v>780</v>
      </c>
      <c r="G81" s="1" t="s">
        <v>780</v>
      </c>
      <c r="H81" s="1" t="s">
        <v>780</v>
      </c>
      <c r="I81" s="1" t="s">
        <v>780</v>
      </c>
      <c r="FC81" s="1" t="s">
        <v>780</v>
      </c>
      <c r="FD81" s="1" t="s">
        <v>780</v>
      </c>
      <c r="FE81" s="1" t="s">
        <v>780</v>
      </c>
    </row>
    <row r="82" spans="1:482" ht="145" x14ac:dyDescent="0.35">
      <c r="A82" s="1" t="s">
        <v>778</v>
      </c>
      <c r="B82" s="14" t="s">
        <v>49</v>
      </c>
      <c r="C82" s="1" t="str" cm="1">
        <f t="array" ref="C82">GetURL(B82)</f>
        <v>https://explore-education-statistics.service.gov.uk/find-statistics/further-education-skills-index</v>
      </c>
      <c r="D82" s="1" t="s">
        <v>859</v>
      </c>
      <c r="E82" s="1" t="s">
        <v>780</v>
      </c>
      <c r="F82" s="1" t="s">
        <v>780</v>
      </c>
      <c r="G82" s="1" t="s">
        <v>780</v>
      </c>
      <c r="H82" s="1" t="s">
        <v>780</v>
      </c>
      <c r="I82" s="1" t="s">
        <v>780</v>
      </c>
      <c r="FK82" s="1" t="s">
        <v>780</v>
      </c>
      <c r="RG82" s="1" t="s">
        <v>780</v>
      </c>
      <c r="RK82" s="1" t="s">
        <v>780</v>
      </c>
      <c r="RL82" s="1" t="s">
        <v>780</v>
      </c>
      <c r="RM82" s="1" t="s">
        <v>780</v>
      </c>
      <c r="RN82" s="1" t="s">
        <v>780</v>
      </c>
    </row>
    <row r="83" spans="1:482" ht="145" x14ac:dyDescent="0.35">
      <c r="A83" s="1" t="s">
        <v>778</v>
      </c>
      <c r="B83" s="14" t="s">
        <v>49</v>
      </c>
      <c r="C83" s="1" t="str" cm="1">
        <f t="array" ref="C83">GetURL(B83)</f>
        <v>https://explore-education-statistics.service.gov.uk/find-statistics/further-education-skills-index</v>
      </c>
      <c r="D83" s="1" t="s">
        <v>860</v>
      </c>
      <c r="E83" s="1" t="s">
        <v>780</v>
      </c>
      <c r="F83" s="1" t="s">
        <v>780</v>
      </c>
      <c r="G83" s="1" t="s">
        <v>780</v>
      </c>
      <c r="H83" s="1" t="s">
        <v>780</v>
      </c>
      <c r="I83" s="1" t="s">
        <v>780</v>
      </c>
      <c r="AK83" s="1" t="s">
        <v>780</v>
      </c>
      <c r="BC83" s="1" t="s">
        <v>780</v>
      </c>
      <c r="CC83" s="1">
        <v>1</v>
      </c>
      <c r="FK83" s="1" t="s">
        <v>780</v>
      </c>
      <c r="RI83" s="1" t="s">
        <v>780</v>
      </c>
      <c r="RJ83" s="1" t="s">
        <v>780</v>
      </c>
    </row>
    <row r="84" spans="1:482" ht="217.5" x14ac:dyDescent="0.35">
      <c r="A84" s="1" t="s">
        <v>861</v>
      </c>
      <c r="B84" s="14" t="s">
        <v>85</v>
      </c>
      <c r="C84" s="1" t="str" cm="1">
        <f t="array" ref="C84">GetURL(B84)</f>
        <v>https://explore-education-statistics.service.gov.uk/find-statistics/participation-in-education-training-and-neet-age-16-to-17-by-local-authority</v>
      </c>
      <c r="D84" s="1" t="s">
        <v>863</v>
      </c>
      <c r="E84" s="1" t="s">
        <v>780</v>
      </c>
      <c r="F84" s="1" t="s">
        <v>780</v>
      </c>
      <c r="G84" s="1" t="s">
        <v>780</v>
      </c>
      <c r="H84" s="1" t="s">
        <v>780</v>
      </c>
      <c r="I84" s="1" t="s">
        <v>780</v>
      </c>
      <c r="J84" s="1" t="s">
        <v>780</v>
      </c>
      <c r="K84" s="1" t="s">
        <v>780</v>
      </c>
      <c r="L84" s="1" t="s">
        <v>780</v>
      </c>
      <c r="M84" s="1" t="s">
        <v>780</v>
      </c>
      <c r="N84" s="1" t="s">
        <v>780</v>
      </c>
      <c r="AE84" s="1" t="s">
        <v>780</v>
      </c>
      <c r="AG84" s="1" t="s">
        <v>780</v>
      </c>
      <c r="AS84" s="1" t="s">
        <v>780</v>
      </c>
      <c r="AY84" s="1" t="s">
        <v>780</v>
      </c>
      <c r="JC84" s="1" t="s">
        <v>780</v>
      </c>
    </row>
    <row r="85" spans="1:482" ht="217.5" x14ac:dyDescent="0.35">
      <c r="A85" s="1" t="s">
        <v>861</v>
      </c>
      <c r="B85" s="14" t="s">
        <v>85</v>
      </c>
      <c r="C85" s="1" t="str" cm="1">
        <f t="array" ref="C85">GetURL(B85)</f>
        <v>https://explore-education-statistics.service.gov.uk/find-statistics/participation-in-education-training-and-neet-age-16-to-17-by-local-authority</v>
      </c>
      <c r="D85" s="1" t="s">
        <v>864</v>
      </c>
      <c r="E85" s="1" t="s">
        <v>780</v>
      </c>
      <c r="F85" s="1" t="s">
        <v>780</v>
      </c>
      <c r="G85" s="1" t="s">
        <v>780</v>
      </c>
      <c r="H85" s="1" t="s">
        <v>780</v>
      </c>
      <c r="I85" s="1" t="s">
        <v>780</v>
      </c>
      <c r="J85" s="1" t="s">
        <v>780</v>
      </c>
      <c r="K85" s="1" t="s">
        <v>780</v>
      </c>
      <c r="L85" s="1" t="s">
        <v>780</v>
      </c>
      <c r="M85" s="1" t="s">
        <v>780</v>
      </c>
      <c r="AG85" s="1" t="s">
        <v>780</v>
      </c>
      <c r="AS85" s="1" t="s">
        <v>780</v>
      </c>
      <c r="AY85" s="1" t="s">
        <v>780</v>
      </c>
      <c r="DS85" s="1" t="s">
        <v>780</v>
      </c>
      <c r="DT85" s="1" t="s">
        <v>780</v>
      </c>
      <c r="DU85" s="1" t="s">
        <v>780</v>
      </c>
      <c r="EA85" s="1" t="s">
        <v>780</v>
      </c>
      <c r="EE85" s="1" t="s">
        <v>780</v>
      </c>
      <c r="IZ85" s="1" t="s">
        <v>780</v>
      </c>
      <c r="JC85" s="1" t="s">
        <v>780</v>
      </c>
      <c r="JE85" s="1" t="s">
        <v>780</v>
      </c>
      <c r="JF85" s="1" t="s">
        <v>780</v>
      </c>
      <c r="JG85" s="1" t="s">
        <v>780</v>
      </c>
      <c r="JH85" s="1" t="s">
        <v>780</v>
      </c>
      <c r="JI85" s="1" t="s">
        <v>780</v>
      </c>
      <c r="JK85" s="1" t="s">
        <v>780</v>
      </c>
      <c r="JL85" s="1" t="s">
        <v>780</v>
      </c>
      <c r="JM85" s="1" t="s">
        <v>780</v>
      </c>
    </row>
    <row r="86" spans="1:482" ht="217.5" x14ac:dyDescent="0.35">
      <c r="A86" s="1" t="s">
        <v>861</v>
      </c>
      <c r="B86" s="14" t="s">
        <v>85</v>
      </c>
      <c r="C86" s="1" t="str" cm="1">
        <f t="array" ref="C86">GetURL(B86)</f>
        <v>https://explore-education-statistics.service.gov.uk/find-statistics/participation-in-education-training-and-neet-age-16-to-17-by-local-authority</v>
      </c>
      <c r="D86" s="1" t="s">
        <v>865</v>
      </c>
      <c r="E86" s="1" t="s">
        <v>780</v>
      </c>
      <c r="F86" s="1" t="s">
        <v>780</v>
      </c>
      <c r="G86" s="1" t="s">
        <v>780</v>
      </c>
      <c r="H86" s="1" t="s">
        <v>780</v>
      </c>
      <c r="I86" s="1" t="s">
        <v>780</v>
      </c>
      <c r="J86" s="1" t="s">
        <v>780</v>
      </c>
      <c r="K86" s="1" t="s">
        <v>780</v>
      </c>
      <c r="L86" s="1" t="s">
        <v>780</v>
      </c>
      <c r="M86" s="1" t="s">
        <v>780</v>
      </c>
      <c r="N86" s="1" t="s">
        <v>780</v>
      </c>
      <c r="EC86" s="1" t="s">
        <v>780</v>
      </c>
    </row>
    <row r="87" spans="1:482" ht="217.5" x14ac:dyDescent="0.35">
      <c r="A87" s="1" t="s">
        <v>861</v>
      </c>
      <c r="B87" s="14" t="s">
        <v>85</v>
      </c>
      <c r="C87" s="1" t="str" cm="1">
        <f t="array" ref="C87">GetURL(B87)</f>
        <v>https://explore-education-statistics.service.gov.uk/find-statistics/participation-in-education-training-and-neet-age-16-to-17-by-local-authority</v>
      </c>
      <c r="D87" s="1" t="s">
        <v>866</v>
      </c>
      <c r="E87" s="1" t="s">
        <v>780</v>
      </c>
      <c r="F87" s="1" t="s">
        <v>780</v>
      </c>
      <c r="G87" s="1" t="s">
        <v>780</v>
      </c>
      <c r="H87" s="1" t="s">
        <v>780</v>
      </c>
      <c r="I87" s="1" t="s">
        <v>780</v>
      </c>
      <c r="J87" s="1" t="s">
        <v>780</v>
      </c>
      <c r="K87" s="1" t="s">
        <v>780</v>
      </c>
      <c r="L87" s="1" t="s">
        <v>780</v>
      </c>
      <c r="M87" s="1" t="s">
        <v>780</v>
      </c>
      <c r="N87" s="1" t="s">
        <v>780</v>
      </c>
      <c r="AS87" s="1" t="s">
        <v>780</v>
      </c>
    </row>
    <row r="88" spans="1:482" ht="130.5" x14ac:dyDescent="0.35">
      <c r="A88" s="1" t="s">
        <v>861</v>
      </c>
      <c r="B88" s="14" t="s">
        <v>77</v>
      </c>
      <c r="C88" s="1" t="str" cm="1">
        <f t="array" ref="C88">GetURL(B88)</f>
        <v>https://explore-education-statistics.service.gov.uk/find-statistics/neet-statistics-annual-brief</v>
      </c>
      <c r="D88" s="1" t="s">
        <v>870</v>
      </c>
      <c r="E88" s="1" t="s">
        <v>780</v>
      </c>
      <c r="F88" s="1" t="s">
        <v>780</v>
      </c>
      <c r="G88" s="1" t="s">
        <v>780</v>
      </c>
      <c r="H88" s="1" t="s">
        <v>780</v>
      </c>
      <c r="I88" s="1" t="s">
        <v>780</v>
      </c>
      <c r="J88" s="1" t="s">
        <v>780</v>
      </c>
      <c r="K88" s="1" t="s">
        <v>780</v>
      </c>
      <c r="AQ88" s="1" t="s">
        <v>780</v>
      </c>
      <c r="AS88" s="1" t="s">
        <v>780</v>
      </c>
      <c r="AY88" s="1" t="s">
        <v>780</v>
      </c>
      <c r="JH88" s="1" t="s">
        <v>780</v>
      </c>
      <c r="JT88" s="1" t="s">
        <v>780</v>
      </c>
      <c r="JU88" s="1" t="s">
        <v>780</v>
      </c>
      <c r="JV88" s="1" t="s">
        <v>780</v>
      </c>
      <c r="JW88" s="1" t="s">
        <v>780</v>
      </c>
      <c r="JX88" s="1" t="s">
        <v>780</v>
      </c>
      <c r="JY88" s="1" t="s">
        <v>780</v>
      </c>
      <c r="JZ88" s="1" t="s">
        <v>780</v>
      </c>
      <c r="KA88" s="1" t="s">
        <v>780</v>
      </c>
      <c r="KB88" s="1" t="s">
        <v>780</v>
      </c>
      <c r="KC88" s="1" t="s">
        <v>780</v>
      </c>
      <c r="KD88" s="1" t="s">
        <v>780</v>
      </c>
      <c r="KE88" s="1" t="s">
        <v>780</v>
      </c>
      <c r="KF88" s="1" t="s">
        <v>780</v>
      </c>
      <c r="KG88" s="1" t="s">
        <v>780</v>
      </c>
      <c r="KH88" s="1" t="s">
        <v>780</v>
      </c>
      <c r="KI88" s="1" t="s">
        <v>780</v>
      </c>
      <c r="KJ88" s="1" t="s">
        <v>780</v>
      </c>
      <c r="KK88" s="1" t="s">
        <v>780</v>
      </c>
      <c r="KL88" s="1" t="s">
        <v>780</v>
      </c>
      <c r="KM88" s="1" t="s">
        <v>780</v>
      </c>
      <c r="KN88" s="1" t="s">
        <v>780</v>
      </c>
      <c r="KO88" s="1" t="s">
        <v>780</v>
      </c>
      <c r="KP88" s="1" t="s">
        <v>780</v>
      </c>
      <c r="KQ88" s="1" t="s">
        <v>780</v>
      </c>
      <c r="KR88" s="1" t="s">
        <v>780</v>
      </c>
      <c r="KS88" s="1" t="s">
        <v>780</v>
      </c>
      <c r="KT88" s="1" t="s">
        <v>780</v>
      </c>
      <c r="KU88" s="1" t="s">
        <v>780</v>
      </c>
      <c r="KV88" s="1" t="s">
        <v>780</v>
      </c>
      <c r="KW88" s="1" t="s">
        <v>780</v>
      </c>
      <c r="KX88" s="1" t="s">
        <v>780</v>
      </c>
      <c r="KY88" s="1" t="s">
        <v>780</v>
      </c>
      <c r="KZ88" s="1" t="s">
        <v>780</v>
      </c>
      <c r="LA88" s="1" t="s">
        <v>780</v>
      </c>
      <c r="LB88" s="1" t="s">
        <v>780</v>
      </c>
      <c r="LC88" s="1" t="s">
        <v>780</v>
      </c>
      <c r="LD88" s="1" t="s">
        <v>780</v>
      </c>
      <c r="LE88" s="1" t="s">
        <v>780</v>
      </c>
      <c r="LF88" s="1" t="s">
        <v>780</v>
      </c>
      <c r="LG88" s="1" t="s">
        <v>780</v>
      </c>
      <c r="LH88" s="1" t="s">
        <v>780</v>
      </c>
      <c r="LI88" s="1" t="s">
        <v>780</v>
      </c>
      <c r="LJ88" s="1" t="s">
        <v>780</v>
      </c>
      <c r="LK88" s="1" t="s">
        <v>780</v>
      </c>
      <c r="LL88" s="1" t="s">
        <v>780</v>
      </c>
      <c r="LM88" s="1" t="s">
        <v>780</v>
      </c>
      <c r="LN88" s="1" t="s">
        <v>780</v>
      </c>
      <c r="LO88" s="1" t="s">
        <v>780</v>
      </c>
      <c r="LP88" s="1" t="s">
        <v>780</v>
      </c>
      <c r="LQ88" s="1" t="s">
        <v>780</v>
      </c>
      <c r="LR88" s="1" t="s">
        <v>780</v>
      </c>
      <c r="LS88" s="1" t="s">
        <v>780</v>
      </c>
      <c r="LT88" s="1" t="s">
        <v>780</v>
      </c>
      <c r="LU88" s="1" t="s">
        <v>780</v>
      </c>
      <c r="LV88" s="1" t="s">
        <v>780</v>
      </c>
      <c r="LW88" s="1" t="s">
        <v>780</v>
      </c>
      <c r="LX88" s="1" t="s">
        <v>780</v>
      </c>
      <c r="LY88" s="1" t="s">
        <v>780</v>
      </c>
      <c r="LZ88" s="1" t="s">
        <v>780</v>
      </c>
      <c r="MA88" s="1" t="s">
        <v>780</v>
      </c>
      <c r="MB88" s="1" t="s">
        <v>780</v>
      </c>
      <c r="MC88" s="1" t="s">
        <v>780</v>
      </c>
      <c r="MD88" s="1" t="s">
        <v>780</v>
      </c>
      <c r="ME88" s="1" t="s">
        <v>780</v>
      </c>
      <c r="MF88" s="1" t="s">
        <v>780</v>
      </c>
      <c r="MG88" s="1" t="s">
        <v>780</v>
      </c>
      <c r="MH88" s="1" t="s">
        <v>780</v>
      </c>
      <c r="MI88" s="1" t="s">
        <v>780</v>
      </c>
      <c r="MJ88" s="1" t="s">
        <v>780</v>
      </c>
      <c r="MK88" s="1" t="s">
        <v>780</v>
      </c>
      <c r="ML88" s="1" t="s">
        <v>780</v>
      </c>
      <c r="MM88" s="1" t="s">
        <v>780</v>
      </c>
      <c r="MN88" s="1" t="s">
        <v>780</v>
      </c>
      <c r="MO88" s="1" t="s">
        <v>780</v>
      </c>
      <c r="MP88" s="1" t="s">
        <v>780</v>
      </c>
      <c r="MQ88" s="1" t="s">
        <v>780</v>
      </c>
      <c r="MR88" s="1" t="s">
        <v>780</v>
      </c>
      <c r="MS88" s="1" t="s">
        <v>780</v>
      </c>
      <c r="MT88" s="1" t="s">
        <v>780</v>
      </c>
      <c r="MU88" s="1" t="s">
        <v>780</v>
      </c>
      <c r="MV88" s="1" t="s">
        <v>780</v>
      </c>
    </row>
    <row r="89" spans="1:482" ht="130.5" x14ac:dyDescent="0.35">
      <c r="A89" s="1" t="s">
        <v>861</v>
      </c>
      <c r="B89" s="14" t="s">
        <v>77</v>
      </c>
      <c r="C89" s="1" t="str" cm="1">
        <f t="array" ref="C89">GetURL(B89)</f>
        <v>https://explore-education-statistics.service.gov.uk/find-statistics/neet-statistics-annual-brief</v>
      </c>
      <c r="D89" s="1" t="s">
        <v>871</v>
      </c>
      <c r="E89" s="1" t="s">
        <v>780</v>
      </c>
      <c r="F89" s="1" t="s">
        <v>780</v>
      </c>
      <c r="G89" s="1" t="s">
        <v>780</v>
      </c>
      <c r="H89" s="1" t="s">
        <v>780</v>
      </c>
      <c r="I89" s="1" t="s">
        <v>780</v>
      </c>
      <c r="AQ89" s="1" t="s">
        <v>780</v>
      </c>
      <c r="AS89" s="1" t="s">
        <v>780</v>
      </c>
      <c r="AY89" s="1" t="s">
        <v>780</v>
      </c>
      <c r="JU89" s="1" t="s">
        <v>780</v>
      </c>
      <c r="KF89" s="1" t="s">
        <v>780</v>
      </c>
      <c r="KH89" s="1" t="s">
        <v>780</v>
      </c>
      <c r="KI89" s="1" t="s">
        <v>780</v>
      </c>
      <c r="MW89" s="1" t="s">
        <v>780</v>
      </c>
      <c r="MX89" s="1" t="s">
        <v>780</v>
      </c>
    </row>
    <row r="90" spans="1:482" ht="130.5" x14ac:dyDescent="0.35">
      <c r="A90" s="1" t="s">
        <v>861</v>
      </c>
      <c r="B90" s="14" t="s">
        <v>77</v>
      </c>
      <c r="C90" s="1" t="str" cm="1">
        <f t="array" ref="C90">GetURL(B90)</f>
        <v>https://explore-education-statistics.service.gov.uk/find-statistics/neet-statistics-annual-brief</v>
      </c>
      <c r="D90" s="1" t="s">
        <v>872</v>
      </c>
      <c r="E90" s="1" t="s">
        <v>780</v>
      </c>
      <c r="F90" s="1" t="s">
        <v>780</v>
      </c>
      <c r="G90" s="1" t="s">
        <v>780</v>
      </c>
      <c r="H90" s="1" t="s">
        <v>780</v>
      </c>
      <c r="I90" s="1" t="s">
        <v>780</v>
      </c>
      <c r="JT90" s="1" t="s">
        <v>780</v>
      </c>
      <c r="MY90" s="1" t="s">
        <v>780</v>
      </c>
      <c r="MZ90" s="1" t="s">
        <v>780</v>
      </c>
      <c r="NA90" s="1" t="s">
        <v>780</v>
      </c>
      <c r="NB90" s="1" t="s">
        <v>780</v>
      </c>
      <c r="NC90" s="1" t="s">
        <v>780</v>
      </c>
      <c r="ND90" s="1" t="s">
        <v>780</v>
      </c>
      <c r="NE90" s="1" t="s">
        <v>780</v>
      </c>
      <c r="NF90" s="1" t="s">
        <v>780</v>
      </c>
      <c r="NG90" s="1" t="s">
        <v>780</v>
      </c>
      <c r="NH90" s="1" t="s">
        <v>780</v>
      </c>
      <c r="NI90" s="1" t="s">
        <v>780</v>
      </c>
      <c r="NJ90" s="1" t="s">
        <v>780</v>
      </c>
    </row>
    <row r="91" spans="1:482" ht="145" x14ac:dyDescent="0.35">
      <c r="A91" s="1" t="s">
        <v>861</v>
      </c>
      <c r="B91" s="14" t="s">
        <v>64</v>
      </c>
      <c r="C91" s="1" t="str" cm="1">
        <f t="array" ref="C91">GetURL(B91)</f>
        <v>https://explore-education-statistics.service.gov.uk/find-statistics/key-stage-4-destination-measures</v>
      </c>
      <c r="D91" s="1" t="s">
        <v>873</v>
      </c>
      <c r="E91" s="1" t="s">
        <v>780</v>
      </c>
      <c r="F91" s="1" t="s">
        <v>780</v>
      </c>
      <c r="G91" s="1" t="s">
        <v>780</v>
      </c>
      <c r="H91" s="1" t="s">
        <v>780</v>
      </c>
      <c r="I91" s="1" t="s">
        <v>780</v>
      </c>
      <c r="AE91" s="1" t="s">
        <v>780</v>
      </c>
      <c r="AG91" s="1" t="s">
        <v>780</v>
      </c>
      <c r="IZ91" s="1" t="s">
        <v>780</v>
      </c>
      <c r="JL91" s="1" t="s">
        <v>780</v>
      </c>
      <c r="JM91" s="1" t="s">
        <v>780</v>
      </c>
      <c r="NK91" s="1" t="s">
        <v>780</v>
      </c>
      <c r="NL91" s="1" t="s">
        <v>780</v>
      </c>
      <c r="NM91" s="1" t="s">
        <v>780</v>
      </c>
      <c r="NQ91" s="1" t="s">
        <v>780</v>
      </c>
      <c r="NU91" s="1" t="s">
        <v>780</v>
      </c>
      <c r="NV91" s="1" t="s">
        <v>780</v>
      </c>
      <c r="OJ91" s="1" t="s">
        <v>780</v>
      </c>
      <c r="OK91" s="1" t="s">
        <v>780</v>
      </c>
      <c r="OM91" s="1" t="s">
        <v>780</v>
      </c>
      <c r="ON91" s="1" t="s">
        <v>780</v>
      </c>
      <c r="OO91" s="1" t="s">
        <v>780</v>
      </c>
      <c r="OP91" s="1" t="s">
        <v>780</v>
      </c>
      <c r="OR91" s="1" t="s">
        <v>780</v>
      </c>
      <c r="OS91" s="1" t="s">
        <v>780</v>
      </c>
      <c r="OT91" s="1" t="s">
        <v>780</v>
      </c>
      <c r="PC91" s="1" t="s">
        <v>780</v>
      </c>
      <c r="PE91" s="1" t="s">
        <v>780</v>
      </c>
      <c r="PF91" s="1" t="s">
        <v>780</v>
      </c>
      <c r="PW91" s="1" t="s">
        <v>780</v>
      </c>
      <c r="PX91" s="1" t="s">
        <v>780</v>
      </c>
      <c r="PY91" s="1" t="s">
        <v>780</v>
      </c>
      <c r="PZ91" s="1" t="s">
        <v>780</v>
      </c>
      <c r="QA91" s="1" t="s">
        <v>780</v>
      </c>
      <c r="QB91" s="1" t="s">
        <v>780</v>
      </c>
      <c r="QC91" s="1" t="s">
        <v>780</v>
      </c>
      <c r="QD91" s="1" t="s">
        <v>780</v>
      </c>
      <c r="QE91" s="1" t="s">
        <v>780</v>
      </c>
    </row>
    <row r="92" spans="1:482" ht="145" x14ac:dyDescent="0.35">
      <c r="A92" s="1" t="s">
        <v>861</v>
      </c>
      <c r="B92" s="14" t="s">
        <v>64</v>
      </c>
      <c r="C92" s="1" t="str" cm="1">
        <f t="array" ref="C92">GetURL(B92)</f>
        <v>https://explore-education-statistics.service.gov.uk/find-statistics/key-stage-4-destination-measures</v>
      </c>
      <c r="D92" s="1" t="s">
        <v>874</v>
      </c>
      <c r="E92" s="1" t="s">
        <v>780</v>
      </c>
      <c r="F92" s="1" t="s">
        <v>780</v>
      </c>
      <c r="G92" s="1" t="s">
        <v>780</v>
      </c>
      <c r="H92" s="1" t="s">
        <v>780</v>
      </c>
      <c r="I92" s="1" t="s">
        <v>780</v>
      </c>
      <c r="J92" s="1" t="s">
        <v>780</v>
      </c>
      <c r="K92" s="1" t="s">
        <v>780</v>
      </c>
      <c r="L92" s="1" t="s">
        <v>780</v>
      </c>
      <c r="M92" s="1" t="s">
        <v>780</v>
      </c>
      <c r="N92" s="1" t="s">
        <v>780</v>
      </c>
      <c r="O92" s="1" t="s">
        <v>780</v>
      </c>
      <c r="P92" s="1" t="s">
        <v>780</v>
      </c>
      <c r="Q92" s="1" t="s">
        <v>780</v>
      </c>
      <c r="R92" s="1" t="s">
        <v>780</v>
      </c>
      <c r="W92" s="1" t="s">
        <v>780</v>
      </c>
      <c r="X92" s="1" t="s">
        <v>780</v>
      </c>
      <c r="AE92" s="1" t="s">
        <v>780</v>
      </c>
      <c r="AG92" s="1" t="s">
        <v>780</v>
      </c>
      <c r="IZ92" s="1" t="s">
        <v>780</v>
      </c>
      <c r="JL92" s="1" t="s">
        <v>780</v>
      </c>
      <c r="JM92" s="1" t="s">
        <v>780</v>
      </c>
      <c r="NK92" s="1" t="s">
        <v>780</v>
      </c>
      <c r="NL92" s="1" t="s">
        <v>780</v>
      </c>
      <c r="NU92" s="1" t="s">
        <v>780</v>
      </c>
      <c r="NV92" s="1" t="s">
        <v>780</v>
      </c>
      <c r="OJ92" s="1" t="s">
        <v>780</v>
      </c>
      <c r="OK92" s="1" t="s">
        <v>780</v>
      </c>
      <c r="OM92" s="1" t="s">
        <v>780</v>
      </c>
      <c r="PC92" s="1" t="s">
        <v>780</v>
      </c>
      <c r="PE92" s="1" t="s">
        <v>780</v>
      </c>
      <c r="PF92" s="1" t="s">
        <v>780</v>
      </c>
      <c r="PW92" s="1" t="s">
        <v>780</v>
      </c>
      <c r="PX92" s="1" t="s">
        <v>780</v>
      </c>
      <c r="QB92" s="1" t="s">
        <v>780</v>
      </c>
      <c r="QE92" s="1" t="s">
        <v>780</v>
      </c>
    </row>
    <row r="93" spans="1:482" ht="145" x14ac:dyDescent="0.35">
      <c r="A93" s="1" t="s">
        <v>861</v>
      </c>
      <c r="B93" s="14" t="s">
        <v>64</v>
      </c>
      <c r="C93" s="1" t="str" cm="1">
        <f t="array" ref="C93">GetURL(B93)</f>
        <v>https://explore-education-statistics.service.gov.uk/find-statistics/key-stage-4-destination-measures</v>
      </c>
      <c r="D93" s="1" t="s">
        <v>875</v>
      </c>
      <c r="E93" s="1" t="s">
        <v>780</v>
      </c>
      <c r="F93" s="1" t="s">
        <v>780</v>
      </c>
      <c r="G93" s="1" t="s">
        <v>780</v>
      </c>
      <c r="H93" s="1" t="s">
        <v>780</v>
      </c>
      <c r="I93" s="1" t="s">
        <v>780</v>
      </c>
      <c r="IZ93" s="1" t="s">
        <v>780</v>
      </c>
      <c r="NL93" s="1" t="s">
        <v>780</v>
      </c>
      <c r="NM93" s="1" t="s">
        <v>780</v>
      </c>
      <c r="NQ93" s="1" t="s">
        <v>780</v>
      </c>
      <c r="NU93" s="1" t="s">
        <v>780</v>
      </c>
      <c r="NV93" s="1" t="s">
        <v>780</v>
      </c>
      <c r="OJ93" s="1" t="s">
        <v>780</v>
      </c>
      <c r="OK93" s="1" t="s">
        <v>780</v>
      </c>
      <c r="OM93" s="1" t="s">
        <v>780</v>
      </c>
      <c r="ON93" s="1" t="s">
        <v>780</v>
      </c>
      <c r="OO93" s="1" t="s">
        <v>780</v>
      </c>
      <c r="OP93" s="1" t="s">
        <v>780</v>
      </c>
      <c r="OR93" s="1" t="s">
        <v>780</v>
      </c>
      <c r="OS93" s="1" t="s">
        <v>780</v>
      </c>
      <c r="OT93" s="1" t="s">
        <v>780</v>
      </c>
      <c r="PC93" s="1" t="s">
        <v>780</v>
      </c>
      <c r="PE93" s="1" t="s">
        <v>780</v>
      </c>
      <c r="PF93" s="1" t="s">
        <v>780</v>
      </c>
      <c r="PW93" s="1" t="s">
        <v>780</v>
      </c>
      <c r="PX93" s="1" t="s">
        <v>780</v>
      </c>
      <c r="PY93" s="1" t="s">
        <v>780</v>
      </c>
      <c r="PZ93" s="1" t="s">
        <v>780</v>
      </c>
      <c r="QA93" s="1" t="s">
        <v>780</v>
      </c>
      <c r="QB93" s="1" t="s">
        <v>780</v>
      </c>
      <c r="QC93" s="1" t="s">
        <v>780</v>
      </c>
      <c r="QD93" s="1" t="s">
        <v>780</v>
      </c>
    </row>
    <row r="94" spans="1:482" ht="145" x14ac:dyDescent="0.35">
      <c r="A94" s="1" t="s">
        <v>861</v>
      </c>
      <c r="B94" s="14" t="s">
        <v>21</v>
      </c>
      <c r="C94" s="1" t="str" cm="1">
        <f t="array" ref="C94">GetURL(B94)</f>
        <v>https://explore-education-statistics.service.gov.uk/find-statistics/16-18-destination-measures</v>
      </c>
      <c r="D94" s="1" t="s">
        <v>876</v>
      </c>
      <c r="E94" s="1" t="s">
        <v>780</v>
      </c>
      <c r="F94" s="1" t="s">
        <v>780</v>
      </c>
      <c r="G94" s="1" t="s">
        <v>780</v>
      </c>
      <c r="H94" s="1" t="s">
        <v>780</v>
      </c>
      <c r="I94" s="1" t="s">
        <v>780</v>
      </c>
      <c r="AE94" s="1" t="s">
        <v>780</v>
      </c>
      <c r="AG94" s="1" t="s">
        <v>780</v>
      </c>
      <c r="IZ94" s="1" t="s">
        <v>780</v>
      </c>
      <c r="JA94" s="1" t="s">
        <v>780</v>
      </c>
      <c r="JB94" s="1" t="s">
        <v>780</v>
      </c>
      <c r="JL94" s="1" t="s">
        <v>780</v>
      </c>
      <c r="JM94" s="1" t="s">
        <v>780</v>
      </c>
      <c r="NK94" s="1" t="s">
        <v>780</v>
      </c>
      <c r="NL94" s="1" t="s">
        <v>780</v>
      </c>
      <c r="NM94" s="1" t="s">
        <v>780</v>
      </c>
      <c r="NQ94" s="1" t="s">
        <v>780</v>
      </c>
      <c r="NU94" s="1" t="s">
        <v>780</v>
      </c>
      <c r="NV94" s="1" t="s">
        <v>780</v>
      </c>
      <c r="NW94" s="1" t="s">
        <v>780</v>
      </c>
      <c r="NX94" s="1" t="s">
        <v>780</v>
      </c>
      <c r="NY94" s="1" t="s">
        <v>780</v>
      </c>
      <c r="OJ94" s="1" t="s">
        <v>780</v>
      </c>
      <c r="OK94" s="1" t="s">
        <v>780</v>
      </c>
      <c r="OM94" s="1" t="s">
        <v>780</v>
      </c>
      <c r="ON94" s="1" t="s">
        <v>780</v>
      </c>
      <c r="OQ94" s="1" t="s">
        <v>780</v>
      </c>
      <c r="OS94" s="1" t="s">
        <v>780</v>
      </c>
      <c r="OT94" s="1" t="s">
        <v>780</v>
      </c>
      <c r="PC94" s="1" t="s">
        <v>780</v>
      </c>
      <c r="PD94" s="1" t="s">
        <v>780</v>
      </c>
      <c r="PE94" s="1" t="s">
        <v>780</v>
      </c>
      <c r="PF94" s="1" t="s">
        <v>780</v>
      </c>
      <c r="PW94" s="1" t="s">
        <v>780</v>
      </c>
      <c r="PX94" s="1" t="s">
        <v>780</v>
      </c>
      <c r="PY94" s="1" t="s">
        <v>780</v>
      </c>
      <c r="PZ94" s="1" t="s">
        <v>780</v>
      </c>
      <c r="QA94" s="1" t="s">
        <v>780</v>
      </c>
      <c r="QB94" s="1" t="s">
        <v>780</v>
      </c>
      <c r="QC94" s="1" t="s">
        <v>780</v>
      </c>
      <c r="QD94" s="1" t="s">
        <v>780</v>
      </c>
      <c r="QF94" s="1" t="s">
        <v>780</v>
      </c>
    </row>
    <row r="95" spans="1:482" ht="145" x14ac:dyDescent="0.35">
      <c r="A95" s="1" t="s">
        <v>861</v>
      </c>
      <c r="B95" s="14" t="s">
        <v>21</v>
      </c>
      <c r="C95" s="1" t="str" cm="1">
        <f t="array" ref="C95">GetURL(B95)</f>
        <v>https://explore-education-statistics.service.gov.uk/find-statistics/16-18-destination-measures</v>
      </c>
      <c r="D95" s="1" t="s">
        <v>877</v>
      </c>
      <c r="E95" s="1" t="s">
        <v>780</v>
      </c>
      <c r="F95" s="1" t="s">
        <v>780</v>
      </c>
      <c r="G95" s="1" t="s">
        <v>780</v>
      </c>
      <c r="H95" s="1" t="s">
        <v>780</v>
      </c>
      <c r="I95" s="1" t="s">
        <v>780</v>
      </c>
      <c r="J95" s="1" t="s">
        <v>780</v>
      </c>
      <c r="K95" s="1" t="s">
        <v>780</v>
      </c>
      <c r="L95" s="1" t="s">
        <v>780</v>
      </c>
      <c r="M95" s="1" t="s">
        <v>780</v>
      </c>
      <c r="N95" s="1" t="s">
        <v>780</v>
      </c>
      <c r="O95" s="1" t="s">
        <v>780</v>
      </c>
      <c r="P95" s="1" t="s">
        <v>780</v>
      </c>
      <c r="Q95" s="1" t="s">
        <v>780</v>
      </c>
      <c r="R95" s="1" t="s">
        <v>780</v>
      </c>
      <c r="W95" s="1" t="s">
        <v>780</v>
      </c>
      <c r="X95" s="1" t="s">
        <v>780</v>
      </c>
      <c r="AE95" s="1" t="s">
        <v>780</v>
      </c>
      <c r="AG95" s="1" t="s">
        <v>780</v>
      </c>
      <c r="IZ95" s="1" t="s">
        <v>780</v>
      </c>
      <c r="JA95" s="1" t="s">
        <v>780</v>
      </c>
      <c r="JB95" s="1" t="s">
        <v>780</v>
      </c>
      <c r="JL95" s="1" t="s">
        <v>780</v>
      </c>
      <c r="JM95" s="1" t="s">
        <v>780</v>
      </c>
      <c r="NK95" s="1" t="s">
        <v>780</v>
      </c>
      <c r="NL95" s="1" t="s">
        <v>780</v>
      </c>
      <c r="NQ95" s="1" t="s">
        <v>780</v>
      </c>
      <c r="NU95" s="1" t="s">
        <v>780</v>
      </c>
      <c r="NV95" s="1" t="s">
        <v>780</v>
      </c>
      <c r="NW95" s="1" t="s">
        <v>780</v>
      </c>
      <c r="NX95" s="1" t="s">
        <v>780</v>
      </c>
      <c r="NY95" s="1" t="s">
        <v>780</v>
      </c>
      <c r="OM95" s="1" t="s">
        <v>780</v>
      </c>
      <c r="OT95" s="1" t="s">
        <v>780</v>
      </c>
      <c r="PC95" s="1" t="s">
        <v>780</v>
      </c>
      <c r="PD95" s="1" t="s">
        <v>780</v>
      </c>
      <c r="PE95" s="1" t="s">
        <v>780</v>
      </c>
      <c r="PF95" s="1" t="s">
        <v>780</v>
      </c>
      <c r="PW95" s="1" t="s">
        <v>780</v>
      </c>
      <c r="PX95" s="1" t="s">
        <v>780</v>
      </c>
      <c r="QB95" s="1" t="s">
        <v>780</v>
      </c>
      <c r="QE95" s="1" t="s">
        <v>780</v>
      </c>
    </row>
    <row r="96" spans="1:482" ht="145" x14ac:dyDescent="0.35">
      <c r="A96" s="1" t="s">
        <v>861</v>
      </c>
      <c r="B96" s="14" t="s">
        <v>21</v>
      </c>
      <c r="C96" s="1" t="str" cm="1">
        <f t="array" ref="C96">GetURL(B96)</f>
        <v>https://explore-education-statistics.service.gov.uk/find-statistics/16-18-destination-measures</v>
      </c>
      <c r="D96" s="1" t="s">
        <v>878</v>
      </c>
      <c r="E96" s="1" t="s">
        <v>780</v>
      </c>
      <c r="F96" s="1" t="s">
        <v>780</v>
      </c>
      <c r="G96" s="1" t="s">
        <v>780</v>
      </c>
      <c r="H96" s="1" t="s">
        <v>780</v>
      </c>
      <c r="I96" s="1" t="s">
        <v>780</v>
      </c>
      <c r="IZ96" s="1" t="s">
        <v>780</v>
      </c>
      <c r="JM96" s="1" t="s">
        <v>780</v>
      </c>
      <c r="NL96" s="1" t="s">
        <v>780</v>
      </c>
      <c r="NM96" s="1" t="s">
        <v>780</v>
      </c>
      <c r="NQ96" s="1" t="s">
        <v>780</v>
      </c>
      <c r="NU96" s="1" t="s">
        <v>780</v>
      </c>
      <c r="NV96" s="1" t="s">
        <v>780</v>
      </c>
      <c r="NW96" s="1" t="s">
        <v>780</v>
      </c>
      <c r="NX96" s="1" t="s">
        <v>780</v>
      </c>
      <c r="NY96" s="1" t="s">
        <v>780</v>
      </c>
      <c r="OJ96" s="1" t="s">
        <v>780</v>
      </c>
      <c r="OK96" s="1" t="s">
        <v>780</v>
      </c>
      <c r="OM96" s="1" t="s">
        <v>780</v>
      </c>
      <c r="ON96" s="1" t="s">
        <v>780</v>
      </c>
      <c r="OQ96" s="1" t="s">
        <v>780</v>
      </c>
      <c r="OS96" s="1" t="s">
        <v>780</v>
      </c>
      <c r="OT96" s="1" t="s">
        <v>780</v>
      </c>
      <c r="PC96" s="1" t="s">
        <v>780</v>
      </c>
      <c r="PD96" s="1" t="s">
        <v>780</v>
      </c>
      <c r="PE96" s="1" t="s">
        <v>780</v>
      </c>
      <c r="PF96" s="1" t="s">
        <v>780</v>
      </c>
      <c r="PW96" s="1" t="s">
        <v>780</v>
      </c>
      <c r="PX96" s="1" t="s">
        <v>780</v>
      </c>
      <c r="PY96" s="1" t="s">
        <v>780</v>
      </c>
      <c r="QA96" s="1" t="s">
        <v>780</v>
      </c>
      <c r="QB96" s="1" t="s">
        <v>780</v>
      </c>
      <c r="QC96" s="1" t="s">
        <v>780</v>
      </c>
      <c r="QD96" s="1" t="s">
        <v>780</v>
      </c>
      <c r="QF96" s="1" t="s">
        <v>780</v>
      </c>
    </row>
    <row r="97" spans="1:449" ht="188.5" x14ac:dyDescent="0.35">
      <c r="A97" s="1" t="s">
        <v>861</v>
      </c>
      <c r="B97" s="14" t="s">
        <v>53</v>
      </c>
      <c r="C97" s="1" t="str" cm="1">
        <f t="array" ref="C97">GetURL(B97)</f>
        <v>https://explore-education-statistics.service.gov.uk/find-statistics/further-education-outcome-based-success-measures</v>
      </c>
      <c r="D97" s="1" t="s">
        <v>879</v>
      </c>
      <c r="E97" s="1" t="s">
        <v>780</v>
      </c>
      <c r="F97" s="1" t="s">
        <v>780</v>
      </c>
      <c r="G97" s="1" t="s">
        <v>780</v>
      </c>
      <c r="H97" s="1" t="s">
        <v>780</v>
      </c>
      <c r="I97" s="1" t="s">
        <v>780</v>
      </c>
      <c r="AR97" s="1" t="s">
        <v>780</v>
      </c>
      <c r="AT97" s="1" t="s">
        <v>780</v>
      </c>
      <c r="AY97" s="1" t="s">
        <v>780</v>
      </c>
      <c r="BM97" s="1" t="s">
        <v>780</v>
      </c>
      <c r="BP97" s="1" t="s">
        <v>780</v>
      </c>
      <c r="BQ97" s="1" t="s">
        <v>780</v>
      </c>
      <c r="BR97" s="1" t="s">
        <v>780</v>
      </c>
      <c r="BW97" s="1" t="s">
        <v>780</v>
      </c>
      <c r="ES97" s="1" t="s">
        <v>780</v>
      </c>
      <c r="EV97" s="1" t="s">
        <v>780</v>
      </c>
      <c r="FK97" s="1" t="s">
        <v>780</v>
      </c>
      <c r="FP97" s="1" t="s">
        <v>780</v>
      </c>
      <c r="FQ97" s="1" t="s">
        <v>780</v>
      </c>
      <c r="FR97" s="1" t="s">
        <v>780</v>
      </c>
      <c r="FS97" s="1" t="s">
        <v>780</v>
      </c>
      <c r="GZ97" s="1" t="s">
        <v>780</v>
      </c>
      <c r="HA97" s="1" t="s">
        <v>780</v>
      </c>
      <c r="NP97" s="1" t="s">
        <v>780</v>
      </c>
      <c r="OA97" s="1" t="s">
        <v>780</v>
      </c>
      <c r="OB97" s="1" t="s">
        <v>780</v>
      </c>
      <c r="OC97" s="1" t="s">
        <v>780</v>
      </c>
      <c r="OD97" s="1" t="s">
        <v>780</v>
      </c>
      <c r="OE97" s="1" t="s">
        <v>780</v>
      </c>
      <c r="OF97" s="1" t="s">
        <v>780</v>
      </c>
      <c r="OG97" s="1" t="s">
        <v>780</v>
      </c>
      <c r="OH97" s="1" t="s">
        <v>780</v>
      </c>
      <c r="OI97" s="1" t="s">
        <v>780</v>
      </c>
      <c r="OY97" s="1" t="s">
        <v>780</v>
      </c>
      <c r="PA97" s="1" t="s">
        <v>780</v>
      </c>
      <c r="PB97" s="1" t="s">
        <v>780</v>
      </c>
      <c r="PG97" s="1" t="s">
        <v>780</v>
      </c>
      <c r="PJ97" s="1" t="s">
        <v>780</v>
      </c>
      <c r="PK97" s="1" t="s">
        <v>780</v>
      </c>
      <c r="PL97" s="1" t="s">
        <v>780</v>
      </c>
      <c r="PN97" s="1" t="s">
        <v>780</v>
      </c>
      <c r="PO97" s="1" t="s">
        <v>780</v>
      </c>
      <c r="PP97" s="1" t="s">
        <v>780</v>
      </c>
      <c r="PQ97" s="1" t="s">
        <v>780</v>
      </c>
      <c r="PR97" s="1" t="s">
        <v>780</v>
      </c>
      <c r="PS97" s="1" t="s">
        <v>780</v>
      </c>
      <c r="PT97" s="1" t="s">
        <v>780</v>
      </c>
      <c r="PU97" s="1" t="s">
        <v>780</v>
      </c>
      <c r="PV97" s="1" t="s">
        <v>780</v>
      </c>
    </row>
    <row r="98" spans="1:449" ht="188.5" x14ac:dyDescent="0.35">
      <c r="A98" s="1" t="s">
        <v>861</v>
      </c>
      <c r="B98" s="14" t="s">
        <v>53</v>
      </c>
      <c r="C98" s="1" t="str" cm="1">
        <f t="array" ref="C98">GetURL(B98)</f>
        <v>https://explore-education-statistics.service.gov.uk/find-statistics/further-education-outcome-based-success-measures</v>
      </c>
      <c r="D98" s="1" t="s">
        <v>880</v>
      </c>
      <c r="E98" s="1" t="s">
        <v>780</v>
      </c>
      <c r="F98" s="1" t="s">
        <v>780</v>
      </c>
      <c r="G98" s="1" t="s">
        <v>780</v>
      </c>
      <c r="H98" s="1" t="s">
        <v>780</v>
      </c>
      <c r="I98" s="1" t="s">
        <v>780</v>
      </c>
      <c r="AT98" s="1" t="s">
        <v>780</v>
      </c>
      <c r="AY98" s="1" t="s">
        <v>780</v>
      </c>
      <c r="BM98" s="1" t="s">
        <v>780</v>
      </c>
      <c r="BP98" s="1" t="s">
        <v>780</v>
      </c>
      <c r="BQ98" s="1" t="s">
        <v>780</v>
      </c>
      <c r="BR98" s="1" t="s">
        <v>780</v>
      </c>
      <c r="BW98" s="1" t="s">
        <v>780</v>
      </c>
      <c r="ES98" s="1" t="s">
        <v>780</v>
      </c>
      <c r="EV98" s="1" t="s">
        <v>780</v>
      </c>
      <c r="EW98" s="1" t="s">
        <v>780</v>
      </c>
      <c r="EY98" s="1" t="s">
        <v>780</v>
      </c>
      <c r="FK98" s="1" t="s">
        <v>780</v>
      </c>
      <c r="FP98" s="1" t="s">
        <v>780</v>
      </c>
      <c r="FQ98" s="1" t="s">
        <v>780</v>
      </c>
      <c r="FR98" s="1" t="s">
        <v>780</v>
      </c>
      <c r="FS98" s="1" t="s">
        <v>780</v>
      </c>
      <c r="NP98" s="1" t="s">
        <v>780</v>
      </c>
      <c r="OA98" s="1" t="s">
        <v>780</v>
      </c>
      <c r="OB98" s="1" t="s">
        <v>780</v>
      </c>
      <c r="OC98" s="1" t="s">
        <v>780</v>
      </c>
      <c r="OD98" s="1" t="s">
        <v>780</v>
      </c>
      <c r="OE98" s="1" t="s">
        <v>780</v>
      </c>
      <c r="OF98" s="1" t="s">
        <v>780</v>
      </c>
      <c r="OG98" s="1" t="s">
        <v>780</v>
      </c>
      <c r="OH98" s="1" t="s">
        <v>780</v>
      </c>
      <c r="OI98" s="1" t="s">
        <v>780</v>
      </c>
      <c r="OY98" s="1" t="s">
        <v>780</v>
      </c>
      <c r="PA98" s="1" t="s">
        <v>780</v>
      </c>
      <c r="PG98" s="1" t="s">
        <v>780</v>
      </c>
      <c r="PJ98" s="1" t="s">
        <v>780</v>
      </c>
      <c r="PK98" s="1" t="s">
        <v>780</v>
      </c>
      <c r="PN98" s="1" t="s">
        <v>780</v>
      </c>
      <c r="PO98" s="1" t="s">
        <v>780</v>
      </c>
      <c r="PP98" s="1" t="s">
        <v>780</v>
      </c>
      <c r="PQ98" s="1" t="s">
        <v>780</v>
      </c>
      <c r="PR98" s="1" t="s">
        <v>780</v>
      </c>
    </row>
    <row r="99" spans="1:449" ht="129.65" customHeight="1" x14ac:dyDescent="0.35">
      <c r="A99" s="1" t="s">
        <v>861</v>
      </c>
      <c r="B99" s="14" t="s">
        <v>53</v>
      </c>
      <c r="C99" s="1" t="str" cm="1">
        <f t="array" ref="C99">GetURL(B99)</f>
        <v>https://explore-education-statistics.service.gov.uk/find-statistics/further-education-outcome-based-success-measures</v>
      </c>
      <c r="D99" s="1" t="s">
        <v>1158</v>
      </c>
      <c r="E99" s="1" t="s">
        <v>780</v>
      </c>
      <c r="F99" s="1" t="s">
        <v>780</v>
      </c>
      <c r="G99" s="1" t="s">
        <v>780</v>
      </c>
      <c r="H99" s="1" t="s">
        <v>780</v>
      </c>
      <c r="I99" s="1" t="s">
        <v>780</v>
      </c>
      <c r="AT99" s="1" t="s">
        <v>780</v>
      </c>
      <c r="AY99" s="1" t="s">
        <v>780</v>
      </c>
      <c r="BM99" s="1" t="s">
        <v>780</v>
      </c>
      <c r="BP99" s="1" t="s">
        <v>780</v>
      </c>
      <c r="BQ99" s="1" t="s">
        <v>780</v>
      </c>
      <c r="BR99" s="1" t="s">
        <v>780</v>
      </c>
      <c r="BW99" s="1" t="s">
        <v>780</v>
      </c>
      <c r="BX99" s="1" t="s">
        <v>780</v>
      </c>
      <c r="ES99" s="1" t="s">
        <v>780</v>
      </c>
      <c r="EV99" s="1" t="s">
        <v>780</v>
      </c>
      <c r="FA99" s="1" t="s">
        <v>780</v>
      </c>
      <c r="FK99" s="1" t="s">
        <v>780</v>
      </c>
      <c r="GJ99" s="1" t="s">
        <v>780</v>
      </c>
      <c r="GZ99" s="1" t="s">
        <v>780</v>
      </c>
      <c r="HA99" s="1" t="s">
        <v>780</v>
      </c>
      <c r="OA99" s="1" t="s">
        <v>780</v>
      </c>
      <c r="OB99" s="1" t="s">
        <v>780</v>
      </c>
      <c r="OC99" s="1" t="s">
        <v>780</v>
      </c>
      <c r="OD99" s="1" t="s">
        <v>780</v>
      </c>
      <c r="OE99" s="1" t="s">
        <v>780</v>
      </c>
      <c r="OF99" s="1" t="s">
        <v>780</v>
      </c>
      <c r="OG99" s="1" t="s">
        <v>780</v>
      </c>
      <c r="OH99" s="1" t="s">
        <v>780</v>
      </c>
      <c r="OI99" s="1" t="s">
        <v>780</v>
      </c>
      <c r="OY99" s="1" t="s">
        <v>780</v>
      </c>
      <c r="PG99" s="1" t="s">
        <v>780</v>
      </c>
      <c r="PH99" s="1" t="s">
        <v>780</v>
      </c>
      <c r="PI99" s="1" t="s">
        <v>780</v>
      </c>
      <c r="PL99" s="1" t="s">
        <v>780</v>
      </c>
      <c r="PM99" s="1" t="s">
        <v>780</v>
      </c>
    </row>
    <row r="100" spans="1:449" ht="188.5" x14ac:dyDescent="0.35">
      <c r="A100" s="1" t="s">
        <v>861</v>
      </c>
      <c r="B100" s="14" t="s">
        <v>53</v>
      </c>
      <c r="C100" s="1" t="str" cm="1">
        <f t="array" ref="C100">GetURL(B100)</f>
        <v>https://explore-education-statistics.service.gov.uk/find-statistics/further-education-outcome-based-success-measures</v>
      </c>
      <c r="D100" s="1" t="s">
        <v>1159</v>
      </c>
      <c r="E100" s="9" t="s">
        <v>780</v>
      </c>
      <c r="F100" s="9" t="s">
        <v>780</v>
      </c>
      <c r="G100" s="9" t="s">
        <v>780</v>
      </c>
      <c r="H100" s="9" t="s">
        <v>780</v>
      </c>
      <c r="I100" s="9" t="s">
        <v>780</v>
      </c>
      <c r="J100" s="9" t="s">
        <v>780</v>
      </c>
      <c r="K100" s="9" t="s">
        <v>780</v>
      </c>
      <c r="BP100" s="1" t="s">
        <v>780</v>
      </c>
      <c r="ES100" s="1" t="s">
        <v>780</v>
      </c>
      <c r="EV100" s="1" t="s">
        <v>780</v>
      </c>
      <c r="EW100" s="1" t="s">
        <v>780</v>
      </c>
      <c r="EY100" s="1" t="s">
        <v>780</v>
      </c>
      <c r="FH100" s="1" t="s">
        <v>780</v>
      </c>
      <c r="FI100" s="1" t="s">
        <v>780</v>
      </c>
      <c r="FJ100" s="1" t="s">
        <v>780</v>
      </c>
      <c r="FK100" s="1" t="s">
        <v>780</v>
      </c>
      <c r="FP100" s="1" t="s">
        <v>780</v>
      </c>
      <c r="FQ100" s="1" t="s">
        <v>780</v>
      </c>
      <c r="FR100" s="1" t="s">
        <v>780</v>
      </c>
      <c r="FS100" s="1" t="s">
        <v>780</v>
      </c>
      <c r="NP100" s="1" t="s">
        <v>780</v>
      </c>
      <c r="OA100" s="1" t="s">
        <v>780</v>
      </c>
      <c r="OB100" s="1" t="s">
        <v>780</v>
      </c>
      <c r="OC100" s="1" t="s">
        <v>780</v>
      </c>
      <c r="OD100" s="1" t="s">
        <v>780</v>
      </c>
      <c r="OE100" s="1" t="s">
        <v>780</v>
      </c>
      <c r="OF100" s="1" t="s">
        <v>780</v>
      </c>
      <c r="OG100" s="1" t="s">
        <v>780</v>
      </c>
      <c r="OH100" s="1" t="s">
        <v>780</v>
      </c>
      <c r="OI100" s="1" t="s">
        <v>780</v>
      </c>
      <c r="OY100" s="1" t="s">
        <v>780</v>
      </c>
      <c r="PA100" s="1" t="s">
        <v>780</v>
      </c>
      <c r="PG100" s="1" t="s">
        <v>780</v>
      </c>
      <c r="PH100" s="1" t="s">
        <v>780</v>
      </c>
      <c r="PK100" s="1" t="s">
        <v>780</v>
      </c>
      <c r="PL100" s="1" t="s">
        <v>780</v>
      </c>
      <c r="PN100" s="1" t="s">
        <v>780</v>
      </c>
      <c r="PO100" s="1" t="s">
        <v>780</v>
      </c>
      <c r="PP100" s="1" t="s">
        <v>780</v>
      </c>
      <c r="PQ100" s="1" t="s">
        <v>780</v>
      </c>
      <c r="PR100" s="1" t="s">
        <v>780</v>
      </c>
    </row>
    <row r="101" spans="1:449" ht="188.5" x14ac:dyDescent="0.35">
      <c r="A101" s="1" t="s">
        <v>861</v>
      </c>
      <c r="B101" s="14" t="s">
        <v>53</v>
      </c>
      <c r="C101" s="1" t="str" cm="1">
        <f t="array" ref="C101">GetURL(B101)</f>
        <v>https://explore-education-statistics.service.gov.uk/find-statistics/further-education-outcome-based-success-measures</v>
      </c>
      <c r="D101" s="1" t="s">
        <v>1160</v>
      </c>
      <c r="E101" s="1" t="s">
        <v>780</v>
      </c>
      <c r="F101" s="1" t="s">
        <v>780</v>
      </c>
      <c r="G101" s="1" t="s">
        <v>780</v>
      </c>
      <c r="H101" s="1" t="s">
        <v>780</v>
      </c>
      <c r="I101" s="1" t="s">
        <v>780</v>
      </c>
      <c r="J101" s="1" t="s">
        <v>780</v>
      </c>
      <c r="K101" s="1" t="s">
        <v>780</v>
      </c>
      <c r="AR101" s="1" t="s">
        <v>780</v>
      </c>
      <c r="AT101" s="1" t="s">
        <v>780</v>
      </c>
      <c r="AY101" s="1" t="s">
        <v>780</v>
      </c>
      <c r="BM101" s="1" t="s">
        <v>780</v>
      </c>
      <c r="ES101" s="1" t="s">
        <v>780</v>
      </c>
      <c r="EV101" s="1" t="s">
        <v>780</v>
      </c>
      <c r="EW101" s="1" t="s">
        <v>780</v>
      </c>
      <c r="EY101" s="1" t="s">
        <v>780</v>
      </c>
      <c r="FH101" s="1" t="s">
        <v>780</v>
      </c>
      <c r="FI101" s="1" t="s">
        <v>780</v>
      </c>
      <c r="FJ101" s="1" t="s">
        <v>780</v>
      </c>
      <c r="FP101" s="1" t="s">
        <v>780</v>
      </c>
      <c r="FQ101" s="1" t="s">
        <v>780</v>
      </c>
      <c r="FR101" s="1" t="s">
        <v>780</v>
      </c>
      <c r="FS101" s="1" t="s">
        <v>780</v>
      </c>
      <c r="GZ101" s="1" t="s">
        <v>780</v>
      </c>
      <c r="HA101" s="1" t="s">
        <v>780</v>
      </c>
      <c r="NP101" s="1" t="s">
        <v>780</v>
      </c>
      <c r="OA101" s="1" t="s">
        <v>780</v>
      </c>
      <c r="OB101" s="1" t="s">
        <v>780</v>
      </c>
      <c r="OC101" s="1" t="s">
        <v>780</v>
      </c>
      <c r="OD101" s="1" t="s">
        <v>780</v>
      </c>
      <c r="OE101" s="1" t="s">
        <v>780</v>
      </c>
      <c r="OF101" s="1" t="s">
        <v>780</v>
      </c>
      <c r="OG101" s="1" t="s">
        <v>780</v>
      </c>
      <c r="OH101" s="1" t="s">
        <v>780</v>
      </c>
      <c r="OI101" s="1" t="s">
        <v>780</v>
      </c>
      <c r="OY101" s="1" t="s">
        <v>780</v>
      </c>
      <c r="PA101" s="1" t="s">
        <v>780</v>
      </c>
      <c r="PG101" s="1" t="s">
        <v>780</v>
      </c>
      <c r="PJ101" s="1" t="s">
        <v>780</v>
      </c>
      <c r="PK101" s="1" t="s">
        <v>780</v>
      </c>
      <c r="PL101" s="1" t="s">
        <v>780</v>
      </c>
      <c r="PN101" s="1" t="s">
        <v>780</v>
      </c>
      <c r="PO101" s="1" t="s">
        <v>780</v>
      </c>
      <c r="PP101" s="1" t="s">
        <v>780</v>
      </c>
      <c r="PQ101" s="1" t="s">
        <v>780</v>
      </c>
      <c r="PR101" s="1" t="s">
        <v>780</v>
      </c>
    </row>
    <row r="102" spans="1:449" ht="188.5" x14ac:dyDescent="0.35">
      <c r="A102" s="1" t="s">
        <v>861</v>
      </c>
      <c r="B102" s="14" t="s">
        <v>53</v>
      </c>
      <c r="C102" s="1" t="str" cm="1">
        <f t="array" ref="C102">GetURL(B102)</f>
        <v>https://explore-education-statistics.service.gov.uk/find-statistics/further-education-outcome-based-success-measures</v>
      </c>
      <c r="D102" s="1" t="s">
        <v>884</v>
      </c>
      <c r="E102" s="1" t="s">
        <v>780</v>
      </c>
      <c r="F102" s="1" t="s">
        <v>780</v>
      </c>
      <c r="G102" s="1" t="s">
        <v>780</v>
      </c>
      <c r="H102" s="1" t="s">
        <v>780</v>
      </c>
      <c r="I102" s="1" t="s">
        <v>780</v>
      </c>
      <c r="J102" s="1" t="s">
        <v>780</v>
      </c>
      <c r="K102" s="1" t="s">
        <v>780</v>
      </c>
      <c r="AT102" s="1" t="s">
        <v>780</v>
      </c>
      <c r="BP102" s="1" t="s">
        <v>780</v>
      </c>
      <c r="ES102" s="1" t="s">
        <v>780</v>
      </c>
      <c r="EV102" s="1" t="s">
        <v>780</v>
      </c>
      <c r="EW102" s="1" t="s">
        <v>780</v>
      </c>
      <c r="EY102" s="1" t="s">
        <v>780</v>
      </c>
      <c r="FI102" s="1" t="s">
        <v>780</v>
      </c>
      <c r="FJ102" s="1" t="s">
        <v>780</v>
      </c>
      <c r="FK102" s="1" t="s">
        <v>780</v>
      </c>
      <c r="FP102" s="1" t="s">
        <v>780</v>
      </c>
      <c r="FQ102" s="1" t="s">
        <v>780</v>
      </c>
      <c r="FR102" s="1" t="s">
        <v>780</v>
      </c>
      <c r="FS102" s="1" t="s">
        <v>780</v>
      </c>
      <c r="NP102" s="1" t="s">
        <v>780</v>
      </c>
      <c r="OA102" s="1" t="s">
        <v>780</v>
      </c>
      <c r="OB102" s="1" t="s">
        <v>780</v>
      </c>
      <c r="OC102" s="1" t="s">
        <v>780</v>
      </c>
      <c r="OD102" s="1" t="s">
        <v>780</v>
      </c>
      <c r="OE102" s="1" t="s">
        <v>780</v>
      </c>
      <c r="OF102" s="1" t="s">
        <v>780</v>
      </c>
      <c r="OG102" s="1" t="s">
        <v>780</v>
      </c>
      <c r="OH102" s="1" t="s">
        <v>780</v>
      </c>
      <c r="OI102" s="1" t="s">
        <v>780</v>
      </c>
      <c r="OY102" s="1" t="s">
        <v>780</v>
      </c>
      <c r="PA102" s="1" t="s">
        <v>780</v>
      </c>
      <c r="PG102" s="1" t="s">
        <v>780</v>
      </c>
      <c r="PH102" s="1" t="s">
        <v>780</v>
      </c>
      <c r="PK102" s="1" t="s">
        <v>780</v>
      </c>
      <c r="PN102" s="1" t="s">
        <v>780</v>
      </c>
      <c r="PO102" s="1" t="s">
        <v>780</v>
      </c>
      <c r="PP102" s="1" t="s">
        <v>780</v>
      </c>
      <c r="PQ102" s="1" t="s">
        <v>780</v>
      </c>
      <c r="PR102" s="1" t="s">
        <v>780</v>
      </c>
    </row>
    <row r="103" spans="1:449" ht="188.5" x14ac:dyDescent="0.35">
      <c r="A103" s="1" t="s">
        <v>861</v>
      </c>
      <c r="B103" s="14" t="s">
        <v>53</v>
      </c>
      <c r="C103" s="1" t="str" cm="1">
        <f t="array" ref="C103">GetURL(B103)</f>
        <v>https://explore-education-statistics.service.gov.uk/find-statistics/further-education-outcome-based-success-measures</v>
      </c>
      <c r="D103" s="1" t="s">
        <v>886</v>
      </c>
      <c r="E103" s="1" t="s">
        <v>780</v>
      </c>
      <c r="F103" s="1" t="s">
        <v>780</v>
      </c>
      <c r="G103" s="1" t="s">
        <v>780</v>
      </c>
      <c r="H103" s="1" t="s">
        <v>780</v>
      </c>
      <c r="I103" s="1" t="s">
        <v>780</v>
      </c>
      <c r="J103" s="1" t="s">
        <v>780</v>
      </c>
      <c r="K103" s="1" t="s">
        <v>780</v>
      </c>
      <c r="BD103" s="1" t="s">
        <v>780</v>
      </c>
      <c r="BE103" s="1" t="s">
        <v>780</v>
      </c>
      <c r="ES103" s="1" t="s">
        <v>780</v>
      </c>
      <c r="EV103" s="1" t="s">
        <v>780</v>
      </c>
      <c r="EW103" s="1" t="s">
        <v>780</v>
      </c>
      <c r="EY103" s="1" t="s">
        <v>780</v>
      </c>
      <c r="FH103" s="1" t="s">
        <v>780</v>
      </c>
      <c r="FI103" s="1" t="s">
        <v>780</v>
      </c>
      <c r="FJ103" s="1" t="s">
        <v>780</v>
      </c>
      <c r="FK103" s="1" t="s">
        <v>780</v>
      </c>
      <c r="FP103" s="1" t="s">
        <v>780</v>
      </c>
      <c r="FQ103" s="1" t="s">
        <v>780</v>
      </c>
      <c r="FR103" s="1" t="s">
        <v>780</v>
      </c>
      <c r="FS103" s="1" t="s">
        <v>780</v>
      </c>
      <c r="HA103" s="1" t="s">
        <v>780</v>
      </c>
      <c r="NP103" s="1" t="s">
        <v>780</v>
      </c>
      <c r="OA103" s="1" t="s">
        <v>780</v>
      </c>
      <c r="OB103" s="1" t="s">
        <v>780</v>
      </c>
      <c r="OC103" s="1" t="s">
        <v>780</v>
      </c>
      <c r="OD103" s="1" t="s">
        <v>780</v>
      </c>
      <c r="OE103" s="1" t="s">
        <v>780</v>
      </c>
      <c r="OF103" s="1" t="s">
        <v>780</v>
      </c>
      <c r="OG103" s="1" t="s">
        <v>780</v>
      </c>
      <c r="OH103" s="1" t="s">
        <v>780</v>
      </c>
      <c r="OI103" s="1" t="s">
        <v>780</v>
      </c>
      <c r="OY103" s="1" t="s">
        <v>780</v>
      </c>
      <c r="PA103" s="1" t="s">
        <v>780</v>
      </c>
      <c r="PG103" s="1" t="s">
        <v>780</v>
      </c>
      <c r="PJ103" s="1" t="s">
        <v>780</v>
      </c>
      <c r="PK103" s="1" t="s">
        <v>780</v>
      </c>
      <c r="PL103" s="1" t="s">
        <v>780</v>
      </c>
      <c r="PN103" s="1" t="s">
        <v>780</v>
      </c>
      <c r="PO103" s="1" t="s">
        <v>780</v>
      </c>
      <c r="PP103" s="1" t="s">
        <v>780</v>
      </c>
      <c r="PQ103" s="1" t="s">
        <v>780</v>
      </c>
      <c r="PR103" s="1" t="s">
        <v>780</v>
      </c>
    </row>
    <row r="104" spans="1:449" ht="188.5" x14ac:dyDescent="0.35">
      <c r="A104" s="1" t="s">
        <v>861</v>
      </c>
      <c r="B104" s="14" t="s">
        <v>53</v>
      </c>
      <c r="C104" s="1" t="str" cm="1">
        <f t="array" ref="C104">GetURL(B104)</f>
        <v>https://explore-education-statistics.service.gov.uk/find-statistics/further-education-outcome-based-success-measures</v>
      </c>
      <c r="D104" s="1" t="s">
        <v>1161</v>
      </c>
      <c r="E104" s="1" t="s">
        <v>780</v>
      </c>
      <c r="F104" s="1" t="s">
        <v>780</v>
      </c>
      <c r="G104" s="1" t="s">
        <v>780</v>
      </c>
      <c r="H104" s="1" t="s">
        <v>780</v>
      </c>
      <c r="I104" s="1" t="s">
        <v>780</v>
      </c>
      <c r="J104" s="1" t="s">
        <v>780</v>
      </c>
      <c r="K104" s="1" t="s">
        <v>780</v>
      </c>
      <c r="AT104" s="1" t="s">
        <v>780</v>
      </c>
      <c r="BM104" s="1" t="s">
        <v>780</v>
      </c>
      <c r="BP104" s="1" t="s">
        <v>780</v>
      </c>
      <c r="ES104" s="1" t="s">
        <v>780</v>
      </c>
      <c r="EV104" s="1" t="s">
        <v>780</v>
      </c>
      <c r="EZ104" s="1" t="s">
        <v>780</v>
      </c>
      <c r="FA104" s="1" t="s">
        <v>780</v>
      </c>
      <c r="FH104" s="1" t="s">
        <v>780</v>
      </c>
      <c r="FI104" s="1" t="s">
        <v>780</v>
      </c>
      <c r="FJ104" s="1" t="s">
        <v>780</v>
      </c>
      <c r="FK104" s="1" t="s">
        <v>780</v>
      </c>
      <c r="GZ104" s="1" t="s">
        <v>780</v>
      </c>
      <c r="HA104" s="1" t="s">
        <v>780</v>
      </c>
      <c r="OA104" s="1" t="s">
        <v>780</v>
      </c>
      <c r="OB104" s="1" t="s">
        <v>780</v>
      </c>
      <c r="OC104" s="1" t="s">
        <v>780</v>
      </c>
      <c r="OD104" s="1" t="s">
        <v>780</v>
      </c>
      <c r="OE104" s="1" t="s">
        <v>780</v>
      </c>
      <c r="OF104" s="1" t="s">
        <v>780</v>
      </c>
      <c r="OG104" s="1" t="s">
        <v>780</v>
      </c>
      <c r="OH104" s="1" t="s">
        <v>780</v>
      </c>
      <c r="OI104" s="1" t="s">
        <v>780</v>
      </c>
      <c r="OY104" s="1" t="s">
        <v>780</v>
      </c>
      <c r="PG104" s="1" t="s">
        <v>780</v>
      </c>
      <c r="PH104" s="1" t="s">
        <v>780</v>
      </c>
      <c r="PI104" s="1" t="s">
        <v>780</v>
      </c>
      <c r="PL104" s="1" t="s">
        <v>780</v>
      </c>
      <c r="PM104" s="1" t="s">
        <v>780</v>
      </c>
    </row>
    <row r="105" spans="1:449" ht="188.5" x14ac:dyDescent="0.35">
      <c r="A105" s="1" t="s">
        <v>861</v>
      </c>
      <c r="B105" s="14" t="s">
        <v>53</v>
      </c>
      <c r="C105" s="1" t="str" cm="1">
        <f t="array" ref="C105">GetURL(B105)</f>
        <v>https://explore-education-statistics.service.gov.uk/find-statistics/further-education-outcome-based-success-measures</v>
      </c>
      <c r="D105" s="1" t="s">
        <v>1162</v>
      </c>
      <c r="E105" s="9" t="s">
        <v>780</v>
      </c>
      <c r="F105" s="9" t="s">
        <v>780</v>
      </c>
      <c r="G105" s="9" t="s">
        <v>780</v>
      </c>
      <c r="H105" s="9" t="s">
        <v>780</v>
      </c>
      <c r="I105" s="9" t="s">
        <v>780</v>
      </c>
      <c r="AR105" s="9" t="s">
        <v>780</v>
      </c>
      <c r="AT105" s="9" t="s">
        <v>780</v>
      </c>
      <c r="BD105" s="9" t="s">
        <v>780</v>
      </c>
      <c r="BE105" s="9" t="s">
        <v>780</v>
      </c>
      <c r="ES105" s="1" t="s">
        <v>780</v>
      </c>
      <c r="EV105" s="1" t="s">
        <v>780</v>
      </c>
      <c r="EW105" s="1" t="s">
        <v>780</v>
      </c>
      <c r="EY105" s="1" t="s">
        <v>780</v>
      </c>
      <c r="FK105" s="1" t="s">
        <v>780</v>
      </c>
      <c r="FP105" s="1" t="s">
        <v>780</v>
      </c>
      <c r="FQ105" s="1" t="s">
        <v>780</v>
      </c>
      <c r="FR105" s="1" t="s">
        <v>780</v>
      </c>
      <c r="FS105" s="1" t="s">
        <v>780</v>
      </c>
      <c r="GV105" s="1" t="s">
        <v>780</v>
      </c>
      <c r="GZ105" s="1" t="s">
        <v>780</v>
      </c>
      <c r="HA105" s="1" t="s">
        <v>780</v>
      </c>
      <c r="NP105" s="1" t="s">
        <v>780</v>
      </c>
      <c r="OA105" s="1" t="s">
        <v>780</v>
      </c>
      <c r="OB105" s="1" t="s">
        <v>780</v>
      </c>
      <c r="OC105" s="1" t="s">
        <v>780</v>
      </c>
      <c r="OD105" s="1" t="s">
        <v>780</v>
      </c>
      <c r="OE105" s="1" t="s">
        <v>780</v>
      </c>
      <c r="OF105" s="1" t="s">
        <v>780</v>
      </c>
      <c r="OG105" s="1" t="s">
        <v>780</v>
      </c>
      <c r="OH105" s="1" t="s">
        <v>780</v>
      </c>
      <c r="OI105" s="1" t="s">
        <v>780</v>
      </c>
      <c r="OY105" s="1" t="s">
        <v>780</v>
      </c>
      <c r="OZ105" s="1" t="s">
        <v>780</v>
      </c>
      <c r="PA105" s="1" t="s">
        <v>780</v>
      </c>
      <c r="PB105" s="1" t="s">
        <v>780</v>
      </c>
      <c r="PG105" s="1" t="s">
        <v>780</v>
      </c>
      <c r="PJ105" s="1" t="s">
        <v>780</v>
      </c>
      <c r="PK105" s="1" t="s">
        <v>780</v>
      </c>
      <c r="PL105" s="1" t="s">
        <v>780</v>
      </c>
      <c r="PN105" s="1" t="s">
        <v>780</v>
      </c>
      <c r="PO105" s="1" t="s">
        <v>780</v>
      </c>
      <c r="PP105" s="1" t="s">
        <v>780</v>
      </c>
      <c r="PQ105" s="1" t="s">
        <v>780</v>
      </c>
      <c r="PR105" s="1" t="s">
        <v>780</v>
      </c>
      <c r="PS105" s="1" t="s">
        <v>780</v>
      </c>
      <c r="PT105" s="1" t="s">
        <v>780</v>
      </c>
      <c r="PU105" s="1" t="s">
        <v>780</v>
      </c>
      <c r="PV105" s="1" t="s">
        <v>780</v>
      </c>
      <c r="QG105" s="1">
        <f>SUM(E105:QF105)</f>
        <v>0</v>
      </c>
    </row>
    <row r="106" spans="1:449" ht="188.5" x14ac:dyDescent="0.35">
      <c r="A106" s="1" t="s">
        <v>861</v>
      </c>
      <c r="B106" s="14" t="s">
        <v>53</v>
      </c>
      <c r="C106" s="1" t="str" cm="1">
        <f t="array" ref="C106">GetURL(B106)</f>
        <v>https://explore-education-statistics.service.gov.uk/find-statistics/further-education-outcome-based-success-measures</v>
      </c>
      <c r="D106" s="1" t="s">
        <v>1163</v>
      </c>
      <c r="E106" s="9" t="s">
        <v>780</v>
      </c>
      <c r="F106" s="9" t="s">
        <v>780</v>
      </c>
      <c r="G106" s="9" t="s">
        <v>780</v>
      </c>
      <c r="H106" s="9" t="s">
        <v>780</v>
      </c>
      <c r="I106" s="9" t="s">
        <v>780</v>
      </c>
      <c r="AR106" s="9" t="s">
        <v>780</v>
      </c>
      <c r="AT106" s="1" t="s">
        <v>780</v>
      </c>
      <c r="AX106" s="9"/>
      <c r="BD106" s="9" t="s">
        <v>780</v>
      </c>
      <c r="BE106" s="9" t="s">
        <v>780</v>
      </c>
      <c r="ES106" s="1" t="s">
        <v>780</v>
      </c>
      <c r="EV106" s="1" t="s">
        <v>780</v>
      </c>
      <c r="EW106" s="1" t="s">
        <v>780</v>
      </c>
      <c r="EY106" s="1" t="s">
        <v>780</v>
      </c>
      <c r="FK106" s="1" t="s">
        <v>780</v>
      </c>
      <c r="FP106" s="1" t="s">
        <v>780</v>
      </c>
      <c r="FQ106" s="1" t="s">
        <v>780</v>
      </c>
      <c r="FR106" s="1" t="s">
        <v>780</v>
      </c>
      <c r="FS106" s="1" t="s">
        <v>780</v>
      </c>
      <c r="GV106" s="1" t="s">
        <v>780</v>
      </c>
      <c r="GZ106" s="1" t="s">
        <v>780</v>
      </c>
      <c r="HA106" s="1" t="s">
        <v>780</v>
      </c>
      <c r="NP106" s="1" t="s">
        <v>780</v>
      </c>
      <c r="OA106" s="1" t="s">
        <v>780</v>
      </c>
      <c r="OB106" s="1" t="s">
        <v>780</v>
      </c>
      <c r="OC106" s="1" t="s">
        <v>780</v>
      </c>
      <c r="OD106" s="1" t="s">
        <v>780</v>
      </c>
      <c r="OE106" s="1" t="s">
        <v>780</v>
      </c>
      <c r="OF106" s="1" t="s">
        <v>780</v>
      </c>
      <c r="OG106" s="1" t="s">
        <v>780</v>
      </c>
      <c r="OH106" s="1" t="s">
        <v>780</v>
      </c>
      <c r="OI106" s="1" t="s">
        <v>780</v>
      </c>
      <c r="OY106" s="1" t="s">
        <v>780</v>
      </c>
      <c r="OZ106" s="1" t="s">
        <v>780</v>
      </c>
      <c r="PA106" s="1" t="s">
        <v>780</v>
      </c>
      <c r="PB106" s="1" t="s">
        <v>780</v>
      </c>
      <c r="PG106" s="1" t="s">
        <v>780</v>
      </c>
      <c r="PJ106" s="1" t="s">
        <v>780</v>
      </c>
      <c r="PK106" s="1" t="s">
        <v>780</v>
      </c>
      <c r="PL106" s="1" t="s">
        <v>780</v>
      </c>
      <c r="PN106" s="1" t="s">
        <v>780</v>
      </c>
      <c r="PO106" s="1" t="s">
        <v>780</v>
      </c>
      <c r="PP106" s="1" t="s">
        <v>780</v>
      </c>
      <c r="PQ106" s="1" t="s">
        <v>780</v>
      </c>
      <c r="PR106" s="1" t="s">
        <v>780</v>
      </c>
      <c r="PS106" s="1" t="s">
        <v>780</v>
      </c>
      <c r="PT106" s="1" t="s">
        <v>780</v>
      </c>
      <c r="PU106" s="1" t="s">
        <v>780</v>
      </c>
      <c r="PV106" s="1" t="s">
        <v>780</v>
      </c>
      <c r="QG106" s="1">
        <f>SUM(E106:QF106)</f>
        <v>0</v>
      </c>
    </row>
    <row r="107" spans="1:449" ht="188.5" x14ac:dyDescent="0.35">
      <c r="A107" s="1" t="s">
        <v>861</v>
      </c>
      <c r="B107" s="14" t="s">
        <v>53</v>
      </c>
      <c r="C107" s="1" t="str" cm="1">
        <f t="array" ref="C107">GetURL(B107)</f>
        <v>https://explore-education-statistics.service.gov.uk/find-statistics/further-education-outcome-based-success-measures</v>
      </c>
      <c r="D107" s="1" t="s">
        <v>1164</v>
      </c>
      <c r="E107" s="1" t="s">
        <v>780</v>
      </c>
      <c r="F107" s="1" t="s">
        <v>780</v>
      </c>
      <c r="G107" s="1" t="s">
        <v>780</v>
      </c>
      <c r="H107" s="1" t="s">
        <v>780</v>
      </c>
      <c r="I107" s="1" t="s">
        <v>780</v>
      </c>
      <c r="AT107" s="1" t="s">
        <v>780</v>
      </c>
      <c r="BD107" s="1" t="s">
        <v>780</v>
      </c>
      <c r="BE107" s="1" t="s">
        <v>780</v>
      </c>
      <c r="BX107" s="1" t="s">
        <v>780</v>
      </c>
      <c r="ES107" s="1" t="s">
        <v>780</v>
      </c>
      <c r="EV107" s="1" t="s">
        <v>780</v>
      </c>
      <c r="FA107" s="1" t="s">
        <v>780</v>
      </c>
      <c r="FK107" s="1" t="s">
        <v>780</v>
      </c>
      <c r="GJ107" s="1" t="s">
        <v>780</v>
      </c>
      <c r="GV107" s="1" t="s">
        <v>780</v>
      </c>
      <c r="GZ107" s="1" t="s">
        <v>780</v>
      </c>
      <c r="HA107" s="1" t="s">
        <v>780</v>
      </c>
      <c r="OA107" s="1" t="s">
        <v>780</v>
      </c>
      <c r="OB107" s="1" t="s">
        <v>780</v>
      </c>
      <c r="OC107" s="1" t="s">
        <v>780</v>
      </c>
      <c r="OD107" s="1" t="s">
        <v>780</v>
      </c>
      <c r="OE107" s="1" t="s">
        <v>780</v>
      </c>
      <c r="OF107" s="1" t="s">
        <v>780</v>
      </c>
      <c r="OG107" s="1" t="s">
        <v>780</v>
      </c>
      <c r="OH107" s="1" t="s">
        <v>780</v>
      </c>
      <c r="OI107" s="1" t="s">
        <v>780</v>
      </c>
      <c r="OY107" s="1" t="s">
        <v>780</v>
      </c>
      <c r="PG107" s="1" t="s">
        <v>780</v>
      </c>
      <c r="PH107" s="1" t="s">
        <v>780</v>
      </c>
      <c r="PI107" s="1" t="s">
        <v>780</v>
      </c>
      <c r="PL107" s="1" t="s">
        <v>780</v>
      </c>
      <c r="PM107" s="1" t="s">
        <v>780</v>
      </c>
      <c r="QG107" s="1">
        <f>SUM(E107:QF107)</f>
        <v>0</v>
      </c>
    </row>
    <row r="108" spans="1:449" ht="188.5" x14ac:dyDescent="0.35">
      <c r="A108" s="1" t="s">
        <v>861</v>
      </c>
      <c r="B108" s="14" t="s">
        <v>53</v>
      </c>
      <c r="C108" s="1" t="str" cm="1">
        <f t="array" ref="C108">GetURL(B108)</f>
        <v>https://explore-education-statistics.service.gov.uk/find-statistics/further-education-outcome-based-success-measures</v>
      </c>
      <c r="D108" s="1" t="s">
        <v>888</v>
      </c>
      <c r="E108" s="1" t="s">
        <v>780</v>
      </c>
      <c r="F108" s="1" t="s">
        <v>780</v>
      </c>
      <c r="G108" s="1" t="s">
        <v>780</v>
      </c>
      <c r="H108" s="1" t="s">
        <v>780</v>
      </c>
      <c r="I108" s="1" t="s">
        <v>780</v>
      </c>
      <c r="J108" s="1" t="s">
        <v>780</v>
      </c>
      <c r="K108" s="1" t="s">
        <v>780</v>
      </c>
      <c r="O108" s="1" t="s">
        <v>780</v>
      </c>
      <c r="P108" s="1" t="s">
        <v>780</v>
      </c>
      <c r="AR108" s="1" t="s">
        <v>780</v>
      </c>
      <c r="AT108" s="1" t="s">
        <v>780</v>
      </c>
      <c r="AY108" s="1" t="s">
        <v>780</v>
      </c>
      <c r="BM108" s="1" t="s">
        <v>780</v>
      </c>
      <c r="ES108" s="1" t="s">
        <v>780</v>
      </c>
      <c r="EV108" s="1" t="s">
        <v>780</v>
      </c>
      <c r="EW108" s="1" t="s">
        <v>780</v>
      </c>
      <c r="EY108" s="1" t="s">
        <v>780</v>
      </c>
      <c r="FK108" s="1" t="s">
        <v>780</v>
      </c>
      <c r="FP108" s="1" t="s">
        <v>780</v>
      </c>
      <c r="FQ108" s="1" t="s">
        <v>780</v>
      </c>
      <c r="FR108" s="1" t="s">
        <v>780</v>
      </c>
      <c r="FS108" s="1" t="s">
        <v>780</v>
      </c>
      <c r="GZ108" s="1" t="s">
        <v>780</v>
      </c>
      <c r="HA108" s="1" t="s">
        <v>780</v>
      </c>
      <c r="NP108" s="1" t="s">
        <v>780</v>
      </c>
      <c r="OA108" s="1" t="s">
        <v>780</v>
      </c>
      <c r="OB108" s="1" t="s">
        <v>780</v>
      </c>
      <c r="OC108" s="1" t="s">
        <v>780</v>
      </c>
      <c r="OD108" s="1" t="s">
        <v>780</v>
      </c>
      <c r="OE108" s="1" t="s">
        <v>780</v>
      </c>
      <c r="OF108" s="1" t="s">
        <v>780</v>
      </c>
      <c r="OG108" s="1" t="s">
        <v>780</v>
      </c>
      <c r="OH108" s="1" t="s">
        <v>780</v>
      </c>
      <c r="OI108" s="1" t="s">
        <v>780</v>
      </c>
      <c r="OY108" s="1" t="s">
        <v>780</v>
      </c>
      <c r="PA108" s="1" t="s">
        <v>780</v>
      </c>
      <c r="PG108" s="1" t="s">
        <v>780</v>
      </c>
      <c r="PJ108" s="1" t="s">
        <v>780</v>
      </c>
      <c r="PK108" s="1" t="s">
        <v>780</v>
      </c>
      <c r="PL108" s="1" t="s">
        <v>780</v>
      </c>
      <c r="PN108" s="1" t="s">
        <v>780</v>
      </c>
      <c r="PO108" s="1" t="s">
        <v>780</v>
      </c>
      <c r="PP108" s="1" t="s">
        <v>780</v>
      </c>
      <c r="PQ108" s="1" t="s">
        <v>780</v>
      </c>
      <c r="PR108" s="1" t="s">
        <v>780</v>
      </c>
      <c r="PS108" s="1" t="s">
        <v>780</v>
      </c>
      <c r="PT108" s="1" t="s">
        <v>780</v>
      </c>
      <c r="PU108" s="1" t="s">
        <v>780</v>
      </c>
      <c r="PV108" s="1" t="s">
        <v>780</v>
      </c>
      <c r="QG108" s="1">
        <f t="shared" ref="QG108:QG111" si="0">SUM(E108:QF108)</f>
        <v>0</v>
      </c>
    </row>
    <row r="109" spans="1:449" ht="188.5" x14ac:dyDescent="0.35">
      <c r="A109" s="1" t="s">
        <v>861</v>
      </c>
      <c r="B109" s="14" t="s">
        <v>53</v>
      </c>
      <c r="C109" s="1" t="str" cm="1">
        <f t="array" ref="C109">GetURL(B109)</f>
        <v>https://explore-education-statistics.service.gov.uk/find-statistics/further-education-outcome-based-success-measures</v>
      </c>
      <c r="D109" s="1" t="s">
        <v>889</v>
      </c>
      <c r="E109" s="1" t="s">
        <v>780</v>
      </c>
      <c r="F109" s="1" t="s">
        <v>780</v>
      </c>
      <c r="G109" s="1" t="s">
        <v>780</v>
      </c>
      <c r="H109" s="1" t="s">
        <v>780</v>
      </c>
      <c r="I109" s="1" t="s">
        <v>780</v>
      </c>
      <c r="J109" s="1" t="s">
        <v>780</v>
      </c>
      <c r="K109" s="1" t="s">
        <v>780</v>
      </c>
      <c r="O109" s="1" t="s">
        <v>780</v>
      </c>
      <c r="P109" s="1" t="s">
        <v>780</v>
      </c>
      <c r="AR109" s="1" t="s">
        <v>780</v>
      </c>
      <c r="AT109" s="1" t="s">
        <v>780</v>
      </c>
      <c r="AY109" s="1" t="s">
        <v>780</v>
      </c>
      <c r="BM109" s="1" t="s">
        <v>780</v>
      </c>
      <c r="ES109" s="1" t="s">
        <v>780</v>
      </c>
      <c r="EV109" s="1" t="s">
        <v>780</v>
      </c>
      <c r="EW109" s="1" t="s">
        <v>780</v>
      </c>
      <c r="EY109" s="1" t="s">
        <v>780</v>
      </c>
      <c r="FK109" s="1" t="s">
        <v>780</v>
      </c>
      <c r="FP109" s="1" t="s">
        <v>780</v>
      </c>
      <c r="FQ109" s="1" t="s">
        <v>780</v>
      </c>
      <c r="FR109" s="1" t="s">
        <v>780</v>
      </c>
      <c r="FS109" s="1" t="s">
        <v>780</v>
      </c>
      <c r="GZ109" s="1" t="s">
        <v>780</v>
      </c>
      <c r="HA109" s="1" t="s">
        <v>780</v>
      </c>
      <c r="NP109" s="1" t="s">
        <v>780</v>
      </c>
      <c r="OA109" s="1" t="s">
        <v>780</v>
      </c>
      <c r="OB109" s="1" t="s">
        <v>780</v>
      </c>
      <c r="OC109" s="1" t="s">
        <v>780</v>
      </c>
      <c r="OD109" s="1" t="s">
        <v>780</v>
      </c>
      <c r="OE109" s="1" t="s">
        <v>780</v>
      </c>
      <c r="OF109" s="1" t="s">
        <v>780</v>
      </c>
      <c r="OG109" s="1" t="s">
        <v>780</v>
      </c>
      <c r="OH109" s="1" t="s">
        <v>780</v>
      </c>
      <c r="OI109" s="1" t="s">
        <v>780</v>
      </c>
      <c r="OY109" s="1" t="s">
        <v>780</v>
      </c>
      <c r="PA109" s="1" t="s">
        <v>780</v>
      </c>
      <c r="PG109" s="1" t="s">
        <v>780</v>
      </c>
      <c r="PJ109" s="1" t="s">
        <v>780</v>
      </c>
      <c r="PK109" s="1" t="s">
        <v>780</v>
      </c>
      <c r="PL109" s="1" t="s">
        <v>780</v>
      </c>
      <c r="PN109" s="1" t="s">
        <v>780</v>
      </c>
      <c r="PO109" s="1" t="s">
        <v>780</v>
      </c>
      <c r="PP109" s="1" t="s">
        <v>780</v>
      </c>
      <c r="PQ109" s="1" t="s">
        <v>780</v>
      </c>
      <c r="PR109" s="1" t="s">
        <v>780</v>
      </c>
      <c r="PS109" s="1" t="s">
        <v>780</v>
      </c>
      <c r="PT109" s="1" t="s">
        <v>780</v>
      </c>
      <c r="PU109" s="1" t="s">
        <v>780</v>
      </c>
      <c r="PV109" s="1" t="s">
        <v>780</v>
      </c>
      <c r="QG109" s="1">
        <f t="shared" si="0"/>
        <v>0</v>
      </c>
    </row>
    <row r="110" spans="1:449" ht="188.5" x14ac:dyDescent="0.35">
      <c r="A110" s="1" t="s">
        <v>861</v>
      </c>
      <c r="B110" s="14" t="s">
        <v>53</v>
      </c>
      <c r="C110" s="1" t="str" cm="1">
        <f t="array" ref="C110">GetURL(B110)</f>
        <v>https://explore-education-statistics.service.gov.uk/find-statistics/further-education-outcome-based-success-measures</v>
      </c>
      <c r="D110" s="1" t="s">
        <v>890</v>
      </c>
      <c r="E110" s="1" t="s">
        <v>780</v>
      </c>
      <c r="F110" s="1" t="s">
        <v>780</v>
      </c>
      <c r="G110" s="1" t="s">
        <v>780</v>
      </c>
      <c r="H110" s="1" t="s">
        <v>780</v>
      </c>
      <c r="I110" s="1" t="s">
        <v>780</v>
      </c>
      <c r="J110" s="1" t="s">
        <v>780</v>
      </c>
      <c r="K110" s="1" t="s">
        <v>780</v>
      </c>
      <c r="O110" s="1" t="s">
        <v>780</v>
      </c>
      <c r="P110" s="1" t="s">
        <v>780</v>
      </c>
      <c r="BD110" s="1" t="s">
        <v>780</v>
      </c>
      <c r="BE110" s="1" t="s">
        <v>780</v>
      </c>
      <c r="ES110" s="1" t="s">
        <v>780</v>
      </c>
      <c r="EV110" s="1" t="s">
        <v>780</v>
      </c>
      <c r="EW110" s="1" t="s">
        <v>780</v>
      </c>
      <c r="EY110" s="1" t="s">
        <v>780</v>
      </c>
      <c r="FK110" s="1" t="s">
        <v>780</v>
      </c>
      <c r="FP110" s="1" t="s">
        <v>780</v>
      </c>
      <c r="FQ110" s="1" t="s">
        <v>780</v>
      </c>
      <c r="FR110" s="1" t="s">
        <v>780</v>
      </c>
      <c r="FS110" s="1" t="s">
        <v>780</v>
      </c>
      <c r="GZ110" s="1" t="s">
        <v>780</v>
      </c>
      <c r="HA110" s="1" t="s">
        <v>780</v>
      </c>
      <c r="NP110" s="1" t="s">
        <v>780</v>
      </c>
      <c r="OA110" s="1" t="s">
        <v>780</v>
      </c>
      <c r="OB110" s="1" t="s">
        <v>780</v>
      </c>
      <c r="OC110" s="1" t="s">
        <v>780</v>
      </c>
      <c r="OD110" s="1" t="s">
        <v>780</v>
      </c>
      <c r="OE110" s="1" t="s">
        <v>780</v>
      </c>
      <c r="OF110" s="1" t="s">
        <v>780</v>
      </c>
      <c r="OG110" s="1" t="s">
        <v>780</v>
      </c>
      <c r="OH110" s="1" t="s">
        <v>780</v>
      </c>
      <c r="OI110" s="1" t="s">
        <v>780</v>
      </c>
      <c r="OY110" s="1" t="s">
        <v>780</v>
      </c>
      <c r="PA110" s="1" t="s">
        <v>780</v>
      </c>
      <c r="PG110" s="1" t="s">
        <v>780</v>
      </c>
      <c r="PJ110" s="1" t="s">
        <v>780</v>
      </c>
      <c r="PK110" s="1" t="s">
        <v>780</v>
      </c>
      <c r="PL110" s="1" t="s">
        <v>780</v>
      </c>
      <c r="PN110" s="1" t="s">
        <v>780</v>
      </c>
      <c r="PO110" s="1" t="s">
        <v>780</v>
      </c>
      <c r="PP110" s="1" t="s">
        <v>780</v>
      </c>
      <c r="PQ110" s="1" t="s">
        <v>780</v>
      </c>
      <c r="PR110" s="1" t="s">
        <v>780</v>
      </c>
      <c r="PS110" s="1" t="s">
        <v>780</v>
      </c>
      <c r="PT110" s="1" t="s">
        <v>780</v>
      </c>
      <c r="PU110" s="1" t="s">
        <v>780</v>
      </c>
      <c r="PV110" s="1" t="s">
        <v>780</v>
      </c>
      <c r="QG110" s="1">
        <f t="shared" si="0"/>
        <v>0</v>
      </c>
    </row>
    <row r="111" spans="1:449" ht="188.5" x14ac:dyDescent="0.35">
      <c r="A111" s="1" t="s">
        <v>861</v>
      </c>
      <c r="B111" s="14" t="s">
        <v>53</v>
      </c>
      <c r="C111" s="1" t="str" cm="1">
        <f t="array" ref="C111">GetURL(B111)</f>
        <v>https://explore-education-statistics.service.gov.uk/find-statistics/further-education-outcome-based-success-measures</v>
      </c>
      <c r="D111" s="1" t="s">
        <v>891</v>
      </c>
      <c r="E111" s="1" t="s">
        <v>780</v>
      </c>
      <c r="F111" s="1" t="s">
        <v>780</v>
      </c>
      <c r="G111" s="1" t="s">
        <v>780</v>
      </c>
      <c r="H111" s="1" t="s">
        <v>780</v>
      </c>
      <c r="I111" s="1" t="s">
        <v>780</v>
      </c>
      <c r="J111" s="1" t="s">
        <v>780</v>
      </c>
      <c r="K111" s="1" t="s">
        <v>780</v>
      </c>
      <c r="L111" s="1" t="s">
        <v>780</v>
      </c>
      <c r="M111" s="1" t="s">
        <v>780</v>
      </c>
      <c r="N111" s="1" t="s">
        <v>780</v>
      </c>
      <c r="AR111" s="1" t="s">
        <v>780</v>
      </c>
      <c r="AT111" s="1" t="s">
        <v>780</v>
      </c>
      <c r="AY111" s="1" t="s">
        <v>780</v>
      </c>
      <c r="BM111" s="1" t="s">
        <v>780</v>
      </c>
      <c r="ES111" s="1" t="s">
        <v>780</v>
      </c>
      <c r="EV111" s="1" t="s">
        <v>780</v>
      </c>
      <c r="EW111" s="1" t="s">
        <v>780</v>
      </c>
      <c r="EY111" s="1" t="s">
        <v>780</v>
      </c>
      <c r="FK111" s="1" t="s">
        <v>780</v>
      </c>
      <c r="FP111" s="1" t="s">
        <v>780</v>
      </c>
      <c r="FQ111" s="1" t="s">
        <v>780</v>
      </c>
      <c r="FR111" s="1" t="s">
        <v>780</v>
      </c>
      <c r="FS111" s="1" t="s">
        <v>780</v>
      </c>
      <c r="GZ111" s="1" t="s">
        <v>780</v>
      </c>
      <c r="HA111" s="1" t="s">
        <v>780</v>
      </c>
      <c r="NP111" s="1" t="s">
        <v>780</v>
      </c>
      <c r="OA111" s="1" t="s">
        <v>780</v>
      </c>
      <c r="OB111" s="1" t="s">
        <v>780</v>
      </c>
      <c r="OC111" s="1" t="s">
        <v>780</v>
      </c>
      <c r="OD111" s="1" t="s">
        <v>780</v>
      </c>
      <c r="OE111" s="1" t="s">
        <v>780</v>
      </c>
      <c r="OF111" s="1" t="s">
        <v>780</v>
      </c>
      <c r="OG111" s="1" t="s">
        <v>780</v>
      </c>
      <c r="OH111" s="1" t="s">
        <v>780</v>
      </c>
      <c r="OI111" s="1" t="s">
        <v>780</v>
      </c>
      <c r="OY111" s="1" t="s">
        <v>780</v>
      </c>
      <c r="PA111" s="1" t="s">
        <v>780</v>
      </c>
      <c r="PG111" s="1" t="s">
        <v>780</v>
      </c>
      <c r="PJ111" s="1" t="s">
        <v>780</v>
      </c>
      <c r="PK111" s="1" t="s">
        <v>780</v>
      </c>
      <c r="PL111" s="1" t="s">
        <v>780</v>
      </c>
      <c r="PN111" s="1" t="s">
        <v>780</v>
      </c>
      <c r="PO111" s="1" t="s">
        <v>780</v>
      </c>
      <c r="PP111" s="1" t="s">
        <v>780</v>
      </c>
      <c r="PQ111" s="1" t="s">
        <v>780</v>
      </c>
      <c r="PR111" s="1" t="s">
        <v>780</v>
      </c>
      <c r="PS111" s="1" t="s">
        <v>780</v>
      </c>
      <c r="PT111" s="1" t="s">
        <v>780</v>
      </c>
      <c r="PU111" s="1" t="s">
        <v>780</v>
      </c>
      <c r="PV111" s="1" t="s">
        <v>780</v>
      </c>
      <c r="QG111" s="1">
        <f t="shared" si="0"/>
        <v>0</v>
      </c>
    </row>
    <row r="112" spans="1:449" ht="188.5" x14ac:dyDescent="0.35">
      <c r="A112" s="1" t="s">
        <v>861</v>
      </c>
      <c r="B112" s="14" t="s">
        <v>53</v>
      </c>
      <c r="C112" s="1" t="str" cm="1">
        <f t="array" ref="C112">GetURL(B112)</f>
        <v>https://explore-education-statistics.service.gov.uk/find-statistics/further-education-outcome-based-success-measures</v>
      </c>
      <c r="D112" s="1" t="s">
        <v>892</v>
      </c>
      <c r="E112" s="1" t="s">
        <v>780</v>
      </c>
      <c r="F112" s="1" t="s">
        <v>780</v>
      </c>
      <c r="G112" s="1" t="s">
        <v>780</v>
      </c>
      <c r="H112" s="1" t="s">
        <v>780</v>
      </c>
      <c r="I112" s="1" t="s">
        <v>780</v>
      </c>
      <c r="J112" s="1" t="s">
        <v>780</v>
      </c>
      <c r="K112" s="1" t="s">
        <v>780</v>
      </c>
      <c r="L112" s="1" t="s">
        <v>780</v>
      </c>
      <c r="M112" s="1" t="s">
        <v>780</v>
      </c>
      <c r="N112" s="1" t="s">
        <v>780</v>
      </c>
      <c r="BD112" s="1" t="s">
        <v>780</v>
      </c>
      <c r="BE112" s="1" t="s">
        <v>780</v>
      </c>
      <c r="ES112" s="1" t="s">
        <v>780</v>
      </c>
      <c r="EV112" s="1" t="s">
        <v>780</v>
      </c>
      <c r="EW112" s="1" t="s">
        <v>780</v>
      </c>
      <c r="EY112" s="1" t="s">
        <v>780</v>
      </c>
      <c r="FK112" s="1" t="s">
        <v>780</v>
      </c>
      <c r="FP112" s="1" t="s">
        <v>780</v>
      </c>
      <c r="FQ112" s="1" t="s">
        <v>780</v>
      </c>
      <c r="FR112" s="1" t="s">
        <v>780</v>
      </c>
      <c r="FS112" s="1" t="s">
        <v>780</v>
      </c>
      <c r="GZ112" s="1" t="s">
        <v>780</v>
      </c>
      <c r="HA112" s="1" t="s">
        <v>780</v>
      </c>
      <c r="NP112" s="1" t="s">
        <v>780</v>
      </c>
      <c r="OA112" s="1" t="s">
        <v>780</v>
      </c>
      <c r="OB112" s="1" t="s">
        <v>780</v>
      </c>
      <c r="OC112" s="1" t="s">
        <v>780</v>
      </c>
      <c r="OD112" s="1" t="s">
        <v>780</v>
      </c>
      <c r="OE112" s="1" t="s">
        <v>780</v>
      </c>
      <c r="OF112" s="1" t="s">
        <v>780</v>
      </c>
      <c r="OG112" s="1" t="s">
        <v>780</v>
      </c>
      <c r="OH112" s="1" t="s">
        <v>780</v>
      </c>
      <c r="OI112" s="1" t="s">
        <v>780</v>
      </c>
      <c r="OY112" s="1" t="s">
        <v>780</v>
      </c>
      <c r="PA112" s="1" t="s">
        <v>780</v>
      </c>
      <c r="PG112" s="1" t="s">
        <v>780</v>
      </c>
      <c r="PJ112" s="1" t="s">
        <v>780</v>
      </c>
      <c r="PK112" s="1" t="s">
        <v>780</v>
      </c>
      <c r="PL112" s="1" t="s">
        <v>780</v>
      </c>
      <c r="PN112" s="1" t="s">
        <v>780</v>
      </c>
      <c r="PO112" s="1" t="s">
        <v>780</v>
      </c>
      <c r="PP112" s="1" t="s">
        <v>780</v>
      </c>
      <c r="PQ112" s="1" t="s">
        <v>780</v>
      </c>
      <c r="PR112" s="1" t="s">
        <v>780</v>
      </c>
      <c r="PS112" s="1" t="s">
        <v>780</v>
      </c>
      <c r="PT112" s="1" t="s">
        <v>780</v>
      </c>
      <c r="PU112" s="1" t="s">
        <v>780</v>
      </c>
      <c r="PV112" s="1" t="s">
        <v>780</v>
      </c>
      <c r="QG112" s="1">
        <v>0</v>
      </c>
    </row>
    <row r="113" spans="1:488" ht="188.5" x14ac:dyDescent="0.35">
      <c r="A113" s="1" t="s">
        <v>861</v>
      </c>
      <c r="B113" s="14" t="s">
        <v>53</v>
      </c>
      <c r="C113" s="1" t="str" cm="1">
        <f t="array" ref="C113">GetURL(B113)</f>
        <v>https://explore-education-statistics.service.gov.uk/find-statistics/further-education-outcome-based-success-measures</v>
      </c>
      <c r="D113" s="1" t="s">
        <v>893</v>
      </c>
      <c r="E113" s="1" t="s">
        <v>780</v>
      </c>
      <c r="F113" s="1" t="s">
        <v>780</v>
      </c>
      <c r="G113" s="1" t="s">
        <v>780</v>
      </c>
      <c r="H113" s="1" t="s">
        <v>780</v>
      </c>
      <c r="I113" s="1" t="s">
        <v>780</v>
      </c>
      <c r="J113" s="1" t="s">
        <v>780</v>
      </c>
      <c r="K113" s="1" t="s">
        <v>780</v>
      </c>
      <c r="AA113" s="1" t="s">
        <v>780</v>
      </c>
      <c r="AB113" s="1" t="s">
        <v>780</v>
      </c>
      <c r="AR113" s="1" t="s">
        <v>780</v>
      </c>
      <c r="AT113" s="1" t="s">
        <v>780</v>
      </c>
      <c r="AY113" s="1" t="s">
        <v>780</v>
      </c>
      <c r="BM113" s="1" t="s">
        <v>780</v>
      </c>
      <c r="ES113" s="1" t="s">
        <v>780</v>
      </c>
      <c r="EV113" s="1" t="s">
        <v>780</v>
      </c>
      <c r="EW113" s="1" t="s">
        <v>780</v>
      </c>
      <c r="EY113" s="1" t="s">
        <v>780</v>
      </c>
      <c r="FK113" s="1" t="s">
        <v>780</v>
      </c>
      <c r="FP113" s="1" t="s">
        <v>780</v>
      </c>
      <c r="FQ113" s="1" t="s">
        <v>780</v>
      </c>
      <c r="FR113" s="1" t="s">
        <v>780</v>
      </c>
      <c r="FS113" s="1" t="s">
        <v>780</v>
      </c>
      <c r="GZ113" s="1" t="s">
        <v>780</v>
      </c>
      <c r="HA113" s="1" t="s">
        <v>780</v>
      </c>
      <c r="NP113" s="1" t="s">
        <v>780</v>
      </c>
      <c r="OA113" s="1" t="s">
        <v>780</v>
      </c>
      <c r="OB113" s="1" t="s">
        <v>780</v>
      </c>
      <c r="OC113" s="1" t="s">
        <v>780</v>
      </c>
      <c r="OD113" s="1" t="s">
        <v>780</v>
      </c>
      <c r="OE113" s="1" t="s">
        <v>780</v>
      </c>
      <c r="OF113" s="1" t="s">
        <v>780</v>
      </c>
      <c r="OG113" s="1" t="s">
        <v>780</v>
      </c>
      <c r="OH113" s="1" t="s">
        <v>780</v>
      </c>
      <c r="OI113" s="1" t="s">
        <v>780</v>
      </c>
      <c r="OY113" s="1" t="s">
        <v>780</v>
      </c>
      <c r="PA113" s="1" t="s">
        <v>780</v>
      </c>
      <c r="PG113" s="1" t="s">
        <v>780</v>
      </c>
      <c r="PJ113" s="1" t="s">
        <v>780</v>
      </c>
      <c r="PK113" s="1" t="s">
        <v>780</v>
      </c>
      <c r="PL113" s="1" t="s">
        <v>780</v>
      </c>
      <c r="PN113" s="1" t="s">
        <v>780</v>
      </c>
      <c r="PO113" s="1" t="s">
        <v>780</v>
      </c>
      <c r="PP113" s="1" t="s">
        <v>780</v>
      </c>
      <c r="PQ113" s="1" t="s">
        <v>780</v>
      </c>
      <c r="PR113" s="1" t="s">
        <v>780</v>
      </c>
      <c r="PS113" s="1" t="s">
        <v>780</v>
      </c>
      <c r="PT113" s="1" t="s">
        <v>780</v>
      </c>
      <c r="PU113" s="1" t="s">
        <v>780</v>
      </c>
      <c r="PV113" s="1" t="s">
        <v>780</v>
      </c>
      <c r="QG113" s="1">
        <v>0</v>
      </c>
    </row>
    <row r="114" spans="1:488" ht="188.5" x14ac:dyDescent="0.35">
      <c r="A114" s="1" t="s">
        <v>861</v>
      </c>
      <c r="B114" s="14" t="s">
        <v>53</v>
      </c>
      <c r="C114" s="1" t="str" cm="1">
        <f t="array" ref="C114">GetURL(B114)</f>
        <v>https://explore-education-statistics.service.gov.uk/find-statistics/further-education-outcome-based-success-measures</v>
      </c>
      <c r="D114" s="1" t="s">
        <v>894</v>
      </c>
      <c r="E114" s="1" t="s">
        <v>780</v>
      </c>
      <c r="F114" s="1" t="s">
        <v>780</v>
      </c>
      <c r="G114" s="1" t="s">
        <v>780</v>
      </c>
      <c r="H114" s="1" t="s">
        <v>780</v>
      </c>
      <c r="I114" s="1" t="s">
        <v>780</v>
      </c>
      <c r="J114" s="1" t="s">
        <v>780</v>
      </c>
      <c r="K114" s="1" t="s">
        <v>780</v>
      </c>
      <c r="AA114" s="1" t="s">
        <v>780</v>
      </c>
      <c r="AB114" s="1" t="s">
        <v>780</v>
      </c>
      <c r="BD114" s="1" t="s">
        <v>780</v>
      </c>
      <c r="BE114" s="1" t="s">
        <v>780</v>
      </c>
      <c r="ES114" s="1" t="s">
        <v>780</v>
      </c>
      <c r="EV114" s="1" t="s">
        <v>780</v>
      </c>
      <c r="EW114" s="1" t="s">
        <v>780</v>
      </c>
      <c r="EY114" s="1" t="s">
        <v>780</v>
      </c>
      <c r="FK114" s="1" t="s">
        <v>780</v>
      </c>
      <c r="FP114" s="1" t="s">
        <v>780</v>
      </c>
      <c r="FQ114" s="1" t="s">
        <v>780</v>
      </c>
      <c r="FR114" s="1" t="s">
        <v>780</v>
      </c>
      <c r="FS114" s="1" t="s">
        <v>780</v>
      </c>
      <c r="GZ114" s="1" t="s">
        <v>780</v>
      </c>
      <c r="HA114" s="1" t="s">
        <v>780</v>
      </c>
      <c r="NP114" s="1" t="s">
        <v>780</v>
      </c>
      <c r="OA114" s="1" t="s">
        <v>780</v>
      </c>
      <c r="OB114" s="1" t="s">
        <v>780</v>
      </c>
      <c r="OC114" s="1" t="s">
        <v>780</v>
      </c>
      <c r="OD114" s="1" t="s">
        <v>780</v>
      </c>
      <c r="OE114" s="1" t="s">
        <v>780</v>
      </c>
      <c r="OF114" s="1" t="s">
        <v>780</v>
      </c>
      <c r="OG114" s="1" t="s">
        <v>780</v>
      </c>
      <c r="OH114" s="1" t="s">
        <v>780</v>
      </c>
      <c r="OI114" s="1" t="s">
        <v>780</v>
      </c>
      <c r="OY114" s="1" t="s">
        <v>780</v>
      </c>
      <c r="PA114" s="1" t="s">
        <v>780</v>
      </c>
      <c r="PG114" s="1" t="s">
        <v>780</v>
      </c>
      <c r="PJ114" s="1" t="s">
        <v>780</v>
      </c>
      <c r="PK114" s="1" t="s">
        <v>780</v>
      </c>
      <c r="PL114" s="1" t="s">
        <v>780</v>
      </c>
      <c r="PN114" s="1" t="s">
        <v>780</v>
      </c>
      <c r="PO114" s="1" t="s">
        <v>780</v>
      </c>
      <c r="PP114" s="1" t="s">
        <v>780</v>
      </c>
      <c r="PQ114" s="1" t="s">
        <v>780</v>
      </c>
      <c r="PR114" s="1" t="s">
        <v>780</v>
      </c>
      <c r="PS114" s="1" t="s">
        <v>780</v>
      </c>
      <c r="PT114" s="1" t="s">
        <v>780</v>
      </c>
      <c r="PU114" s="1" t="s">
        <v>780</v>
      </c>
      <c r="PV114" s="1" t="s">
        <v>780</v>
      </c>
      <c r="QG114" s="1">
        <v>0</v>
      </c>
    </row>
    <row r="115" spans="1:488" ht="188.5" x14ac:dyDescent="0.35">
      <c r="A115" s="1" t="s">
        <v>861</v>
      </c>
      <c r="B115" s="14" t="s">
        <v>53</v>
      </c>
      <c r="C115" s="1" t="str" cm="1">
        <f t="array" ref="C115">GetURL(B115)</f>
        <v>https://explore-education-statistics.service.gov.uk/find-statistics/further-education-outcome-based-success-measures</v>
      </c>
      <c r="D115" s="1" t="s">
        <v>895</v>
      </c>
      <c r="E115" s="1" t="s">
        <v>780</v>
      </c>
      <c r="F115" s="1" t="s">
        <v>780</v>
      </c>
      <c r="G115" s="1" t="s">
        <v>780</v>
      </c>
      <c r="H115" s="1" t="s">
        <v>780</v>
      </c>
      <c r="I115" s="1" t="s">
        <v>780</v>
      </c>
      <c r="J115" s="1" t="s">
        <v>780</v>
      </c>
      <c r="K115" s="1" t="s">
        <v>780</v>
      </c>
      <c r="Y115" s="1" t="s">
        <v>780</v>
      </c>
      <c r="Z115" s="1" t="s">
        <v>780</v>
      </c>
      <c r="BD115" s="1" t="s">
        <v>780</v>
      </c>
      <c r="BE115" s="1" t="s">
        <v>780</v>
      </c>
      <c r="ES115" s="1" t="s">
        <v>780</v>
      </c>
      <c r="EV115" s="1" t="s">
        <v>780</v>
      </c>
      <c r="EW115" s="1" t="s">
        <v>780</v>
      </c>
      <c r="EY115" s="1" t="s">
        <v>780</v>
      </c>
      <c r="FK115" s="1" t="s">
        <v>780</v>
      </c>
      <c r="FP115" s="1" t="s">
        <v>780</v>
      </c>
      <c r="FQ115" s="1" t="s">
        <v>780</v>
      </c>
      <c r="FR115" s="1" t="s">
        <v>780</v>
      </c>
      <c r="FS115" s="1" t="s">
        <v>780</v>
      </c>
      <c r="GZ115" s="1" t="s">
        <v>780</v>
      </c>
      <c r="HA115" s="1" t="s">
        <v>780</v>
      </c>
      <c r="NP115" s="1" t="s">
        <v>780</v>
      </c>
      <c r="OA115" s="1" t="s">
        <v>780</v>
      </c>
      <c r="OB115" s="1" t="s">
        <v>780</v>
      </c>
      <c r="OC115" s="1" t="s">
        <v>780</v>
      </c>
      <c r="OD115" s="1" t="s">
        <v>780</v>
      </c>
      <c r="OE115" s="1" t="s">
        <v>780</v>
      </c>
      <c r="OF115" s="1" t="s">
        <v>780</v>
      </c>
      <c r="OG115" s="1" t="s">
        <v>780</v>
      </c>
      <c r="OH115" s="1" t="s">
        <v>780</v>
      </c>
      <c r="OI115" s="1" t="s">
        <v>780</v>
      </c>
      <c r="OY115" s="1" t="s">
        <v>780</v>
      </c>
      <c r="PA115" s="1" t="s">
        <v>780</v>
      </c>
      <c r="PG115" s="1" t="s">
        <v>780</v>
      </c>
      <c r="PJ115" s="1" t="s">
        <v>780</v>
      </c>
      <c r="PK115" s="1" t="s">
        <v>780</v>
      </c>
      <c r="PL115" s="1" t="s">
        <v>780</v>
      </c>
      <c r="PN115" s="1" t="s">
        <v>780</v>
      </c>
      <c r="PO115" s="1" t="s">
        <v>780</v>
      </c>
      <c r="PP115" s="1" t="s">
        <v>780</v>
      </c>
      <c r="PQ115" s="1" t="s">
        <v>780</v>
      </c>
      <c r="PR115" s="1" t="s">
        <v>780</v>
      </c>
      <c r="PS115" s="1" t="s">
        <v>780</v>
      </c>
      <c r="PT115" s="1" t="s">
        <v>780</v>
      </c>
      <c r="PU115" s="1" t="s">
        <v>780</v>
      </c>
      <c r="PV115" s="1" t="s">
        <v>780</v>
      </c>
      <c r="QG115" s="1">
        <f>SUM(E115:QF115)</f>
        <v>0</v>
      </c>
    </row>
    <row r="116" spans="1:488" ht="188.5" x14ac:dyDescent="0.35">
      <c r="A116" s="1" t="s">
        <v>861</v>
      </c>
      <c r="B116" s="14" t="s">
        <v>53</v>
      </c>
      <c r="C116" s="1" t="str" cm="1">
        <f t="array" ref="C116">GetURL(B116)</f>
        <v>https://explore-education-statistics.service.gov.uk/find-statistics/further-education-outcome-based-success-measures</v>
      </c>
      <c r="D116" s="1" t="s">
        <v>896</v>
      </c>
      <c r="E116" s="1" t="s">
        <v>780</v>
      </c>
      <c r="F116" s="1" t="s">
        <v>780</v>
      </c>
      <c r="G116" s="1" t="s">
        <v>780</v>
      </c>
      <c r="H116" s="1" t="s">
        <v>780</v>
      </c>
      <c r="I116" s="1" t="s">
        <v>780</v>
      </c>
      <c r="AY116" s="1" t="s">
        <v>780</v>
      </c>
      <c r="BD116" s="1" t="s">
        <v>780</v>
      </c>
      <c r="BE116" s="1" t="s">
        <v>780</v>
      </c>
      <c r="BQ116" s="1" t="s">
        <v>780</v>
      </c>
      <c r="ES116" s="1" t="s">
        <v>780</v>
      </c>
      <c r="EX116" s="1" t="s">
        <v>780</v>
      </c>
      <c r="FK116" s="1" t="s">
        <v>780</v>
      </c>
      <c r="GV116" s="1" t="s">
        <v>780</v>
      </c>
      <c r="HA116" s="1" t="s">
        <v>780</v>
      </c>
      <c r="PT116" s="1" t="s">
        <v>780</v>
      </c>
      <c r="PU116" s="1" t="s">
        <v>780</v>
      </c>
      <c r="PV116" s="1" t="s">
        <v>780</v>
      </c>
      <c r="QG116" s="1">
        <f>SUM(E116:QF116)</f>
        <v>0</v>
      </c>
    </row>
    <row r="117" spans="1:488" ht="188.5" x14ac:dyDescent="0.35">
      <c r="A117" s="1" t="s">
        <v>861</v>
      </c>
      <c r="B117" s="14" t="s">
        <v>53</v>
      </c>
      <c r="C117" s="1" t="str" cm="1">
        <f t="array" ref="C117">GetURL(B117)</f>
        <v>https://explore-education-statistics.service.gov.uk/find-statistics/further-education-outcome-based-success-measures</v>
      </c>
      <c r="D117" s="1" t="s">
        <v>897</v>
      </c>
      <c r="E117" s="1" t="s">
        <v>780</v>
      </c>
      <c r="F117" s="1" t="s">
        <v>780</v>
      </c>
      <c r="G117" s="1" t="s">
        <v>780</v>
      </c>
      <c r="H117" s="1" t="s">
        <v>780</v>
      </c>
      <c r="I117" s="1" t="s">
        <v>780</v>
      </c>
      <c r="AT117" s="1" t="s">
        <v>780</v>
      </c>
      <c r="AY117" s="1" t="s">
        <v>780</v>
      </c>
      <c r="BA117" s="1" t="s">
        <v>780</v>
      </c>
      <c r="BD117" s="1" t="s">
        <v>780</v>
      </c>
      <c r="BE117" s="1" t="s">
        <v>780</v>
      </c>
      <c r="BQ117" s="1" t="s">
        <v>780</v>
      </c>
      <c r="FK117" s="1" t="s">
        <v>780</v>
      </c>
      <c r="GZ117" s="1" t="s">
        <v>780</v>
      </c>
      <c r="NN117" s="1" t="s">
        <v>780</v>
      </c>
      <c r="NO117" s="1" t="s">
        <v>780</v>
      </c>
      <c r="PB117" s="1" t="s">
        <v>780</v>
      </c>
      <c r="QG117" s="1">
        <f>SUM(E117:QF117)</f>
        <v>0</v>
      </c>
    </row>
    <row r="118" spans="1:488" ht="188.5" x14ac:dyDescent="0.35">
      <c r="A118" s="1" t="s">
        <v>861</v>
      </c>
      <c r="B118" s="14" t="s">
        <v>53</v>
      </c>
      <c r="C118" s="1" t="str" cm="1">
        <f t="array" ref="C118">GetURL(B118)</f>
        <v>https://explore-education-statistics.service.gov.uk/find-statistics/further-education-outcome-based-success-measures</v>
      </c>
      <c r="D118" s="1" t="s">
        <v>898</v>
      </c>
      <c r="E118" s="1" t="s">
        <v>780</v>
      </c>
      <c r="F118" s="1" t="s">
        <v>780</v>
      </c>
      <c r="G118" s="1" t="s">
        <v>780</v>
      </c>
      <c r="H118" s="1" t="s">
        <v>780</v>
      </c>
      <c r="I118" s="1" t="s">
        <v>780</v>
      </c>
      <c r="J118" s="1" t="s">
        <v>780</v>
      </c>
      <c r="K118" s="1" t="s">
        <v>780</v>
      </c>
      <c r="BA118" s="1" t="s">
        <v>780</v>
      </c>
      <c r="BD118" s="1" t="s">
        <v>780</v>
      </c>
      <c r="BE118" s="1" t="s">
        <v>780</v>
      </c>
      <c r="FK118" s="1" t="s">
        <v>780</v>
      </c>
      <c r="GZ118" s="1" t="s">
        <v>780</v>
      </c>
      <c r="NN118" s="1" t="s">
        <v>780</v>
      </c>
      <c r="NO118" s="1" t="s">
        <v>780</v>
      </c>
      <c r="PB118" s="1" t="s">
        <v>780</v>
      </c>
      <c r="QG118" s="1">
        <f>SUM(E118:QF118)</f>
        <v>0</v>
      </c>
    </row>
    <row r="119" spans="1:488" ht="159.5" x14ac:dyDescent="0.35">
      <c r="A119" s="1" t="s">
        <v>861</v>
      </c>
      <c r="B119" s="14" t="s">
        <v>90</v>
      </c>
      <c r="C119" s="1" t="str" cm="1">
        <f t="array" ref="C119">GetURL(B119)</f>
        <v>https://explore-education-statistics.service.gov.uk/find-statistics/progression-to-higher-education-or-training</v>
      </c>
      <c r="D119" s="1" t="s">
        <v>899</v>
      </c>
      <c r="E119" s="1" t="s">
        <v>780</v>
      </c>
      <c r="F119" s="1" t="s">
        <v>780</v>
      </c>
      <c r="G119" s="1" t="s">
        <v>780</v>
      </c>
      <c r="H119" s="1" t="s">
        <v>780</v>
      </c>
      <c r="I119" s="1" t="s">
        <v>780</v>
      </c>
      <c r="AE119" s="1" t="s">
        <v>780</v>
      </c>
      <c r="AG119" s="1" t="s">
        <v>780</v>
      </c>
      <c r="IZ119" s="1" t="s">
        <v>780</v>
      </c>
      <c r="JL119" s="1" t="s">
        <v>780</v>
      </c>
      <c r="JM119" s="1" t="s">
        <v>780</v>
      </c>
      <c r="NK119" s="1" t="s">
        <v>780</v>
      </c>
      <c r="QG119" s="1" t="s">
        <v>780</v>
      </c>
      <c r="QH119" s="1" t="s">
        <v>780</v>
      </c>
      <c r="QI119" s="1" t="s">
        <v>780</v>
      </c>
      <c r="QJ119" s="1" t="s">
        <v>780</v>
      </c>
      <c r="QL119" s="1" t="s">
        <v>780</v>
      </c>
      <c r="QM119" s="1" t="s">
        <v>780</v>
      </c>
      <c r="QN119" s="1" t="s">
        <v>780</v>
      </c>
      <c r="QO119" s="1" t="s">
        <v>780</v>
      </c>
      <c r="QP119" s="1" t="s">
        <v>780</v>
      </c>
      <c r="QQ119" s="1" t="s">
        <v>780</v>
      </c>
      <c r="QR119" s="1" t="s">
        <v>780</v>
      </c>
      <c r="QS119" s="1" t="s">
        <v>780</v>
      </c>
      <c r="QT119" s="1" t="s">
        <v>780</v>
      </c>
      <c r="QU119" s="1" t="s">
        <v>780</v>
      </c>
      <c r="QV119" s="1" t="s">
        <v>780</v>
      </c>
      <c r="QW119" s="1" t="s">
        <v>780</v>
      </c>
      <c r="QX119" s="1" t="s">
        <v>780</v>
      </c>
      <c r="QY119" s="1" t="s">
        <v>780</v>
      </c>
      <c r="QZ119" s="1" t="s">
        <v>780</v>
      </c>
      <c r="RA119" s="1" t="s">
        <v>780</v>
      </c>
      <c r="RB119" s="1" t="s">
        <v>780</v>
      </c>
    </row>
    <row r="120" spans="1:488" ht="159.5" x14ac:dyDescent="0.35">
      <c r="A120" s="1" t="s">
        <v>861</v>
      </c>
      <c r="B120" s="14" t="s">
        <v>90</v>
      </c>
      <c r="C120" s="1" t="str" cm="1">
        <f t="array" ref="C120">GetURL(B120)</f>
        <v>https://explore-education-statistics.service.gov.uk/find-statistics/progression-to-higher-education-or-training</v>
      </c>
      <c r="D120" s="1" t="s">
        <v>900</v>
      </c>
      <c r="E120" s="1" t="s">
        <v>780</v>
      </c>
      <c r="F120" s="1" t="s">
        <v>780</v>
      </c>
      <c r="G120" s="1" t="s">
        <v>780</v>
      </c>
      <c r="H120" s="1" t="s">
        <v>780</v>
      </c>
      <c r="I120" s="1" t="s">
        <v>780</v>
      </c>
      <c r="AE120" s="1" t="s">
        <v>780</v>
      </c>
      <c r="AG120" s="1" t="s">
        <v>780</v>
      </c>
      <c r="JL120" s="1" t="s">
        <v>780</v>
      </c>
      <c r="JM120" s="1" t="s">
        <v>780</v>
      </c>
      <c r="NK120" s="1" t="s">
        <v>780</v>
      </c>
      <c r="QG120" s="1" t="s">
        <v>780</v>
      </c>
    </row>
    <row r="121" spans="1:488" ht="159.5" x14ac:dyDescent="0.35">
      <c r="A121" s="1" t="s">
        <v>861</v>
      </c>
      <c r="B121" s="14" t="s">
        <v>90</v>
      </c>
      <c r="C121" s="1" t="str" cm="1">
        <f t="array" ref="C121">GetURL(B121)</f>
        <v>https://explore-education-statistics.service.gov.uk/find-statistics/progression-to-higher-education-or-training</v>
      </c>
      <c r="D121" s="1" t="s">
        <v>901</v>
      </c>
      <c r="E121" s="1" t="s">
        <v>780</v>
      </c>
      <c r="F121" s="1" t="s">
        <v>780</v>
      </c>
      <c r="G121" s="1" t="s">
        <v>780</v>
      </c>
      <c r="H121" s="1" t="s">
        <v>780</v>
      </c>
      <c r="I121" s="1" t="s">
        <v>780</v>
      </c>
      <c r="J121" s="1" t="s">
        <v>780</v>
      </c>
      <c r="K121" s="1" t="s">
        <v>780</v>
      </c>
      <c r="L121" s="1" t="s">
        <v>780</v>
      </c>
      <c r="M121" s="1" t="s">
        <v>780</v>
      </c>
      <c r="N121" s="1" t="s">
        <v>780</v>
      </c>
      <c r="Q121" s="1" t="s">
        <v>780</v>
      </c>
      <c r="R121" s="1" t="s">
        <v>780</v>
      </c>
      <c r="AE121" s="1" t="s">
        <v>780</v>
      </c>
      <c r="AG121" s="1" t="s">
        <v>780</v>
      </c>
      <c r="IZ121" s="1" t="s">
        <v>780</v>
      </c>
      <c r="JL121" s="1" t="s">
        <v>780</v>
      </c>
      <c r="JM121" s="1" t="s">
        <v>780</v>
      </c>
      <c r="NK121" s="1" t="s">
        <v>780</v>
      </c>
      <c r="QE121" s="1" t="s">
        <v>780</v>
      </c>
      <c r="QG121" s="1" t="s">
        <v>780</v>
      </c>
      <c r="QH121" s="1" t="s">
        <v>780</v>
      </c>
      <c r="QI121" s="1" t="s">
        <v>780</v>
      </c>
      <c r="QJ121" s="1" t="s">
        <v>780</v>
      </c>
      <c r="QL121" s="1" t="s">
        <v>780</v>
      </c>
      <c r="QM121" s="1" t="s">
        <v>780</v>
      </c>
      <c r="QN121" s="1" t="s">
        <v>780</v>
      </c>
      <c r="QO121" s="1" t="s">
        <v>780</v>
      </c>
      <c r="QP121" s="1" t="s">
        <v>780</v>
      </c>
      <c r="QQ121" s="1" t="s">
        <v>780</v>
      </c>
      <c r="QR121" s="1" t="s">
        <v>780</v>
      </c>
      <c r="QS121" s="1" t="s">
        <v>780</v>
      </c>
      <c r="QT121" s="1" t="s">
        <v>780</v>
      </c>
      <c r="QU121" s="1" t="s">
        <v>780</v>
      </c>
      <c r="QV121" s="1" t="s">
        <v>780</v>
      </c>
      <c r="QW121" s="1" t="s">
        <v>780</v>
      </c>
      <c r="QX121" s="1" t="s">
        <v>780</v>
      </c>
      <c r="QY121" s="1" t="s">
        <v>780</v>
      </c>
      <c r="QZ121" s="1" t="s">
        <v>780</v>
      </c>
      <c r="RA121" s="1" t="s">
        <v>780</v>
      </c>
      <c r="RB121" s="1" t="s">
        <v>780</v>
      </c>
    </row>
    <row r="122" spans="1:488" ht="130.5" x14ac:dyDescent="0.35">
      <c r="A122" s="1" t="s">
        <v>861</v>
      </c>
      <c r="B122" s="14" t="s">
        <v>72</v>
      </c>
      <c r="C122" s="1" t="str" cm="1">
        <f t="array" ref="C122">GetURL(B122)</f>
        <v>https://explore-education-statistics.service.gov.uk/find-statistics/longer-term-destinations</v>
      </c>
      <c r="D122" s="1" t="s">
        <v>902</v>
      </c>
      <c r="E122" s="1" t="s">
        <v>780</v>
      </c>
      <c r="F122" s="1" t="s">
        <v>780</v>
      </c>
      <c r="G122" s="1" t="s">
        <v>780</v>
      </c>
      <c r="H122" s="1" t="s">
        <v>780</v>
      </c>
      <c r="I122" s="1" t="s">
        <v>780</v>
      </c>
      <c r="NL122" s="1" t="s">
        <v>780</v>
      </c>
      <c r="NR122" s="1" t="s">
        <v>780</v>
      </c>
      <c r="NS122" s="1" t="s">
        <v>780</v>
      </c>
      <c r="NT122" s="1" t="s">
        <v>780</v>
      </c>
    </row>
    <row r="123" spans="1:488" ht="130.5" x14ac:dyDescent="0.35">
      <c r="A123" s="1" t="s">
        <v>861</v>
      </c>
      <c r="B123" s="14" t="s">
        <v>72</v>
      </c>
      <c r="C123" s="1" t="str" cm="1">
        <f t="array" ref="C123">GetURL(B123)</f>
        <v>https://explore-education-statistics.service.gov.uk/find-statistics/longer-term-destinations</v>
      </c>
      <c r="D123" s="1" t="s">
        <v>903</v>
      </c>
      <c r="E123" s="1" t="s">
        <v>780</v>
      </c>
      <c r="F123" s="1" t="s">
        <v>780</v>
      </c>
      <c r="G123" s="1" t="s">
        <v>780</v>
      </c>
      <c r="H123" s="1" t="s">
        <v>780</v>
      </c>
      <c r="I123" s="1" t="s">
        <v>780</v>
      </c>
      <c r="J123" s="1" t="s">
        <v>780</v>
      </c>
      <c r="K123" s="1" t="s">
        <v>780</v>
      </c>
      <c r="L123" s="1" t="s">
        <v>780</v>
      </c>
      <c r="M123" s="1" t="s">
        <v>780</v>
      </c>
      <c r="N123" s="1" t="s">
        <v>780</v>
      </c>
      <c r="AE123" s="1" t="s">
        <v>780</v>
      </c>
      <c r="GI123" s="1" t="s">
        <v>780</v>
      </c>
      <c r="IZ123" s="1" t="s">
        <v>780</v>
      </c>
      <c r="JL123" s="1" t="s">
        <v>780</v>
      </c>
      <c r="NK123" s="1" t="s">
        <v>780</v>
      </c>
      <c r="NL123" s="1" t="s">
        <v>780</v>
      </c>
      <c r="NQ123" s="1" t="s">
        <v>780</v>
      </c>
      <c r="NU123" s="1" t="s">
        <v>780</v>
      </c>
      <c r="NV123" s="1" t="s">
        <v>780</v>
      </c>
      <c r="NW123" s="1" t="s">
        <v>780</v>
      </c>
      <c r="NX123" s="1" t="s">
        <v>780</v>
      </c>
      <c r="NZ123" s="1" t="s">
        <v>780</v>
      </c>
      <c r="OL123" s="1" t="s">
        <v>780</v>
      </c>
      <c r="OM123" s="1" t="s">
        <v>780</v>
      </c>
      <c r="OT123" s="1" t="s">
        <v>780</v>
      </c>
      <c r="OV123" s="1" t="s">
        <v>780</v>
      </c>
      <c r="OW123" s="1" t="s">
        <v>780</v>
      </c>
      <c r="OX123" s="1" t="s">
        <v>780</v>
      </c>
      <c r="PC123" s="1" t="s">
        <v>780</v>
      </c>
      <c r="PD123" s="1" t="s">
        <v>780</v>
      </c>
      <c r="PE123" s="1" t="s">
        <v>780</v>
      </c>
      <c r="PF123" s="1" t="s">
        <v>780</v>
      </c>
      <c r="PW123" s="1" t="s">
        <v>780</v>
      </c>
      <c r="PX123" s="1" t="s">
        <v>780</v>
      </c>
      <c r="QB123" s="1" t="s">
        <v>780</v>
      </c>
      <c r="RC123" s="1" t="s">
        <v>780</v>
      </c>
      <c r="RD123" s="1" t="s">
        <v>780</v>
      </c>
      <c r="RE123" s="1" t="s">
        <v>780</v>
      </c>
    </row>
    <row r="124" spans="1:488" ht="130.5" x14ac:dyDescent="0.35">
      <c r="A124" s="1" t="s">
        <v>861</v>
      </c>
      <c r="B124" s="14" t="s">
        <v>72</v>
      </c>
      <c r="C124" s="1" t="str" cm="1">
        <f t="array" ref="C124">GetURL(B124)</f>
        <v>https://explore-education-statistics.service.gov.uk/find-statistics/longer-term-destinations</v>
      </c>
      <c r="D124" s="1" t="s">
        <v>904</v>
      </c>
      <c r="E124" s="1" t="s">
        <v>780</v>
      </c>
      <c r="F124" s="1" t="s">
        <v>780</v>
      </c>
      <c r="G124" s="1" t="s">
        <v>780</v>
      </c>
      <c r="H124" s="1" t="s">
        <v>780</v>
      </c>
      <c r="I124" s="1" t="s">
        <v>780</v>
      </c>
      <c r="J124" s="1" t="s">
        <v>780</v>
      </c>
      <c r="K124" s="1" t="s">
        <v>780</v>
      </c>
      <c r="L124" s="1" t="s">
        <v>780</v>
      </c>
      <c r="M124" s="1" t="s">
        <v>780</v>
      </c>
      <c r="N124" s="1" t="s">
        <v>780</v>
      </c>
      <c r="AE124" s="1" t="s">
        <v>780</v>
      </c>
      <c r="AG124" s="1" t="s">
        <v>780</v>
      </c>
      <c r="GI124" s="1" t="s">
        <v>780</v>
      </c>
      <c r="IZ124" s="1" t="s">
        <v>780</v>
      </c>
      <c r="JL124" s="1" t="s">
        <v>780</v>
      </c>
      <c r="JM124" s="1" t="s">
        <v>780</v>
      </c>
      <c r="NK124" s="1" t="s">
        <v>780</v>
      </c>
      <c r="NL124" s="1" t="s">
        <v>780</v>
      </c>
      <c r="NQ124" s="1" t="s">
        <v>780</v>
      </c>
      <c r="NU124" s="1" t="s">
        <v>780</v>
      </c>
      <c r="NV124" s="1" t="s">
        <v>780</v>
      </c>
      <c r="NW124" s="1" t="s">
        <v>780</v>
      </c>
      <c r="NX124" s="1" t="s">
        <v>780</v>
      </c>
      <c r="NZ124" s="1" t="s">
        <v>780</v>
      </c>
      <c r="OL124" s="1" t="s">
        <v>780</v>
      </c>
      <c r="OM124" s="1" t="s">
        <v>780</v>
      </c>
      <c r="OT124" s="1" t="s">
        <v>780</v>
      </c>
      <c r="OV124" s="1" t="s">
        <v>780</v>
      </c>
      <c r="OW124" s="1" t="s">
        <v>780</v>
      </c>
      <c r="OX124" s="1" t="s">
        <v>780</v>
      </c>
      <c r="PC124" s="1" t="s">
        <v>780</v>
      </c>
      <c r="PD124" s="1" t="s">
        <v>780</v>
      </c>
      <c r="PE124" s="1" t="s">
        <v>780</v>
      </c>
      <c r="PF124" s="1" t="s">
        <v>780</v>
      </c>
      <c r="PW124" s="1" t="s">
        <v>780</v>
      </c>
      <c r="PX124" s="1" t="s">
        <v>780</v>
      </c>
      <c r="QB124" s="1" t="s">
        <v>780</v>
      </c>
    </row>
    <row r="125" spans="1:488" ht="130.5" x14ac:dyDescent="0.35">
      <c r="A125" s="1" t="s">
        <v>861</v>
      </c>
      <c r="B125" s="14" t="s">
        <v>72</v>
      </c>
      <c r="C125" s="1" t="str" cm="1">
        <f t="array" ref="C125">GetURL(B125)</f>
        <v>https://explore-education-statistics.service.gov.uk/find-statistics/longer-term-destinations</v>
      </c>
      <c r="D125" s="1" t="s">
        <v>905</v>
      </c>
      <c r="E125" s="1" t="s">
        <v>780</v>
      </c>
      <c r="F125" s="1" t="s">
        <v>780</v>
      </c>
      <c r="G125" s="1" t="s">
        <v>780</v>
      </c>
      <c r="H125" s="1" t="s">
        <v>780</v>
      </c>
      <c r="I125" s="1" t="s">
        <v>780</v>
      </c>
      <c r="AE125" s="1" t="s">
        <v>780</v>
      </c>
      <c r="AG125" s="1" t="s">
        <v>780</v>
      </c>
      <c r="GI125" s="1" t="s">
        <v>780</v>
      </c>
      <c r="IZ125" s="1" t="s">
        <v>780</v>
      </c>
      <c r="JL125" s="1" t="s">
        <v>780</v>
      </c>
      <c r="JM125" s="1" t="s">
        <v>780</v>
      </c>
      <c r="NK125" s="1" t="s">
        <v>780</v>
      </c>
      <c r="NL125" s="1" t="s">
        <v>780</v>
      </c>
      <c r="NQ125" s="1" t="s">
        <v>780</v>
      </c>
      <c r="NU125" s="1" t="s">
        <v>780</v>
      </c>
      <c r="NV125" s="1" t="s">
        <v>780</v>
      </c>
      <c r="NW125" s="1" t="s">
        <v>780</v>
      </c>
      <c r="NX125" s="1" t="s">
        <v>780</v>
      </c>
      <c r="NZ125" s="1" t="s">
        <v>780</v>
      </c>
      <c r="OL125" s="1" t="s">
        <v>780</v>
      </c>
      <c r="OM125" s="1" t="s">
        <v>780</v>
      </c>
      <c r="OT125" s="1" t="s">
        <v>780</v>
      </c>
      <c r="OV125" s="1" t="s">
        <v>780</v>
      </c>
      <c r="OW125" s="1" t="s">
        <v>780</v>
      </c>
      <c r="OX125" s="1" t="s">
        <v>780</v>
      </c>
      <c r="PC125" s="1" t="s">
        <v>780</v>
      </c>
      <c r="PD125" s="1" t="s">
        <v>780</v>
      </c>
      <c r="PE125" s="1" t="s">
        <v>780</v>
      </c>
      <c r="PF125" s="1" t="s">
        <v>780</v>
      </c>
      <c r="PW125" s="1" t="s">
        <v>780</v>
      </c>
      <c r="PX125" s="1" t="s">
        <v>780</v>
      </c>
      <c r="QB125" s="1" t="s">
        <v>780</v>
      </c>
    </row>
    <row r="126" spans="1:488" ht="203" x14ac:dyDescent="0.35">
      <c r="A126" s="1" t="s">
        <v>861</v>
      </c>
      <c r="B126" s="14" t="s">
        <v>83</v>
      </c>
      <c r="C126" s="1" t="str" cm="1">
        <f t="array" ref="C126">GetURL(B126)</f>
        <v>https://explore-education-statistics.service.gov.uk/find-statistics/participation-in-education-and-training-and-employment</v>
      </c>
      <c r="D126" s="1" t="s">
        <v>906</v>
      </c>
      <c r="E126" s="1" t="s">
        <v>780</v>
      </c>
      <c r="F126" s="1" t="s">
        <v>780</v>
      </c>
      <c r="G126" s="1" t="s">
        <v>780</v>
      </c>
      <c r="H126" s="1" t="s">
        <v>780</v>
      </c>
      <c r="I126" s="1" t="s">
        <v>780</v>
      </c>
      <c r="AS126" s="1" t="s">
        <v>780</v>
      </c>
      <c r="AY126" s="1" t="s">
        <v>780</v>
      </c>
      <c r="DV126" s="1" t="s">
        <v>780</v>
      </c>
      <c r="DW126" s="1" t="s">
        <v>780</v>
      </c>
      <c r="JP126" s="1" t="s">
        <v>780</v>
      </c>
      <c r="JQ126" s="1" t="s">
        <v>780</v>
      </c>
      <c r="JR126" s="1" t="s">
        <v>780</v>
      </c>
    </row>
    <row r="127" spans="1:488" ht="203" x14ac:dyDescent="0.35">
      <c r="A127" s="1" t="s">
        <v>861</v>
      </c>
      <c r="B127" s="14" t="s">
        <v>83</v>
      </c>
      <c r="C127" s="1" t="str" cm="1">
        <f t="array" ref="C127">GetURL(B127)</f>
        <v>https://explore-education-statistics.service.gov.uk/find-statistics/participation-in-education-and-training-and-employment</v>
      </c>
      <c r="D127" s="1" t="s">
        <v>1165</v>
      </c>
      <c r="E127" s="1" t="s">
        <v>780</v>
      </c>
      <c r="F127" s="1" t="s">
        <v>780</v>
      </c>
      <c r="G127" s="1" t="s">
        <v>780</v>
      </c>
      <c r="H127" s="1" t="s">
        <v>780</v>
      </c>
      <c r="I127" s="1" t="s">
        <v>780</v>
      </c>
      <c r="AS127" s="1" t="s">
        <v>780</v>
      </c>
      <c r="AY127" s="1" t="s">
        <v>780</v>
      </c>
      <c r="DV127" s="1" t="s">
        <v>780</v>
      </c>
      <c r="DW127" s="1" t="s">
        <v>780</v>
      </c>
      <c r="GR127" s="1" t="s">
        <v>780</v>
      </c>
      <c r="GS127" s="1" t="s">
        <v>780</v>
      </c>
      <c r="JN127" s="1" t="s">
        <v>780</v>
      </c>
      <c r="JO127" s="1" t="s">
        <v>780</v>
      </c>
      <c r="JS127" s="1" t="s">
        <v>780</v>
      </c>
    </row>
    <row r="128" spans="1:488" ht="159.5" x14ac:dyDescent="0.35">
      <c r="A128" s="1" t="s">
        <v>545</v>
      </c>
      <c r="B128" s="14" t="s">
        <v>88</v>
      </c>
      <c r="C128" s="1" t="str" cm="1">
        <f t="array" ref="C128">GetURL(B128)</f>
        <v>https://explore-education-statistics.service.gov.uk/find-statistics/participation-measures-in-higher-education</v>
      </c>
      <c r="D128" s="2" t="s">
        <v>907</v>
      </c>
      <c r="E128" s="1" t="s">
        <v>780</v>
      </c>
      <c r="F128" s="1" t="s">
        <v>780</v>
      </c>
      <c r="G128" s="1" t="s">
        <v>780</v>
      </c>
      <c r="H128" s="1" t="s">
        <v>780</v>
      </c>
      <c r="I128" s="1" t="s">
        <v>780</v>
      </c>
      <c r="RO128" s="1" t="s">
        <v>780</v>
      </c>
      <c r="RP128" s="1" t="s">
        <v>780</v>
      </c>
      <c r="RQ128" s="1" t="s">
        <v>780</v>
      </c>
      <c r="RR128" s="1" t="s">
        <v>780</v>
      </c>
      <c r="RS128" s="1" t="s">
        <v>780</v>
      </c>
      <c r="RT128" s="1" t="s">
        <v>780</v>
      </c>
    </row>
    <row r="129" spans="1:541" ht="159.5" x14ac:dyDescent="0.35">
      <c r="A129" s="1" t="s">
        <v>545</v>
      </c>
      <c r="B129" s="14" t="s">
        <v>88</v>
      </c>
      <c r="C129" s="1" t="str" cm="1">
        <f t="array" ref="C129">GetURL(B129)</f>
        <v>https://explore-education-statistics.service.gov.uk/find-statistics/participation-measures-in-higher-education</v>
      </c>
      <c r="D129" s="1" t="s">
        <v>908</v>
      </c>
      <c r="E129" s="1" t="s">
        <v>780</v>
      </c>
      <c r="F129" s="1" t="s">
        <v>780</v>
      </c>
      <c r="G129" s="1" t="s">
        <v>780</v>
      </c>
      <c r="H129" s="1" t="s">
        <v>780</v>
      </c>
      <c r="I129" s="1" t="s">
        <v>780</v>
      </c>
      <c r="RU129" s="1" t="s">
        <v>780</v>
      </c>
      <c r="RV129" s="1" t="s">
        <v>780</v>
      </c>
      <c r="RW129" s="1" t="s">
        <v>780</v>
      </c>
    </row>
    <row r="130" spans="1:541" ht="159.5" x14ac:dyDescent="0.35">
      <c r="A130" s="1" t="s">
        <v>545</v>
      </c>
      <c r="B130" s="14" t="s">
        <v>88</v>
      </c>
      <c r="C130" s="1" t="str" cm="1">
        <f t="array" ref="C130">GetURL(B130)</f>
        <v>https://explore-education-statistics.service.gov.uk/find-statistics/participation-measures-in-higher-education</v>
      </c>
      <c r="D130" s="1" t="s">
        <v>909</v>
      </c>
      <c r="E130" s="1" t="s">
        <v>780</v>
      </c>
      <c r="F130" s="1" t="s">
        <v>780</v>
      </c>
      <c r="G130" s="1" t="s">
        <v>780</v>
      </c>
      <c r="H130" s="1" t="s">
        <v>780</v>
      </c>
      <c r="I130" s="1" t="s">
        <v>780</v>
      </c>
      <c r="RV130" s="1" t="s">
        <v>780</v>
      </c>
      <c r="RW130" s="1" t="s">
        <v>780</v>
      </c>
      <c r="RX130" s="1" t="s">
        <v>780</v>
      </c>
      <c r="RY130" s="1" t="s">
        <v>780</v>
      </c>
    </row>
    <row r="131" spans="1:541" ht="159.5" x14ac:dyDescent="0.35">
      <c r="A131" s="1" t="s">
        <v>545</v>
      </c>
      <c r="B131" s="14" t="s">
        <v>88</v>
      </c>
      <c r="C131" s="1" t="str" cm="1">
        <f t="array" ref="C131">GetURL(B131)</f>
        <v>https://explore-education-statistics.service.gov.uk/find-statistics/participation-measures-in-higher-education</v>
      </c>
      <c r="D131" s="1" t="s">
        <v>910</v>
      </c>
      <c r="E131" s="1" t="s">
        <v>780</v>
      </c>
      <c r="F131" s="1" t="s">
        <v>780</v>
      </c>
      <c r="G131" s="1" t="s">
        <v>780</v>
      </c>
      <c r="H131" s="1" t="s">
        <v>780</v>
      </c>
      <c r="I131" s="1" t="s">
        <v>780</v>
      </c>
      <c r="AY131" s="1" t="s">
        <v>780</v>
      </c>
      <c r="RU131" s="1" t="s">
        <v>780</v>
      </c>
      <c r="RV131" s="1" t="s">
        <v>780</v>
      </c>
      <c r="RW131" s="1" t="s">
        <v>780</v>
      </c>
    </row>
    <row r="132" spans="1:541" ht="159.5" x14ac:dyDescent="0.35">
      <c r="A132" s="1" t="s">
        <v>545</v>
      </c>
      <c r="B132" s="14" t="s">
        <v>88</v>
      </c>
      <c r="C132" s="1" t="str" cm="1">
        <f t="array" ref="C132">GetURL(B132)</f>
        <v>https://explore-education-statistics.service.gov.uk/find-statistics/participation-measures-in-higher-education</v>
      </c>
      <c r="D132" s="1" t="s">
        <v>911</v>
      </c>
      <c r="E132" s="1" t="s">
        <v>780</v>
      </c>
      <c r="F132" s="1" t="s">
        <v>780</v>
      </c>
      <c r="G132" s="1" t="s">
        <v>780</v>
      </c>
      <c r="H132" s="1" t="s">
        <v>780</v>
      </c>
      <c r="I132" s="1" t="s">
        <v>780</v>
      </c>
      <c r="J132" s="1" t="s">
        <v>780</v>
      </c>
      <c r="K132" s="1" t="s">
        <v>780</v>
      </c>
      <c r="RU132" s="1" t="s">
        <v>780</v>
      </c>
      <c r="RV132" s="1" t="s">
        <v>780</v>
      </c>
      <c r="RW132" s="1" t="s">
        <v>780</v>
      </c>
    </row>
    <row r="133" spans="1:541" ht="159.5" x14ac:dyDescent="0.35">
      <c r="A133" s="1" t="s">
        <v>545</v>
      </c>
      <c r="B133" s="14" t="s">
        <v>88</v>
      </c>
      <c r="C133" s="1" t="str" cm="1">
        <f t="array" ref="C133">GetURL(B133)</f>
        <v>https://explore-education-statistics.service.gov.uk/find-statistics/participation-measures-in-higher-education</v>
      </c>
      <c r="D133" s="1" t="s">
        <v>912</v>
      </c>
      <c r="E133" s="1" t="s">
        <v>780</v>
      </c>
      <c r="F133" s="1" t="s">
        <v>780</v>
      </c>
      <c r="G133" s="1" t="s">
        <v>780</v>
      </c>
      <c r="H133" s="1" t="s">
        <v>780</v>
      </c>
      <c r="I133" s="1" t="s">
        <v>780</v>
      </c>
      <c r="AK133" s="1" t="s">
        <v>780</v>
      </c>
      <c r="RU133" s="1" t="s">
        <v>780</v>
      </c>
      <c r="RV133" s="1" t="s">
        <v>780</v>
      </c>
      <c r="RW133" s="1" t="s">
        <v>780</v>
      </c>
    </row>
    <row r="134" spans="1:541" ht="159.5" x14ac:dyDescent="0.35">
      <c r="A134" s="1" t="s">
        <v>545</v>
      </c>
      <c r="B134" s="14" t="s">
        <v>88</v>
      </c>
      <c r="C134" s="1" t="str" cm="1">
        <f t="array" ref="C134">GetURL(B134)</f>
        <v>https://explore-education-statistics.service.gov.uk/find-statistics/participation-measures-in-higher-education</v>
      </c>
      <c r="D134" s="1" t="s">
        <v>913</v>
      </c>
      <c r="E134" s="1" t="s">
        <v>780</v>
      </c>
      <c r="F134" s="1" t="s">
        <v>780</v>
      </c>
      <c r="G134" s="1" t="s">
        <v>780</v>
      </c>
      <c r="H134" s="1" t="s">
        <v>780</v>
      </c>
      <c r="I134" s="1" t="s">
        <v>780</v>
      </c>
      <c r="RU134" s="1" t="s">
        <v>780</v>
      </c>
      <c r="RV134" s="1" t="s">
        <v>780</v>
      </c>
      <c r="RW134" s="1" t="s">
        <v>780</v>
      </c>
      <c r="RZ134" s="1" t="s">
        <v>780</v>
      </c>
    </row>
    <row r="135" spans="1:541" ht="159.5" x14ac:dyDescent="0.35">
      <c r="A135" s="1" t="s">
        <v>545</v>
      </c>
      <c r="B135" s="14" t="s">
        <v>88</v>
      </c>
      <c r="C135" s="1" t="str" cm="1">
        <f t="array" ref="C135">GetURL(B135)</f>
        <v>https://explore-education-statistics.service.gov.uk/find-statistics/participation-measures-in-higher-education</v>
      </c>
      <c r="D135" s="1" t="s">
        <v>914</v>
      </c>
      <c r="E135" s="1" t="s">
        <v>780</v>
      </c>
      <c r="F135" s="1" t="s">
        <v>780</v>
      </c>
      <c r="G135" s="1" t="s">
        <v>780</v>
      </c>
      <c r="H135" s="1" t="s">
        <v>780</v>
      </c>
      <c r="I135" s="1" t="s">
        <v>780</v>
      </c>
      <c r="RV135" s="1" t="s">
        <v>780</v>
      </c>
      <c r="RW135" s="1" t="s">
        <v>780</v>
      </c>
      <c r="SA135" s="1" t="s">
        <v>780</v>
      </c>
    </row>
    <row r="136" spans="1:541" ht="159.5" x14ac:dyDescent="0.35">
      <c r="A136" s="1" t="s">
        <v>545</v>
      </c>
      <c r="B136" s="14" t="s">
        <v>88</v>
      </c>
      <c r="C136" s="1" t="str" cm="1">
        <f t="array" ref="C136">GetURL(B136)</f>
        <v>https://explore-education-statistics.service.gov.uk/find-statistics/participation-measures-in-higher-education</v>
      </c>
      <c r="D136" s="1" t="s">
        <v>915</v>
      </c>
      <c r="E136" s="1" t="s">
        <v>780</v>
      </c>
      <c r="F136" s="1" t="s">
        <v>780</v>
      </c>
      <c r="G136" s="1" t="s">
        <v>780</v>
      </c>
      <c r="H136" s="1" t="s">
        <v>780</v>
      </c>
      <c r="I136" s="1" t="s">
        <v>780</v>
      </c>
      <c r="SB136" s="1" t="s">
        <v>780</v>
      </c>
      <c r="SC136" s="1" t="s">
        <v>780</v>
      </c>
    </row>
    <row r="137" spans="1:541" ht="159.5" x14ac:dyDescent="0.35">
      <c r="A137" s="1" t="s">
        <v>545</v>
      </c>
      <c r="B137" s="14" t="s">
        <v>88</v>
      </c>
      <c r="C137" s="1" t="str" cm="1">
        <f t="array" ref="C137">GetURL(B137)</f>
        <v>https://explore-education-statistics.service.gov.uk/find-statistics/participation-measures-in-higher-education</v>
      </c>
      <c r="D137" s="6" t="s">
        <v>916</v>
      </c>
      <c r="E137" s="1" t="s">
        <v>780</v>
      </c>
      <c r="F137" s="1" t="s">
        <v>780</v>
      </c>
      <c r="G137" s="1" t="s">
        <v>780</v>
      </c>
      <c r="H137" s="1" t="s">
        <v>780</v>
      </c>
      <c r="I137" s="1" t="s">
        <v>780</v>
      </c>
      <c r="J137" s="1" t="s">
        <v>780</v>
      </c>
      <c r="K137" s="1" t="s">
        <v>780</v>
      </c>
      <c r="AY137" s="1" t="s">
        <v>780</v>
      </c>
      <c r="BX137" s="1" t="s">
        <v>780</v>
      </c>
      <c r="SD137" s="1" t="s">
        <v>780</v>
      </c>
      <c r="SE137" s="1" t="s">
        <v>780</v>
      </c>
      <c r="SF137" s="1" t="s">
        <v>780</v>
      </c>
      <c r="SG137" s="1" t="s">
        <v>780</v>
      </c>
      <c r="SH137" s="1" t="s">
        <v>780</v>
      </c>
      <c r="SI137" s="1" t="s">
        <v>780</v>
      </c>
      <c r="SJ137" s="1" t="s">
        <v>780</v>
      </c>
      <c r="SK137" s="1" t="s">
        <v>780</v>
      </c>
      <c r="SL137" s="1" t="s">
        <v>780</v>
      </c>
      <c r="SM137" s="1" t="s">
        <v>780</v>
      </c>
      <c r="SN137" s="1" t="s">
        <v>780</v>
      </c>
      <c r="SO137" s="1" t="s">
        <v>780</v>
      </c>
    </row>
    <row r="138" spans="1:541" ht="188.5" x14ac:dyDescent="0.35">
      <c r="A138" s="6" t="s">
        <v>545</v>
      </c>
      <c r="B138" s="14" t="s">
        <v>66</v>
      </c>
      <c r="C138" s="1" t="str" cm="1">
        <f t="array" ref="C138">GetURL(B138)</f>
        <v>https://explore-education-statistics.service.gov.uk/find-statistics/leo-graduate-and-postgraduate-outcomes/2019-20)</v>
      </c>
      <c r="D138" s="6" t="s">
        <v>917</v>
      </c>
      <c r="E138" s="1" t="s">
        <v>780</v>
      </c>
      <c r="F138" s="1" t="s">
        <v>780</v>
      </c>
      <c r="G138" s="1" t="s">
        <v>780</v>
      </c>
      <c r="H138" s="1" t="s">
        <v>780</v>
      </c>
      <c r="I138" s="1" t="s">
        <v>780</v>
      </c>
      <c r="AJ138" s="1" t="s">
        <v>780</v>
      </c>
      <c r="AY138" s="1" t="s">
        <v>780</v>
      </c>
      <c r="GT138" s="1" t="s">
        <v>780</v>
      </c>
      <c r="SD138" s="1" t="s">
        <v>780</v>
      </c>
      <c r="SJ138" s="1" t="s">
        <v>780</v>
      </c>
      <c r="SK138" s="1" t="s">
        <v>780</v>
      </c>
      <c r="SL138" s="1" t="s">
        <v>780</v>
      </c>
      <c r="SM138" s="1" t="s">
        <v>780</v>
      </c>
      <c r="SN138" s="1" t="s">
        <v>780</v>
      </c>
      <c r="SP138" s="1" t="s">
        <v>780</v>
      </c>
      <c r="SQ138" s="1" t="s">
        <v>780</v>
      </c>
      <c r="SR138" s="1" t="s">
        <v>780</v>
      </c>
      <c r="SS138" s="1" t="s">
        <v>780</v>
      </c>
      <c r="ST138" s="1" t="s">
        <v>780</v>
      </c>
      <c r="SU138" s="1" t="s">
        <v>780</v>
      </c>
      <c r="SV138" s="1" t="s">
        <v>780</v>
      </c>
      <c r="SW138" s="1" t="s">
        <v>780</v>
      </c>
      <c r="SX138" s="1" t="s">
        <v>780</v>
      </c>
      <c r="SY138" s="1" t="s">
        <v>780</v>
      </c>
      <c r="TC138" s="1" t="s">
        <v>780</v>
      </c>
      <c r="TD138" s="1" t="s">
        <v>780</v>
      </c>
    </row>
    <row r="139" spans="1:541" ht="138.5" x14ac:dyDescent="0.35">
      <c r="A139" s="6" t="s">
        <v>545</v>
      </c>
      <c r="B139" s="14" t="s">
        <v>66</v>
      </c>
      <c r="C139" s="1" cm="1">
        <f t="array" ref="C139">GetURL(B139)</f>
        <v>0</v>
      </c>
      <c r="D139" s="6" t="s">
        <v>918</v>
      </c>
      <c r="E139" s="1" t="s">
        <v>780</v>
      </c>
      <c r="F139" s="1" t="s">
        <v>780</v>
      </c>
      <c r="G139" s="1" t="s">
        <v>780</v>
      </c>
      <c r="H139" s="1" t="s">
        <v>780</v>
      </c>
      <c r="I139" s="1" t="s">
        <v>780</v>
      </c>
      <c r="AJ139" s="1" t="s">
        <v>780</v>
      </c>
      <c r="GT139" s="1" t="s">
        <v>780</v>
      </c>
      <c r="SD139" s="1" t="s">
        <v>780</v>
      </c>
      <c r="SJ139" s="1" t="s">
        <v>780</v>
      </c>
      <c r="SK139" s="1" t="s">
        <v>780</v>
      </c>
      <c r="SV139" s="1" t="s">
        <v>780</v>
      </c>
      <c r="SW139" s="1" t="s">
        <v>780</v>
      </c>
      <c r="SX139" s="1" t="s">
        <v>780</v>
      </c>
      <c r="SY139" s="1" t="s">
        <v>780</v>
      </c>
      <c r="SZ139" s="1" t="s">
        <v>780</v>
      </c>
      <c r="TA139" s="1" t="s">
        <v>780</v>
      </c>
      <c r="TB139" s="1" t="s">
        <v>780</v>
      </c>
      <c r="TD139" s="1" t="s">
        <v>780</v>
      </c>
    </row>
    <row r="140" spans="1:541" ht="145" x14ac:dyDescent="0.35">
      <c r="A140" s="6" t="s">
        <v>545</v>
      </c>
      <c r="B140" s="14" t="s">
        <v>66</v>
      </c>
      <c r="C140" s="1" cm="1">
        <f t="array" ref="C140">GetURL(B140)</f>
        <v>0</v>
      </c>
      <c r="D140" s="1" t="s">
        <v>919</v>
      </c>
      <c r="E140" s="1" t="s">
        <v>780</v>
      </c>
      <c r="F140" s="1" t="s">
        <v>780</v>
      </c>
      <c r="G140" s="1" t="s">
        <v>780</v>
      </c>
      <c r="H140" s="1" t="s">
        <v>780</v>
      </c>
      <c r="I140" s="1" t="s">
        <v>780</v>
      </c>
      <c r="J140" s="1" t="s">
        <v>780</v>
      </c>
      <c r="K140" s="1" t="s">
        <v>780</v>
      </c>
      <c r="U140" s="1" t="s">
        <v>780</v>
      </c>
      <c r="V140" s="1" t="s">
        <v>780</v>
      </c>
      <c r="AJ140" s="1" t="s">
        <v>780</v>
      </c>
      <c r="AX140" s="1" t="s">
        <v>780</v>
      </c>
      <c r="AY140" s="1" t="s">
        <v>780</v>
      </c>
      <c r="BJ140" s="1" t="s">
        <v>780</v>
      </c>
      <c r="BQ140" s="1" t="s">
        <v>780</v>
      </c>
      <c r="BR140" s="1" t="s">
        <v>780</v>
      </c>
      <c r="BV140" s="1" t="s">
        <v>780</v>
      </c>
      <c r="BX140" s="1" t="s">
        <v>780</v>
      </c>
      <c r="GT140" s="1" t="s">
        <v>780</v>
      </c>
      <c r="IN140" s="1" t="s">
        <v>780</v>
      </c>
      <c r="JM140" s="1" t="s">
        <v>780</v>
      </c>
      <c r="JS140" s="1" t="s">
        <v>780</v>
      </c>
      <c r="SD140" s="1" t="s">
        <v>780</v>
      </c>
      <c r="SG140" s="1" t="s">
        <v>780</v>
      </c>
      <c r="SJ140" s="1" t="s">
        <v>780</v>
      </c>
      <c r="SK140" s="1" t="s">
        <v>780</v>
      </c>
      <c r="SL140" s="1" t="s">
        <v>780</v>
      </c>
      <c r="SM140" s="1" t="s">
        <v>780</v>
      </c>
      <c r="SN140" s="1" t="s">
        <v>780</v>
      </c>
      <c r="SP140" s="1" t="s">
        <v>780</v>
      </c>
      <c r="SQ140" s="1" t="s">
        <v>780</v>
      </c>
      <c r="SR140" s="1" t="s">
        <v>780</v>
      </c>
      <c r="SS140" s="1" t="s">
        <v>780</v>
      </c>
      <c r="ST140" s="1" t="s">
        <v>780</v>
      </c>
      <c r="SU140" s="1" t="s">
        <v>780</v>
      </c>
      <c r="SV140" s="1" t="s">
        <v>780</v>
      </c>
      <c r="SW140" s="1" t="s">
        <v>780</v>
      </c>
      <c r="SX140" s="1" t="s">
        <v>780</v>
      </c>
      <c r="SY140" s="1" t="s">
        <v>780</v>
      </c>
      <c r="TD140" s="1" t="s">
        <v>780</v>
      </c>
    </row>
    <row r="141" spans="1:541" ht="116" x14ac:dyDescent="0.35">
      <c r="A141" s="6" t="s">
        <v>545</v>
      </c>
      <c r="B141" s="14" t="s">
        <v>66</v>
      </c>
      <c r="C141" s="1" cm="1">
        <f t="array" ref="C141">GetURL(B141)</f>
        <v>0</v>
      </c>
      <c r="D141" s="1" t="s">
        <v>920</v>
      </c>
      <c r="E141" s="1" t="s">
        <v>780</v>
      </c>
      <c r="F141" s="1" t="s">
        <v>780</v>
      </c>
      <c r="G141" s="1" t="s">
        <v>780</v>
      </c>
      <c r="H141" s="1" t="s">
        <v>780</v>
      </c>
      <c r="I141" s="1" t="s">
        <v>780</v>
      </c>
      <c r="TE141" s="1" t="s">
        <v>780</v>
      </c>
      <c r="TF141" s="1" t="s">
        <v>780</v>
      </c>
      <c r="TG141" s="1" t="s">
        <v>780</v>
      </c>
      <c r="TH141" s="1" t="s">
        <v>780</v>
      </c>
      <c r="TI141" s="1" t="s">
        <v>780</v>
      </c>
      <c r="TJ141" s="1" t="s">
        <v>780</v>
      </c>
    </row>
    <row r="142" spans="1:541" ht="88.5" x14ac:dyDescent="0.35">
      <c r="A142" s="6" t="s">
        <v>545</v>
      </c>
      <c r="B142" s="14" t="s">
        <v>66</v>
      </c>
      <c r="C142" s="1" cm="1">
        <f t="array" ref="C142">GetURL(B142)</f>
        <v>0</v>
      </c>
      <c r="D142" s="6" t="s">
        <v>921</v>
      </c>
      <c r="E142" s="1" t="s">
        <v>780</v>
      </c>
      <c r="F142" s="1" t="s">
        <v>780</v>
      </c>
      <c r="G142" s="1" t="s">
        <v>780</v>
      </c>
      <c r="H142" s="1" t="s">
        <v>780</v>
      </c>
      <c r="I142" s="1" t="s">
        <v>780</v>
      </c>
      <c r="AY142" s="1" t="s">
        <v>780</v>
      </c>
      <c r="BJ142" s="1" t="s">
        <v>780</v>
      </c>
      <c r="TK142" s="1" t="s">
        <v>780</v>
      </c>
      <c r="TL142" s="1" t="s">
        <v>780</v>
      </c>
      <c r="TN142" s="1" t="s">
        <v>780</v>
      </c>
      <c r="TO142" s="1" t="s">
        <v>780</v>
      </c>
    </row>
    <row r="143" spans="1:541" ht="88.5" x14ac:dyDescent="0.35">
      <c r="A143" s="6" t="s">
        <v>545</v>
      </c>
      <c r="B143" s="14" t="s">
        <v>66</v>
      </c>
      <c r="C143" s="1" cm="1">
        <f t="array" ref="C143">GetURL(B143)</f>
        <v>0</v>
      </c>
      <c r="D143" s="6" t="s">
        <v>922</v>
      </c>
      <c r="E143" s="1" t="s">
        <v>780</v>
      </c>
      <c r="F143" s="1" t="s">
        <v>780</v>
      </c>
      <c r="G143" s="1" t="s">
        <v>780</v>
      </c>
      <c r="H143" s="1" t="s">
        <v>780</v>
      </c>
      <c r="I143" s="1" t="s">
        <v>780</v>
      </c>
      <c r="AY143" s="1" t="s">
        <v>780</v>
      </c>
      <c r="BJ143" s="1" t="s">
        <v>780</v>
      </c>
      <c r="TL143" s="1" t="s">
        <v>780</v>
      </c>
      <c r="TM143" s="1" t="s">
        <v>780</v>
      </c>
      <c r="TN143" s="1" t="s">
        <v>780</v>
      </c>
      <c r="TO143" s="1" t="s">
        <v>780</v>
      </c>
    </row>
    <row r="144" spans="1:541" ht="144.65" customHeight="1" x14ac:dyDescent="0.35">
      <c r="A144" s="6" t="s">
        <v>545</v>
      </c>
      <c r="B144" s="14" t="s">
        <v>66</v>
      </c>
      <c r="C144" s="1" cm="1">
        <f t="array" ref="C144">GetURL(B144)</f>
        <v>0</v>
      </c>
      <c r="D144" s="6" t="s">
        <v>923</v>
      </c>
      <c r="E144" s="1" t="s">
        <v>780</v>
      </c>
      <c r="F144" s="1" t="s">
        <v>780</v>
      </c>
      <c r="G144" s="1" t="s">
        <v>780</v>
      </c>
      <c r="H144" s="1" t="s">
        <v>780</v>
      </c>
      <c r="I144" s="1" t="s">
        <v>780</v>
      </c>
      <c r="J144" s="1" t="s">
        <v>780</v>
      </c>
      <c r="K144" s="1" t="s">
        <v>780</v>
      </c>
      <c r="BJ144" s="1" t="s">
        <v>780</v>
      </c>
      <c r="SD144" s="1" t="s">
        <v>780</v>
      </c>
      <c r="SX144" s="1" t="s">
        <v>780</v>
      </c>
      <c r="TN144" s="1" t="s">
        <v>780</v>
      </c>
      <c r="TP144" s="1" t="s">
        <v>780</v>
      </c>
      <c r="TQ144" s="1" t="s">
        <v>780</v>
      </c>
      <c r="TR144" s="1" t="s">
        <v>780</v>
      </c>
      <c r="TS144" s="1" t="s">
        <v>780</v>
      </c>
      <c r="TT144" s="1" t="s">
        <v>780</v>
      </c>
      <c r="TU144" s="1" t="s">
        <v>780</v>
      </c>
    </row>
    <row r="145" spans="1:589" ht="113.5" x14ac:dyDescent="0.35">
      <c r="A145" s="6" t="s">
        <v>545</v>
      </c>
      <c r="B145" s="14" t="s">
        <v>66</v>
      </c>
      <c r="C145" s="1" cm="1">
        <f t="array" ref="C145">GetURL(B145)</f>
        <v>0</v>
      </c>
      <c r="D145" s="6" t="s">
        <v>924</v>
      </c>
      <c r="E145" s="1" t="s">
        <v>780</v>
      </c>
      <c r="F145" s="1" t="s">
        <v>780</v>
      </c>
      <c r="G145" s="1" t="s">
        <v>780</v>
      </c>
      <c r="H145" s="1" t="s">
        <v>780</v>
      </c>
      <c r="I145" s="1" t="s">
        <v>780</v>
      </c>
      <c r="S145" s="1" t="s">
        <v>780</v>
      </c>
      <c r="T145" s="1" t="s">
        <v>780</v>
      </c>
      <c r="BJ145" s="1" t="s">
        <v>780</v>
      </c>
      <c r="SD145" s="1" t="s">
        <v>780</v>
      </c>
      <c r="TN145" s="1" t="s">
        <v>780</v>
      </c>
      <c r="TO145" s="1" t="s">
        <v>780</v>
      </c>
      <c r="TP145" s="1" t="s">
        <v>780</v>
      </c>
    </row>
    <row r="146" spans="1:589" ht="131.5" customHeight="1" x14ac:dyDescent="0.35">
      <c r="A146" s="6" t="s">
        <v>545</v>
      </c>
      <c r="B146" s="14" t="s">
        <v>66</v>
      </c>
      <c r="C146" s="1" cm="1">
        <f t="array" ref="C146">GetURL(B146)</f>
        <v>0</v>
      </c>
      <c r="D146" s="6" t="s">
        <v>925</v>
      </c>
      <c r="E146" s="1" t="s">
        <v>780</v>
      </c>
      <c r="F146" s="1" t="s">
        <v>780</v>
      </c>
      <c r="G146" s="1" t="s">
        <v>780</v>
      </c>
      <c r="H146" s="1" t="s">
        <v>780</v>
      </c>
      <c r="I146" s="1" t="s">
        <v>780</v>
      </c>
      <c r="T146" s="1" t="s">
        <v>780</v>
      </c>
      <c r="AY146" s="1" t="s">
        <v>780</v>
      </c>
      <c r="BJ146" s="1" t="s">
        <v>780</v>
      </c>
      <c r="BQ146" s="1" t="s">
        <v>780</v>
      </c>
      <c r="BX146" s="1" t="s">
        <v>780</v>
      </c>
      <c r="IN146" s="1" t="s">
        <v>780</v>
      </c>
      <c r="SD146" s="1" t="s">
        <v>780</v>
      </c>
      <c r="SX146" s="1" t="s">
        <v>780</v>
      </c>
      <c r="TN146" s="1" t="s">
        <v>780</v>
      </c>
      <c r="TO146" s="1" t="s">
        <v>780</v>
      </c>
      <c r="TP146" s="1" t="s">
        <v>780</v>
      </c>
      <c r="TV146" s="1" t="s">
        <v>780</v>
      </c>
    </row>
    <row r="147" spans="1:589" ht="113.5" x14ac:dyDescent="0.35">
      <c r="A147" s="6" t="s">
        <v>545</v>
      </c>
      <c r="B147" s="6" t="s">
        <v>69</v>
      </c>
      <c r="C147" s="1" cm="1">
        <f t="array" ref="C147">GetURL(B147)</f>
        <v>0</v>
      </c>
      <c r="D147" s="6" t="s">
        <v>926</v>
      </c>
      <c r="E147" s="1" t="s">
        <v>780</v>
      </c>
      <c r="F147" s="1" t="s">
        <v>780</v>
      </c>
      <c r="G147" s="1" t="s">
        <v>780</v>
      </c>
      <c r="H147" s="1" t="s">
        <v>780</v>
      </c>
      <c r="I147" s="1" t="s">
        <v>780</v>
      </c>
      <c r="J147" s="1" t="s">
        <v>780</v>
      </c>
      <c r="K147" s="1" t="s">
        <v>780</v>
      </c>
      <c r="S147" s="1" t="s">
        <v>780</v>
      </c>
      <c r="TW147" s="1" t="s">
        <v>780</v>
      </c>
      <c r="TX147" s="1" t="s">
        <v>780</v>
      </c>
    </row>
    <row r="148" spans="1:589" ht="113.5" x14ac:dyDescent="0.35">
      <c r="A148" s="6" t="s">
        <v>545</v>
      </c>
      <c r="B148" s="6" t="s">
        <v>69</v>
      </c>
      <c r="C148" s="1" cm="1">
        <f t="array" ref="C148">GetURL(B148)</f>
        <v>0</v>
      </c>
      <c r="D148" s="6" t="s">
        <v>927</v>
      </c>
      <c r="E148" s="1" t="s">
        <v>780</v>
      </c>
      <c r="F148" s="1" t="s">
        <v>780</v>
      </c>
      <c r="G148" s="1" t="s">
        <v>780</v>
      </c>
      <c r="H148" s="1" t="s">
        <v>780</v>
      </c>
      <c r="I148" s="1" t="s">
        <v>780</v>
      </c>
      <c r="BJ148" s="1" t="s">
        <v>780</v>
      </c>
      <c r="TW148" s="1" t="s">
        <v>780</v>
      </c>
      <c r="TY148" s="1" t="s">
        <v>780</v>
      </c>
      <c r="TZ148" s="1" t="s">
        <v>780</v>
      </c>
      <c r="UA148" s="1" t="s">
        <v>780</v>
      </c>
      <c r="UB148" s="1" t="s">
        <v>780</v>
      </c>
      <c r="UC148" s="1" t="s">
        <v>780</v>
      </c>
      <c r="UD148" s="1" t="s">
        <v>780</v>
      </c>
      <c r="UE148" s="1" t="s">
        <v>780</v>
      </c>
      <c r="UF148" s="1" t="s">
        <v>780</v>
      </c>
      <c r="UG148" s="1" t="s">
        <v>780</v>
      </c>
      <c r="UH148" s="1" t="s">
        <v>780</v>
      </c>
      <c r="UI148" s="1" t="s">
        <v>780</v>
      </c>
    </row>
    <row r="149" spans="1:589" ht="116" x14ac:dyDescent="0.35">
      <c r="A149" s="6" t="s">
        <v>545</v>
      </c>
      <c r="B149" s="6" t="s">
        <v>69</v>
      </c>
      <c r="C149" s="1" cm="1">
        <f t="array" ref="C149">GetURL(B149)</f>
        <v>0</v>
      </c>
      <c r="D149" s="1" t="s">
        <v>928</v>
      </c>
      <c r="E149" s="1" t="s">
        <v>780</v>
      </c>
      <c r="F149" s="1" t="s">
        <v>780</v>
      </c>
      <c r="G149" s="1" t="s">
        <v>780</v>
      </c>
      <c r="H149" s="1" t="s">
        <v>780</v>
      </c>
      <c r="I149" s="1" t="s">
        <v>780</v>
      </c>
      <c r="BJ149" s="1" t="s">
        <v>780</v>
      </c>
      <c r="SW149" s="1" t="s">
        <v>780</v>
      </c>
      <c r="SX149" s="1" t="s">
        <v>780</v>
      </c>
      <c r="SY149" s="1" t="s">
        <v>780</v>
      </c>
      <c r="UJ149" s="1" t="s">
        <v>780</v>
      </c>
      <c r="UK149" s="1" t="s">
        <v>780</v>
      </c>
      <c r="UL149" s="1" t="s">
        <v>780</v>
      </c>
      <c r="UM149" s="1" t="s">
        <v>780</v>
      </c>
      <c r="UN149" s="1" t="s">
        <v>780</v>
      </c>
    </row>
    <row r="150" spans="1:589" ht="113.5" x14ac:dyDescent="0.35">
      <c r="A150" s="6" t="s">
        <v>545</v>
      </c>
      <c r="B150" s="6" t="s">
        <v>69</v>
      </c>
      <c r="C150" s="1" cm="1">
        <f t="array" ref="C150">GetURL(B150)</f>
        <v>0</v>
      </c>
      <c r="D150" s="6" t="s">
        <v>929</v>
      </c>
      <c r="E150" s="1" t="s">
        <v>780</v>
      </c>
      <c r="F150" s="1" t="s">
        <v>780</v>
      </c>
      <c r="G150" s="1" t="s">
        <v>780</v>
      </c>
      <c r="H150" s="1" t="s">
        <v>780</v>
      </c>
      <c r="I150" s="1" t="s">
        <v>780</v>
      </c>
      <c r="T150" s="1" t="s">
        <v>780</v>
      </c>
      <c r="SW150" s="1" t="s">
        <v>780</v>
      </c>
      <c r="SX150" s="1" t="s">
        <v>780</v>
      </c>
      <c r="SY150" s="1" t="s">
        <v>780</v>
      </c>
      <c r="UK150" s="1" t="s">
        <v>780</v>
      </c>
      <c r="UN150" s="1" t="s">
        <v>780</v>
      </c>
      <c r="UO150" s="1" t="s">
        <v>780</v>
      </c>
      <c r="UP150" s="1" t="s">
        <v>780</v>
      </c>
    </row>
    <row r="151" spans="1:589" ht="126" x14ac:dyDescent="0.35">
      <c r="A151" s="6" t="s">
        <v>545</v>
      </c>
      <c r="B151" s="6" t="s">
        <v>69</v>
      </c>
      <c r="C151" s="1" cm="1">
        <f t="array" ref="C151">GetURL(B151)</f>
        <v>0</v>
      </c>
      <c r="D151" s="6" t="s">
        <v>930</v>
      </c>
      <c r="E151" s="1" t="s">
        <v>780</v>
      </c>
      <c r="F151" s="1" t="s">
        <v>780</v>
      </c>
      <c r="G151" s="1" t="s">
        <v>780</v>
      </c>
      <c r="H151" s="1" t="s">
        <v>780</v>
      </c>
      <c r="I151" s="1" t="s">
        <v>780</v>
      </c>
      <c r="S151" s="1" t="s">
        <v>780</v>
      </c>
      <c r="TW151" s="1" t="s">
        <v>780</v>
      </c>
      <c r="UQ151" s="1" t="s">
        <v>780</v>
      </c>
      <c r="UR151" s="1" t="s">
        <v>780</v>
      </c>
      <c r="US151" s="1" t="s">
        <v>780</v>
      </c>
      <c r="UT151" s="1" t="s">
        <v>780</v>
      </c>
      <c r="UU151" s="1" t="s">
        <v>780</v>
      </c>
    </row>
    <row r="152" spans="1:589" ht="101" x14ac:dyDescent="0.35">
      <c r="A152" s="6" t="s">
        <v>545</v>
      </c>
      <c r="B152" s="6" t="s">
        <v>69</v>
      </c>
      <c r="C152" s="1" cm="1">
        <f t="array" ref="C152">GetURL(B152)</f>
        <v>0</v>
      </c>
      <c r="D152" s="6" t="s">
        <v>931</v>
      </c>
      <c r="E152" s="1" t="s">
        <v>780</v>
      </c>
      <c r="F152" s="1" t="s">
        <v>780</v>
      </c>
      <c r="G152" s="1" t="s">
        <v>780</v>
      </c>
      <c r="H152" s="1" t="s">
        <v>780</v>
      </c>
      <c r="I152" s="1" t="s">
        <v>780</v>
      </c>
      <c r="BJ152" s="1" t="s">
        <v>780</v>
      </c>
      <c r="SW152" s="1" t="s">
        <v>780</v>
      </c>
      <c r="SX152" s="1" t="s">
        <v>780</v>
      </c>
      <c r="SY152" s="1" t="s">
        <v>780</v>
      </c>
      <c r="UK152" s="1" t="s">
        <v>780</v>
      </c>
      <c r="UN152" s="1" t="s">
        <v>780</v>
      </c>
      <c r="UO152" s="1" t="s">
        <v>780</v>
      </c>
      <c r="UP152" s="1" t="s">
        <v>780</v>
      </c>
      <c r="UV152" s="1" t="s">
        <v>780</v>
      </c>
      <c r="UW152" s="1" t="s">
        <v>780</v>
      </c>
      <c r="UX152" s="1" t="s">
        <v>780</v>
      </c>
      <c r="UY152" s="1" t="s">
        <v>780</v>
      </c>
      <c r="UZ152" s="1" t="s">
        <v>780</v>
      </c>
      <c r="VA152" s="1" t="s">
        <v>780</v>
      </c>
      <c r="VB152" s="1" t="s">
        <v>780</v>
      </c>
    </row>
    <row r="153" spans="1:589" ht="126" x14ac:dyDescent="0.35">
      <c r="A153" s="6" t="s">
        <v>545</v>
      </c>
      <c r="B153" s="6" t="s">
        <v>69</v>
      </c>
      <c r="C153" s="1" cm="1">
        <f t="array" ref="C153">GetURL(B153)</f>
        <v>0</v>
      </c>
      <c r="D153" s="2" t="s">
        <v>932</v>
      </c>
      <c r="E153" s="1" t="s">
        <v>780</v>
      </c>
      <c r="F153" s="1" t="s">
        <v>780</v>
      </c>
      <c r="G153" s="1" t="s">
        <v>780</v>
      </c>
      <c r="H153" s="1" t="s">
        <v>780</v>
      </c>
      <c r="I153" s="1" t="s">
        <v>780</v>
      </c>
      <c r="BJ153" s="1" t="s">
        <v>780</v>
      </c>
      <c r="VC153" s="1" t="s">
        <v>780</v>
      </c>
      <c r="VD153" s="1" t="s">
        <v>780</v>
      </c>
      <c r="VE153" s="1" t="s">
        <v>780</v>
      </c>
      <c r="VF153" s="1" t="s">
        <v>780</v>
      </c>
      <c r="VG153" s="1" t="s">
        <v>780</v>
      </c>
      <c r="VH153" s="1" t="s">
        <v>780</v>
      </c>
    </row>
    <row r="154" spans="1:589" ht="159.5" x14ac:dyDescent="0.35">
      <c r="A154" s="6" t="s">
        <v>545</v>
      </c>
      <c r="B154" s="14" t="s">
        <v>100</v>
      </c>
      <c r="C154" s="1" t="str" cm="1">
        <f t="array" ref="C154">GetURL(B154)</f>
        <v>https://explore-education-statistics.service.gov.uk/find-statistics/widening-participation-in-higher-education</v>
      </c>
      <c r="D154" s="6" t="s">
        <v>933</v>
      </c>
      <c r="E154" s="1" t="s">
        <v>780</v>
      </c>
      <c r="F154" s="1" t="s">
        <v>780</v>
      </c>
      <c r="G154" s="1" t="s">
        <v>780</v>
      </c>
      <c r="H154" s="1" t="s">
        <v>780</v>
      </c>
      <c r="I154" s="1" t="s">
        <v>780</v>
      </c>
      <c r="AE154" s="1" t="s">
        <v>780</v>
      </c>
      <c r="AH154" s="1" t="s">
        <v>780</v>
      </c>
      <c r="VI154" s="1" t="s">
        <v>780</v>
      </c>
      <c r="VL154" s="1" t="s">
        <v>780</v>
      </c>
      <c r="VO154" s="1" t="s">
        <v>780</v>
      </c>
      <c r="VP154" s="1" t="s">
        <v>780</v>
      </c>
      <c r="VQ154" s="1" t="s">
        <v>780</v>
      </c>
    </row>
    <row r="155" spans="1:589" ht="159.5" x14ac:dyDescent="0.35">
      <c r="A155" s="6" t="s">
        <v>545</v>
      </c>
      <c r="B155" s="14" t="s">
        <v>100</v>
      </c>
      <c r="C155" s="1" t="str" cm="1">
        <f t="array" ref="C155">GetURL(B155)</f>
        <v>https://explore-education-statistics.service.gov.uk/find-statistics/widening-participation-in-higher-education</v>
      </c>
      <c r="D155" s="6" t="s">
        <v>934</v>
      </c>
      <c r="E155" s="1" t="s">
        <v>780</v>
      </c>
      <c r="F155" s="1" t="s">
        <v>780</v>
      </c>
      <c r="G155" s="1" t="s">
        <v>780</v>
      </c>
      <c r="H155" s="1" t="s">
        <v>780</v>
      </c>
      <c r="I155" s="1" t="s">
        <v>780</v>
      </c>
      <c r="J155" s="1" t="s">
        <v>780</v>
      </c>
      <c r="K155" s="1" t="s">
        <v>780</v>
      </c>
      <c r="L155" s="1" t="s">
        <v>780</v>
      </c>
      <c r="M155" s="1" t="s">
        <v>780</v>
      </c>
      <c r="N155" s="1" t="s">
        <v>780</v>
      </c>
      <c r="BT155" s="1" t="s">
        <v>780</v>
      </c>
      <c r="BU155" s="1" t="s">
        <v>780</v>
      </c>
      <c r="VI155" s="1" t="s">
        <v>780</v>
      </c>
      <c r="VL155" s="1" t="s">
        <v>780</v>
      </c>
      <c r="VO155" s="1" t="s">
        <v>780</v>
      </c>
      <c r="VP155" s="1" t="s">
        <v>780</v>
      </c>
      <c r="VQ155" s="1" t="s">
        <v>780</v>
      </c>
    </row>
    <row r="156" spans="1:589" ht="159.5" x14ac:dyDescent="0.35">
      <c r="A156" s="6" t="s">
        <v>545</v>
      </c>
      <c r="B156" s="14" t="s">
        <v>100</v>
      </c>
      <c r="C156" s="1" t="str" cm="1">
        <f t="array" ref="C156">GetURL(B156)</f>
        <v>https://explore-education-statistics.service.gov.uk/find-statistics/widening-participation-in-higher-education</v>
      </c>
      <c r="D156" s="6" t="s">
        <v>935</v>
      </c>
      <c r="E156" s="1" t="s">
        <v>780</v>
      </c>
      <c r="F156" s="1" t="s">
        <v>780</v>
      </c>
      <c r="G156" s="1" t="s">
        <v>780</v>
      </c>
      <c r="H156" s="1" t="s">
        <v>780</v>
      </c>
      <c r="I156" s="1" t="s">
        <v>780</v>
      </c>
      <c r="J156" s="1" t="s">
        <v>780</v>
      </c>
      <c r="K156" s="1" t="s">
        <v>780</v>
      </c>
      <c r="L156" s="1" t="s">
        <v>780</v>
      </c>
      <c r="M156" s="1" t="s">
        <v>780</v>
      </c>
      <c r="N156" s="1" t="s">
        <v>780</v>
      </c>
      <c r="BX156" s="1" t="s">
        <v>780</v>
      </c>
      <c r="VI156" s="1" t="s">
        <v>780</v>
      </c>
      <c r="VL156" s="1" t="s">
        <v>780</v>
      </c>
      <c r="VO156" s="1" t="s">
        <v>780</v>
      </c>
      <c r="VP156" s="1" t="s">
        <v>780</v>
      </c>
      <c r="VQ156" s="1" t="s">
        <v>780</v>
      </c>
    </row>
    <row r="157" spans="1:589" ht="159.5" x14ac:dyDescent="0.35">
      <c r="A157" s="6" t="s">
        <v>545</v>
      </c>
      <c r="B157" s="14" t="s">
        <v>100</v>
      </c>
      <c r="C157" s="1" t="str" cm="1">
        <f t="array" ref="C157">GetURL(B157)</f>
        <v>https://explore-education-statistics.service.gov.uk/find-statistics/widening-participation-in-higher-education</v>
      </c>
      <c r="D157" s="1" t="s">
        <v>936</v>
      </c>
      <c r="E157" s="1" t="s">
        <v>780</v>
      </c>
      <c r="F157" s="1" t="s">
        <v>780</v>
      </c>
      <c r="G157" s="1" t="s">
        <v>780</v>
      </c>
      <c r="H157" s="1" t="s">
        <v>780</v>
      </c>
      <c r="I157" s="1" t="s">
        <v>780</v>
      </c>
      <c r="J157" s="1" t="s">
        <v>780</v>
      </c>
      <c r="K157" s="1" t="s">
        <v>780</v>
      </c>
      <c r="L157" s="1" t="s">
        <v>780</v>
      </c>
      <c r="M157" s="1" t="s">
        <v>780</v>
      </c>
      <c r="N157" s="1" t="s">
        <v>780</v>
      </c>
      <c r="BY157" s="1" t="s">
        <v>780</v>
      </c>
      <c r="BZ157" s="1" t="s">
        <v>780</v>
      </c>
      <c r="VI157" s="1" t="s">
        <v>780</v>
      </c>
      <c r="VJ157" s="1" t="s">
        <v>780</v>
      </c>
      <c r="VK157" s="1" t="s">
        <v>780</v>
      </c>
      <c r="VL157" s="1" t="s">
        <v>780</v>
      </c>
      <c r="VM157" s="1" t="s">
        <v>780</v>
      </c>
      <c r="VN157" s="1" t="s">
        <v>780</v>
      </c>
    </row>
    <row r="158" spans="1:589" ht="159.5" x14ac:dyDescent="0.35">
      <c r="A158" s="6" t="s">
        <v>545</v>
      </c>
      <c r="B158" s="14" t="s">
        <v>100</v>
      </c>
      <c r="C158" s="1" t="str" cm="1">
        <f t="array" ref="C158">GetURL(B158)</f>
        <v>https://explore-education-statistics.service.gov.uk/find-statistics/widening-participation-in-higher-education</v>
      </c>
      <c r="D158" s="6" t="s">
        <v>937</v>
      </c>
      <c r="E158" s="1" t="s">
        <v>780</v>
      </c>
      <c r="F158" s="1" t="s">
        <v>780</v>
      </c>
      <c r="G158" s="1" t="s">
        <v>780</v>
      </c>
      <c r="H158" s="1" t="s">
        <v>780</v>
      </c>
      <c r="I158" s="1" t="s">
        <v>780</v>
      </c>
      <c r="AY158" s="1" t="s">
        <v>780</v>
      </c>
      <c r="BT158" s="1" t="s">
        <v>780</v>
      </c>
      <c r="BU158" s="1" t="s">
        <v>780</v>
      </c>
      <c r="BX158" s="1" t="s">
        <v>780</v>
      </c>
      <c r="VI158" s="1" t="s">
        <v>780</v>
      </c>
      <c r="VL158" s="1" t="s">
        <v>780</v>
      </c>
      <c r="VO158" s="1" t="s">
        <v>780</v>
      </c>
      <c r="VP158" s="1" t="s">
        <v>780</v>
      </c>
      <c r="VQ158" s="1" t="s">
        <v>780</v>
      </c>
    </row>
    <row r="159" spans="1:589" ht="159.5" x14ac:dyDescent="0.35">
      <c r="A159" s="6" t="s">
        <v>545</v>
      </c>
      <c r="B159" s="14" t="s">
        <v>100</v>
      </c>
      <c r="C159" s="1" t="str" cm="1">
        <f t="array" ref="C159">GetURL(B159)</f>
        <v>https://explore-education-statistics.service.gov.uk/find-statistics/widening-participation-in-higher-education</v>
      </c>
      <c r="D159" s="6" t="s">
        <v>938</v>
      </c>
      <c r="E159" s="1" t="s">
        <v>780</v>
      </c>
      <c r="F159" s="1" t="s">
        <v>780</v>
      </c>
      <c r="G159" s="1" t="s">
        <v>780</v>
      </c>
      <c r="H159" s="1" t="s">
        <v>780</v>
      </c>
      <c r="I159" s="1" t="s">
        <v>780</v>
      </c>
      <c r="J159" s="1" t="s">
        <v>780</v>
      </c>
      <c r="K159" s="1" t="s">
        <v>780</v>
      </c>
      <c r="AY159" s="1" t="s">
        <v>780</v>
      </c>
      <c r="BT159" s="1" t="s">
        <v>780</v>
      </c>
      <c r="BX159" s="1" t="s">
        <v>780</v>
      </c>
      <c r="VI159" s="1" t="s">
        <v>780</v>
      </c>
      <c r="VL159" s="1" t="s">
        <v>780</v>
      </c>
      <c r="VO159" s="1" t="s">
        <v>780</v>
      </c>
      <c r="VP159" s="1" t="s">
        <v>780</v>
      </c>
      <c r="VQ159" s="1" t="s">
        <v>780</v>
      </c>
    </row>
    <row r="160" spans="1:589" ht="159.5" x14ac:dyDescent="0.35">
      <c r="A160" s="6" t="s">
        <v>545</v>
      </c>
      <c r="B160" s="14" t="s">
        <v>100</v>
      </c>
      <c r="C160" s="1" t="str" cm="1">
        <f t="array" ref="C160">GetURL(B160)</f>
        <v>https://explore-education-statistics.service.gov.uk/find-statistics/widening-participation-in-higher-education</v>
      </c>
      <c r="D160" s="6" t="s">
        <v>939</v>
      </c>
      <c r="E160" s="1" t="s">
        <v>780</v>
      </c>
      <c r="F160" s="1" t="s">
        <v>780</v>
      </c>
      <c r="G160" s="1" t="s">
        <v>780</v>
      </c>
      <c r="H160" s="1" t="s">
        <v>780</v>
      </c>
      <c r="I160" s="1" t="s">
        <v>780</v>
      </c>
      <c r="J160" s="1" t="s">
        <v>780</v>
      </c>
      <c r="K160" s="1" t="s">
        <v>780</v>
      </c>
      <c r="L160" s="1" t="s">
        <v>780</v>
      </c>
      <c r="M160" s="1" t="s">
        <v>780</v>
      </c>
      <c r="N160" s="1" t="s">
        <v>780</v>
      </c>
      <c r="AY160" s="1" t="s">
        <v>780</v>
      </c>
      <c r="VI160" s="1" t="s">
        <v>780</v>
      </c>
      <c r="VL160" s="1" t="s">
        <v>780</v>
      </c>
      <c r="VO160" s="1" t="s">
        <v>780</v>
      </c>
      <c r="VP160" s="1" t="s">
        <v>780</v>
      </c>
      <c r="VQ160" s="1" t="s">
        <v>780</v>
      </c>
    </row>
    <row r="161" spans="1:617" ht="159.5" x14ac:dyDescent="0.35">
      <c r="A161" s="6" t="s">
        <v>545</v>
      </c>
      <c r="B161" s="14" t="s">
        <v>100</v>
      </c>
      <c r="C161" s="1" t="str" cm="1">
        <f t="array" ref="C161">GetURL(B161)</f>
        <v>https://explore-education-statistics.service.gov.uk/find-statistics/widening-participation-in-higher-education</v>
      </c>
      <c r="D161" s="6" t="s">
        <v>940</v>
      </c>
      <c r="E161" s="1" t="s">
        <v>780</v>
      </c>
      <c r="F161" s="1" t="s">
        <v>780</v>
      </c>
      <c r="G161" s="1" t="s">
        <v>780</v>
      </c>
      <c r="H161" s="1" t="s">
        <v>780</v>
      </c>
      <c r="I161" s="1" t="s">
        <v>780</v>
      </c>
      <c r="BY161" s="1" t="s">
        <v>788</v>
      </c>
      <c r="VR161" s="1" t="s">
        <v>788</v>
      </c>
      <c r="VS161" s="1" t="s">
        <v>788</v>
      </c>
      <c r="VT161" s="1" t="s">
        <v>788</v>
      </c>
      <c r="VU161" s="1" t="s">
        <v>788</v>
      </c>
      <c r="VV161" s="1" t="s">
        <v>788</v>
      </c>
    </row>
    <row r="162" spans="1:617" ht="159.5" x14ac:dyDescent="0.35">
      <c r="A162" s="6" t="s">
        <v>545</v>
      </c>
      <c r="B162" s="14" t="s">
        <v>100</v>
      </c>
      <c r="C162" s="1" t="str" cm="1">
        <f t="array" ref="C162">GetURL(B162)</f>
        <v>https://explore-education-statistics.service.gov.uk/find-statistics/widening-participation-in-higher-education</v>
      </c>
      <c r="D162" s="1" t="s">
        <v>941</v>
      </c>
      <c r="E162" s="1" t="s">
        <v>780</v>
      </c>
      <c r="F162" s="1" t="s">
        <v>780</v>
      </c>
      <c r="G162" s="1" t="s">
        <v>780</v>
      </c>
      <c r="H162" s="1" t="s">
        <v>780</v>
      </c>
      <c r="I162" s="1" t="s">
        <v>780</v>
      </c>
      <c r="RF162" s="1" t="s">
        <v>780</v>
      </c>
      <c r="RH162" s="1" t="s">
        <v>780</v>
      </c>
      <c r="VI162" s="1" t="s">
        <v>780</v>
      </c>
      <c r="VL162" s="1" t="s">
        <v>780</v>
      </c>
      <c r="VO162" s="1" t="s">
        <v>780</v>
      </c>
      <c r="VP162" s="1" t="s">
        <v>780</v>
      </c>
      <c r="VQ162" s="1" t="s">
        <v>780</v>
      </c>
    </row>
    <row r="163" spans="1:617" ht="159.5" x14ac:dyDescent="0.35">
      <c r="A163" s="6" t="s">
        <v>545</v>
      </c>
      <c r="B163" s="14" t="s">
        <v>100</v>
      </c>
      <c r="C163" s="1" t="str" cm="1">
        <f t="array" ref="C163">GetURL(B163)</f>
        <v>https://explore-education-statistics.service.gov.uk/find-statistics/widening-participation-in-higher-education</v>
      </c>
      <c r="D163" s="1" t="s">
        <v>942</v>
      </c>
      <c r="E163" s="1" t="s">
        <v>780</v>
      </c>
      <c r="F163" s="1" t="s">
        <v>780</v>
      </c>
      <c r="G163" s="1" t="s">
        <v>780</v>
      </c>
      <c r="H163" s="1" t="s">
        <v>780</v>
      </c>
      <c r="I163" s="1" t="s">
        <v>780</v>
      </c>
      <c r="RH163" s="1">
        <f>IF(ISERROR(HLOOKUP(RH2,[1]school_type_gap!$A$1:$L$1,1,FALSE)),0,1)</f>
        <v>1</v>
      </c>
      <c r="VM163" s="1" t="s">
        <v>780</v>
      </c>
      <c r="VN163" s="1" t="s">
        <v>780</v>
      </c>
      <c r="VW163" s="1" t="s">
        <v>780</v>
      </c>
      <c r="VX163" s="1" t="s">
        <v>780</v>
      </c>
      <c r="VY163" s="1" t="s">
        <v>780</v>
      </c>
      <c r="VZ163" s="1" t="s">
        <v>780</v>
      </c>
    </row>
    <row r="164" spans="1:617" ht="159.5" x14ac:dyDescent="0.35">
      <c r="A164" s="6" t="s">
        <v>545</v>
      </c>
      <c r="B164" s="14" t="s">
        <v>100</v>
      </c>
      <c r="C164" s="1" t="str" cm="1">
        <f t="array" ref="C164">GetURL(B164)</f>
        <v>https://explore-education-statistics.service.gov.uk/find-statistics/widening-participation-in-higher-education</v>
      </c>
      <c r="D164" s="6" t="s">
        <v>943</v>
      </c>
      <c r="E164" s="1" t="s">
        <v>780</v>
      </c>
      <c r="F164" s="1" t="s">
        <v>780</v>
      </c>
      <c r="G164" s="1" t="s">
        <v>780</v>
      </c>
      <c r="H164" s="1" t="s">
        <v>780</v>
      </c>
      <c r="I164" s="1" t="s">
        <v>780</v>
      </c>
      <c r="J164" s="1" t="s">
        <v>780</v>
      </c>
      <c r="K164" s="1" t="s">
        <v>780</v>
      </c>
      <c r="L164" s="1" t="s">
        <v>780</v>
      </c>
      <c r="M164" s="1" t="s">
        <v>780</v>
      </c>
      <c r="N164" s="1" t="s">
        <v>780</v>
      </c>
      <c r="VI164" s="1" t="s">
        <v>780</v>
      </c>
      <c r="VL164" s="1" t="s">
        <v>780</v>
      </c>
      <c r="VO164" s="1" t="s">
        <v>780</v>
      </c>
      <c r="VP164" s="1" t="s">
        <v>780</v>
      </c>
      <c r="VQ164" s="1" t="s">
        <v>780</v>
      </c>
      <c r="WA164" s="1" t="s">
        <v>780</v>
      </c>
    </row>
    <row r="165" spans="1:617" ht="159.5" x14ac:dyDescent="0.35">
      <c r="A165" s="6" t="s">
        <v>545</v>
      </c>
      <c r="B165" s="14" t="s">
        <v>100</v>
      </c>
      <c r="C165" s="1" t="str" cm="1">
        <f t="array" ref="C165">GetURL(B165)</f>
        <v>https://explore-education-statistics.service.gov.uk/find-statistics/widening-participation-in-higher-education</v>
      </c>
      <c r="D165" s="6" t="s">
        <v>944</v>
      </c>
      <c r="E165" s="1" t="s">
        <v>780</v>
      </c>
      <c r="F165" s="1" t="s">
        <v>780</v>
      </c>
      <c r="G165" s="1" t="s">
        <v>780</v>
      </c>
      <c r="H165" s="1" t="s">
        <v>780</v>
      </c>
      <c r="I165" s="1" t="s">
        <v>780</v>
      </c>
      <c r="FI165" s="1" t="s">
        <v>780</v>
      </c>
      <c r="FJ165" s="1" t="s">
        <v>780</v>
      </c>
      <c r="WB165" s="1" t="s">
        <v>780</v>
      </c>
      <c r="WC165" s="1" t="s">
        <v>780</v>
      </c>
    </row>
    <row r="166" spans="1:617" ht="159.5" x14ac:dyDescent="0.35">
      <c r="A166" s="6" t="s">
        <v>545</v>
      </c>
      <c r="B166" s="14" t="s">
        <v>100</v>
      </c>
      <c r="C166" s="1" t="str" cm="1">
        <f t="array" ref="C166">GetURL(B166)</f>
        <v>https://explore-education-statistics.service.gov.uk/find-statistics/widening-participation-in-higher-education</v>
      </c>
      <c r="D166" s="6" t="s">
        <v>945</v>
      </c>
      <c r="E166" s="1" t="s">
        <v>780</v>
      </c>
      <c r="F166" s="1" t="s">
        <v>780</v>
      </c>
      <c r="G166" s="1" t="s">
        <v>780</v>
      </c>
      <c r="H166" s="1" t="s">
        <v>780</v>
      </c>
      <c r="I166" s="1" t="s">
        <v>780</v>
      </c>
      <c r="RF166" s="1" t="s">
        <v>780</v>
      </c>
      <c r="VI166" s="1" t="s">
        <v>780</v>
      </c>
      <c r="VO166" s="1" t="s">
        <v>780</v>
      </c>
      <c r="WD166" s="1" t="s">
        <v>780</v>
      </c>
      <c r="WE166" s="1" t="s">
        <v>780</v>
      </c>
    </row>
    <row r="167" spans="1:617" ht="38.5" x14ac:dyDescent="0.35">
      <c r="A167" s="6" t="s">
        <v>545</v>
      </c>
      <c r="B167" s="6" t="s">
        <v>61</v>
      </c>
      <c r="C167" s="1" cm="1">
        <f t="array" ref="C167">GetURL(B167)</f>
        <v>0</v>
      </c>
      <c r="D167" s="6" t="s">
        <v>946</v>
      </c>
      <c r="E167" s="1" t="s">
        <v>780</v>
      </c>
      <c r="F167" s="1" t="s">
        <v>780</v>
      </c>
      <c r="G167" s="1" t="s">
        <v>780</v>
      </c>
      <c r="H167" s="1" t="s">
        <v>780</v>
      </c>
      <c r="I167" s="1" t="s">
        <v>780</v>
      </c>
      <c r="WK167" s="1" t="s">
        <v>780</v>
      </c>
      <c r="WL167" s="1" t="s">
        <v>780</v>
      </c>
      <c r="WM167" s="1" t="s">
        <v>780</v>
      </c>
      <c r="WN167" s="1" t="s">
        <v>780</v>
      </c>
      <c r="WO167" s="1" t="s">
        <v>780</v>
      </c>
      <c r="WP167" s="1" t="s">
        <v>780</v>
      </c>
    </row>
    <row r="168" spans="1:617" ht="72.5" x14ac:dyDescent="0.35">
      <c r="A168" s="6" t="s">
        <v>545</v>
      </c>
      <c r="B168" s="1" t="s">
        <v>61</v>
      </c>
      <c r="C168" s="1" cm="1">
        <f t="array" ref="C168">GetURL(B168)</f>
        <v>0</v>
      </c>
      <c r="D168" s="1" t="s">
        <v>947</v>
      </c>
      <c r="E168" s="1" t="s">
        <v>780</v>
      </c>
      <c r="F168" s="1" t="s">
        <v>780</v>
      </c>
      <c r="G168" s="1" t="s">
        <v>780</v>
      </c>
      <c r="H168" s="1" t="s">
        <v>780</v>
      </c>
      <c r="I168" s="1" t="s">
        <v>780</v>
      </c>
      <c r="AK168" s="1" t="s">
        <v>780</v>
      </c>
      <c r="AT168" s="1" t="s">
        <v>780</v>
      </c>
      <c r="JS168" s="1" t="s">
        <v>780</v>
      </c>
      <c r="WF168" s="1" t="s">
        <v>780</v>
      </c>
      <c r="WG168" s="1" t="s">
        <v>780</v>
      </c>
      <c r="WH168" s="1" t="s">
        <v>780</v>
      </c>
    </row>
    <row r="169" spans="1:617" ht="51" x14ac:dyDescent="0.35">
      <c r="A169" s="6" t="s">
        <v>545</v>
      </c>
      <c r="B169" s="6" t="s">
        <v>61</v>
      </c>
      <c r="C169" s="1" cm="1">
        <f t="array" ref="C169">GetURL(B169)</f>
        <v>0</v>
      </c>
      <c r="D169" s="6" t="s">
        <v>948</v>
      </c>
      <c r="E169" s="1" t="s">
        <v>780</v>
      </c>
      <c r="F169" s="1" t="s">
        <v>780</v>
      </c>
      <c r="G169" s="1" t="s">
        <v>780</v>
      </c>
      <c r="H169" s="1" t="s">
        <v>780</v>
      </c>
      <c r="I169" s="1" t="s">
        <v>780</v>
      </c>
      <c r="AL169" s="1" t="s">
        <v>780</v>
      </c>
      <c r="BO169" s="1" t="s">
        <v>780</v>
      </c>
      <c r="WG169" s="1" t="s">
        <v>780</v>
      </c>
      <c r="WH169" s="1" t="s">
        <v>780</v>
      </c>
      <c r="WK169" s="1" t="s">
        <v>780</v>
      </c>
    </row>
    <row r="170" spans="1:617" ht="51" x14ac:dyDescent="0.35">
      <c r="A170" s="6" t="s">
        <v>545</v>
      </c>
      <c r="B170" s="6" t="s">
        <v>61</v>
      </c>
      <c r="C170" s="1" cm="1">
        <f t="array" ref="C170">GetURL(B170)</f>
        <v>0</v>
      </c>
      <c r="D170" s="6" t="s">
        <v>949</v>
      </c>
      <c r="E170" s="1" t="s">
        <v>780</v>
      </c>
      <c r="F170" s="1" t="s">
        <v>780</v>
      </c>
      <c r="G170" s="1" t="s">
        <v>780</v>
      </c>
      <c r="H170" s="1" t="s">
        <v>780</v>
      </c>
      <c r="I170" s="1" t="s">
        <v>780</v>
      </c>
      <c r="AK170" s="1" t="s">
        <v>780</v>
      </c>
      <c r="BQ170" s="1" t="s">
        <v>780</v>
      </c>
      <c r="WF170" s="1" t="s">
        <v>780</v>
      </c>
      <c r="WG170" s="1" t="s">
        <v>780</v>
      </c>
      <c r="WH170" s="1" t="s">
        <v>780</v>
      </c>
    </row>
    <row r="171" spans="1:617" ht="63.5" x14ac:dyDescent="0.35">
      <c r="A171" s="6" t="s">
        <v>545</v>
      </c>
      <c r="B171" s="6" t="s">
        <v>61</v>
      </c>
      <c r="C171" s="1" cm="1">
        <f t="array" ref="C171">GetURL(B171)</f>
        <v>0</v>
      </c>
      <c r="D171" s="6" t="s">
        <v>950</v>
      </c>
      <c r="E171" s="1" t="s">
        <v>780</v>
      </c>
      <c r="F171" s="1" t="s">
        <v>780</v>
      </c>
      <c r="G171" s="1" t="s">
        <v>780</v>
      </c>
      <c r="H171" s="1" t="s">
        <v>780</v>
      </c>
      <c r="I171" s="1" t="s">
        <v>780</v>
      </c>
      <c r="AK171" s="1" t="s">
        <v>780</v>
      </c>
      <c r="WF171" s="1" t="s">
        <v>780</v>
      </c>
      <c r="WG171" s="1" t="s">
        <v>780</v>
      </c>
      <c r="WH171" s="1" t="s">
        <v>780</v>
      </c>
      <c r="WQ171" s="1" t="s">
        <v>780</v>
      </c>
    </row>
    <row r="172" spans="1:617" ht="51" x14ac:dyDescent="0.35">
      <c r="A172" s="6" t="s">
        <v>545</v>
      </c>
      <c r="B172" s="6" t="s">
        <v>61</v>
      </c>
      <c r="C172" s="1" cm="1">
        <f t="array" ref="C172">GetURL(B172)</f>
        <v>0</v>
      </c>
      <c r="D172" s="6" t="s">
        <v>951</v>
      </c>
      <c r="E172" s="1" t="s">
        <v>780</v>
      </c>
      <c r="F172" s="1" t="s">
        <v>780</v>
      </c>
      <c r="G172" s="1" t="s">
        <v>780</v>
      </c>
      <c r="H172" s="1" t="s">
        <v>780</v>
      </c>
      <c r="I172" s="1" t="s">
        <v>780</v>
      </c>
      <c r="AK172" s="1" t="s">
        <v>780</v>
      </c>
      <c r="JS172" s="1" t="s">
        <v>780</v>
      </c>
      <c r="WF172" s="1" t="s">
        <v>780</v>
      </c>
      <c r="WG172" s="1" t="s">
        <v>780</v>
      </c>
      <c r="WH172" s="1" t="s">
        <v>780</v>
      </c>
    </row>
    <row r="173" spans="1:617" ht="63.5" x14ac:dyDescent="0.35">
      <c r="A173" s="6" t="s">
        <v>545</v>
      </c>
      <c r="B173" s="6" t="s">
        <v>61</v>
      </c>
      <c r="C173" s="1" cm="1">
        <f t="array" ref="C173">GetURL(B173)</f>
        <v>0</v>
      </c>
      <c r="D173" s="6" t="s">
        <v>952</v>
      </c>
      <c r="E173" s="1" t="s">
        <v>780</v>
      </c>
      <c r="F173" s="1" t="s">
        <v>780</v>
      </c>
      <c r="G173" s="1" t="s">
        <v>780</v>
      </c>
      <c r="H173" s="1" t="s">
        <v>780</v>
      </c>
      <c r="I173" s="1" t="s">
        <v>780</v>
      </c>
      <c r="AK173" s="1" t="s">
        <v>780</v>
      </c>
      <c r="JS173" s="1" t="s">
        <v>780</v>
      </c>
      <c r="WF173" s="1" t="s">
        <v>780</v>
      </c>
      <c r="WG173" s="1" t="s">
        <v>780</v>
      </c>
      <c r="WH173" s="1" t="s">
        <v>780</v>
      </c>
      <c r="WR173" s="1" t="s">
        <v>780</v>
      </c>
    </row>
    <row r="174" spans="1:617" ht="63.5" x14ac:dyDescent="0.35">
      <c r="A174" s="6" t="s">
        <v>545</v>
      </c>
      <c r="B174" s="6" t="s">
        <v>61</v>
      </c>
      <c r="C174" s="1" cm="1">
        <f t="array" ref="C174">GetURL(B174)</f>
        <v>0</v>
      </c>
      <c r="D174" s="6" t="s">
        <v>953</v>
      </c>
      <c r="E174" s="1" t="s">
        <v>780</v>
      </c>
      <c r="F174" s="1" t="s">
        <v>780</v>
      </c>
      <c r="G174" s="1" t="s">
        <v>780</v>
      </c>
      <c r="H174" s="1" t="s">
        <v>780</v>
      </c>
      <c r="I174" s="1" t="s">
        <v>780</v>
      </c>
      <c r="AK174" s="1" t="s">
        <v>780</v>
      </c>
      <c r="WF174" s="1" t="s">
        <v>780</v>
      </c>
      <c r="WG174" s="1" t="s">
        <v>780</v>
      </c>
      <c r="WH174" s="1" t="s">
        <v>780</v>
      </c>
      <c r="WS174" s="1" t="s">
        <v>780</v>
      </c>
    </row>
    <row r="175" spans="1:617" ht="51" x14ac:dyDescent="0.35">
      <c r="A175" s="6" t="s">
        <v>545</v>
      </c>
      <c r="B175" s="6" t="s">
        <v>61</v>
      </c>
      <c r="C175" s="1" cm="1">
        <f t="array" ref="C175">GetURL(B175)</f>
        <v>0</v>
      </c>
      <c r="D175" s="6" t="s">
        <v>954</v>
      </c>
      <c r="E175" s="1" t="s">
        <v>780</v>
      </c>
      <c r="F175" s="1" t="s">
        <v>780</v>
      </c>
      <c r="G175" s="1" t="s">
        <v>780</v>
      </c>
      <c r="H175" s="1" t="s">
        <v>780</v>
      </c>
      <c r="I175" s="1" t="s">
        <v>780</v>
      </c>
      <c r="J175" s="1" t="s">
        <v>780</v>
      </c>
      <c r="K175" s="1" t="s">
        <v>780</v>
      </c>
      <c r="AK175" s="1" t="s">
        <v>780</v>
      </c>
      <c r="WF175" s="1" t="s">
        <v>780</v>
      </c>
      <c r="WG175" s="1" t="s">
        <v>780</v>
      </c>
      <c r="WH175" s="1" t="s">
        <v>780</v>
      </c>
    </row>
    <row r="176" spans="1:617" ht="38.5" x14ac:dyDescent="0.35">
      <c r="A176" s="6" t="s">
        <v>545</v>
      </c>
      <c r="B176" s="6" t="s">
        <v>61</v>
      </c>
      <c r="C176" s="1" cm="1">
        <f t="array" ref="C176">GetURL(B176)</f>
        <v>0</v>
      </c>
      <c r="D176" s="6" t="s">
        <v>955</v>
      </c>
      <c r="E176" s="1" t="s">
        <v>780</v>
      </c>
      <c r="F176" s="1" t="s">
        <v>780</v>
      </c>
      <c r="G176" s="1" t="s">
        <v>780</v>
      </c>
      <c r="H176" s="1" t="s">
        <v>780</v>
      </c>
      <c r="I176" s="1" t="s">
        <v>780</v>
      </c>
      <c r="AK176" s="1" t="s">
        <v>780</v>
      </c>
      <c r="AY176" s="1" t="s">
        <v>780</v>
      </c>
      <c r="WF176" s="1" t="s">
        <v>780</v>
      </c>
      <c r="WG176" s="1" t="s">
        <v>780</v>
      </c>
      <c r="WH176" s="1" t="s">
        <v>780</v>
      </c>
    </row>
    <row r="177" spans="1:620" ht="76" x14ac:dyDescent="0.35">
      <c r="A177" s="6" t="s">
        <v>545</v>
      </c>
      <c r="B177" s="6" t="s">
        <v>61</v>
      </c>
      <c r="C177" s="1" cm="1">
        <f t="array" ref="C177">GetURL(B177)</f>
        <v>0</v>
      </c>
      <c r="D177" s="6" t="s">
        <v>956</v>
      </c>
      <c r="E177" s="1" t="s">
        <v>780</v>
      </c>
      <c r="F177" s="1" t="s">
        <v>780</v>
      </c>
      <c r="G177" s="1" t="s">
        <v>780</v>
      </c>
      <c r="H177" s="1" t="s">
        <v>780</v>
      </c>
      <c r="I177" s="1" t="s">
        <v>780</v>
      </c>
      <c r="AK177" s="1" t="s">
        <v>780</v>
      </c>
      <c r="WF177" s="1" t="s">
        <v>780</v>
      </c>
      <c r="WG177" s="1" t="s">
        <v>780</v>
      </c>
      <c r="WH177" s="1" t="s">
        <v>780</v>
      </c>
      <c r="WT177" s="1" t="s">
        <v>780</v>
      </c>
    </row>
    <row r="178" spans="1:620" ht="76" x14ac:dyDescent="0.35">
      <c r="A178" s="6" t="s">
        <v>545</v>
      </c>
      <c r="B178" s="6" t="s">
        <v>61</v>
      </c>
      <c r="C178" s="1" cm="1">
        <f t="array" ref="C178">GetURL(B178)</f>
        <v>0</v>
      </c>
      <c r="D178" s="6" t="s">
        <v>957</v>
      </c>
      <c r="E178" s="1" t="s">
        <v>780</v>
      </c>
      <c r="F178" s="1" t="s">
        <v>780</v>
      </c>
      <c r="G178" s="1" t="s">
        <v>780</v>
      </c>
      <c r="H178" s="1" t="s">
        <v>780</v>
      </c>
      <c r="I178" s="1" t="s">
        <v>780</v>
      </c>
      <c r="AK178" s="1" t="s">
        <v>780</v>
      </c>
      <c r="WF178" s="1" t="s">
        <v>780</v>
      </c>
      <c r="WG178" s="1" t="s">
        <v>780</v>
      </c>
      <c r="WH178" s="1" t="s">
        <v>780</v>
      </c>
      <c r="WU178" s="1" t="s">
        <v>780</v>
      </c>
    </row>
    <row r="179" spans="1:620" ht="101" x14ac:dyDescent="0.35">
      <c r="A179" s="6" t="s">
        <v>545</v>
      </c>
      <c r="B179" s="6" t="s">
        <v>61</v>
      </c>
      <c r="C179" s="1" cm="1">
        <f t="array" ref="C179">GetURL(B179)</f>
        <v>0</v>
      </c>
      <c r="D179" s="6" t="s">
        <v>958</v>
      </c>
      <c r="E179" s="1" t="s">
        <v>780</v>
      </c>
      <c r="F179" s="1" t="s">
        <v>780</v>
      </c>
      <c r="G179" s="1" t="s">
        <v>780</v>
      </c>
      <c r="H179" s="1" t="s">
        <v>780</v>
      </c>
      <c r="I179" s="1" t="s">
        <v>780</v>
      </c>
      <c r="AK179" s="1" t="s">
        <v>780</v>
      </c>
      <c r="WF179" s="1" t="s">
        <v>780</v>
      </c>
      <c r="WG179" s="1" t="s">
        <v>780</v>
      </c>
      <c r="WH179" s="1" t="s">
        <v>780</v>
      </c>
      <c r="WV179" s="1" t="s">
        <v>780</v>
      </c>
    </row>
    <row r="180" spans="1:620" ht="63.5" x14ac:dyDescent="0.35">
      <c r="A180" s="6" t="s">
        <v>545</v>
      </c>
      <c r="B180" s="6" t="s">
        <v>61</v>
      </c>
      <c r="C180" s="1" cm="1">
        <f t="array" ref="C180">GetURL(B180)</f>
        <v>0</v>
      </c>
      <c r="D180" s="6" t="s">
        <v>959</v>
      </c>
      <c r="E180" s="1" t="s">
        <v>780</v>
      </c>
      <c r="F180" s="1" t="s">
        <v>780</v>
      </c>
      <c r="G180" s="1" t="s">
        <v>780</v>
      </c>
      <c r="H180" s="1" t="s">
        <v>780</v>
      </c>
      <c r="I180" s="1" t="s">
        <v>780</v>
      </c>
      <c r="AK180" s="1" t="s">
        <v>780</v>
      </c>
      <c r="OU180" s="1" t="s">
        <v>780</v>
      </c>
      <c r="WF180" s="1" t="s">
        <v>780</v>
      </c>
      <c r="WH180" s="1" t="s">
        <v>780</v>
      </c>
    </row>
    <row r="181" spans="1:620" ht="63.5" x14ac:dyDescent="0.35">
      <c r="A181" s="6" t="s">
        <v>545</v>
      </c>
      <c r="B181" s="6" t="s">
        <v>61</v>
      </c>
      <c r="C181" s="1" cm="1">
        <f t="array" ref="C181">GetURL(B181)</f>
        <v>0</v>
      </c>
      <c r="D181" s="6" t="s">
        <v>960</v>
      </c>
      <c r="E181" s="1" t="s">
        <v>780</v>
      </c>
      <c r="F181" s="1" t="s">
        <v>780</v>
      </c>
      <c r="G181" s="1" t="s">
        <v>780</v>
      </c>
      <c r="H181" s="1" t="s">
        <v>780</v>
      </c>
      <c r="I181" s="1" t="s">
        <v>780</v>
      </c>
      <c r="AK181" s="1" t="s">
        <v>780</v>
      </c>
      <c r="AT181" s="1" t="s">
        <v>780</v>
      </c>
      <c r="EF181" s="1" t="s">
        <v>780</v>
      </c>
      <c r="JS181" s="1" t="s">
        <v>780</v>
      </c>
      <c r="RV181" s="1" t="s">
        <v>780</v>
      </c>
      <c r="WG181" s="1" t="s">
        <v>780</v>
      </c>
      <c r="WI181" s="1" t="s">
        <v>780</v>
      </c>
      <c r="WJ181" s="1" t="s">
        <v>780</v>
      </c>
    </row>
    <row r="182" spans="1:620" ht="63.5" x14ac:dyDescent="0.35">
      <c r="A182" s="6" t="s">
        <v>545</v>
      </c>
      <c r="B182" s="6" t="s">
        <v>61</v>
      </c>
      <c r="C182" s="1" cm="1">
        <f t="array" ref="C182">GetURL(B182)</f>
        <v>0</v>
      </c>
      <c r="D182" s="6" t="s">
        <v>961</v>
      </c>
      <c r="E182" s="1" t="s">
        <v>780</v>
      </c>
      <c r="F182" s="1" t="s">
        <v>780</v>
      </c>
      <c r="G182" s="1" t="s">
        <v>780</v>
      </c>
      <c r="H182" s="1" t="s">
        <v>780</v>
      </c>
      <c r="I182" s="1" t="s">
        <v>780</v>
      </c>
      <c r="AK182" s="1" t="s">
        <v>780</v>
      </c>
      <c r="BN182" s="1" t="s">
        <v>780</v>
      </c>
      <c r="EF182" s="1" t="s">
        <v>780</v>
      </c>
      <c r="RV182" s="1" t="s">
        <v>780</v>
      </c>
      <c r="WG182" s="1" t="s">
        <v>780</v>
      </c>
      <c r="WI182" s="1" t="s">
        <v>780</v>
      </c>
      <c r="WJ182" s="1" t="s">
        <v>780</v>
      </c>
    </row>
    <row r="183" spans="1:620" ht="63.5" x14ac:dyDescent="0.35">
      <c r="A183" s="6" t="s">
        <v>545</v>
      </c>
      <c r="B183" s="6" t="s">
        <v>61</v>
      </c>
      <c r="C183" s="1" cm="1">
        <f t="array" ref="C183">GetURL(B183)</f>
        <v>0</v>
      </c>
      <c r="D183" s="6" t="s">
        <v>962</v>
      </c>
      <c r="E183" s="1" t="s">
        <v>780</v>
      </c>
      <c r="F183" s="1" t="s">
        <v>780</v>
      </c>
      <c r="G183" s="1" t="s">
        <v>780</v>
      </c>
      <c r="H183" s="1" t="s">
        <v>780</v>
      </c>
      <c r="I183" s="1" t="s">
        <v>780</v>
      </c>
      <c r="AK183" s="1" t="s">
        <v>780</v>
      </c>
      <c r="EF183" s="1" t="s">
        <v>780</v>
      </c>
      <c r="GW183" s="1" t="s">
        <v>780</v>
      </c>
      <c r="RV183" s="1" t="s">
        <v>780</v>
      </c>
      <c r="WG183" s="1" t="s">
        <v>780</v>
      </c>
      <c r="WI183" s="1" t="s">
        <v>780</v>
      </c>
      <c r="WJ183" s="1" t="s">
        <v>780</v>
      </c>
    </row>
    <row r="184" spans="1:620" ht="63.5" x14ac:dyDescent="0.35">
      <c r="A184" s="6" t="s">
        <v>545</v>
      </c>
      <c r="B184" s="6" t="s">
        <v>61</v>
      </c>
      <c r="C184" s="1" cm="1">
        <f t="array" ref="C184">GetURL(B184)</f>
        <v>0</v>
      </c>
      <c r="D184" s="6" t="s">
        <v>963</v>
      </c>
      <c r="E184" s="1" t="s">
        <v>780</v>
      </c>
      <c r="F184" s="1" t="s">
        <v>780</v>
      </c>
      <c r="G184" s="1" t="s">
        <v>780</v>
      </c>
      <c r="H184" s="1" t="s">
        <v>780</v>
      </c>
      <c r="I184" s="1" t="s">
        <v>780</v>
      </c>
      <c r="AK184" s="1" t="s">
        <v>780</v>
      </c>
      <c r="BQ184" s="1" t="s">
        <v>780</v>
      </c>
      <c r="EF184" s="1" t="s">
        <v>780</v>
      </c>
      <c r="RV184" s="1" t="s">
        <v>780</v>
      </c>
      <c r="WG184" s="1" t="s">
        <v>780</v>
      </c>
      <c r="WI184" s="1" t="s">
        <v>780</v>
      </c>
      <c r="WJ184" s="1" t="s">
        <v>780</v>
      </c>
    </row>
    <row r="185" spans="1:620" ht="76" x14ac:dyDescent="0.35">
      <c r="A185" s="6" t="s">
        <v>545</v>
      </c>
      <c r="B185" s="6" t="s">
        <v>61</v>
      </c>
      <c r="C185" s="1" cm="1">
        <f t="array" ref="C185">GetURL(B185)</f>
        <v>0</v>
      </c>
      <c r="D185" s="6" t="s">
        <v>964</v>
      </c>
      <c r="E185" s="1" t="s">
        <v>780</v>
      </c>
      <c r="F185" s="1" t="s">
        <v>780</v>
      </c>
      <c r="G185" s="1" t="s">
        <v>780</v>
      </c>
      <c r="H185" s="1" t="s">
        <v>780</v>
      </c>
      <c r="I185" s="1" t="s">
        <v>780</v>
      </c>
      <c r="AK185" s="1" t="s">
        <v>780</v>
      </c>
      <c r="EF185" s="1" t="s">
        <v>780</v>
      </c>
      <c r="RV185" s="1" t="s">
        <v>780</v>
      </c>
      <c r="WG185" s="1" t="s">
        <v>780</v>
      </c>
      <c r="WI185" s="1" t="s">
        <v>780</v>
      </c>
      <c r="WJ185" s="1" t="s">
        <v>780</v>
      </c>
      <c r="WQ185" s="1" t="s">
        <v>780</v>
      </c>
    </row>
    <row r="186" spans="1:620" ht="63.5" x14ac:dyDescent="0.35">
      <c r="A186" s="6" t="s">
        <v>545</v>
      </c>
      <c r="B186" s="6" t="s">
        <v>61</v>
      </c>
      <c r="C186" s="1" cm="1">
        <f t="array" ref="C186">GetURL(B186)</f>
        <v>0</v>
      </c>
      <c r="D186" s="6" t="s">
        <v>965</v>
      </c>
      <c r="E186" s="1" t="s">
        <v>780</v>
      </c>
      <c r="F186" s="1" t="s">
        <v>780</v>
      </c>
      <c r="G186" s="1" t="s">
        <v>780</v>
      </c>
      <c r="H186" s="1" t="s">
        <v>780</v>
      </c>
      <c r="I186" s="1" t="s">
        <v>780</v>
      </c>
      <c r="AK186" s="1" t="s">
        <v>780</v>
      </c>
      <c r="EF186" s="1" t="s">
        <v>780</v>
      </c>
      <c r="JS186" s="1" t="s">
        <v>780</v>
      </c>
      <c r="RV186" s="1" t="s">
        <v>780</v>
      </c>
      <c r="WG186" s="1" t="s">
        <v>780</v>
      </c>
      <c r="WI186" s="1" t="s">
        <v>780</v>
      </c>
      <c r="WJ186" s="1" t="s">
        <v>780</v>
      </c>
    </row>
    <row r="187" spans="1:620" ht="76" x14ac:dyDescent="0.35">
      <c r="A187" s="6" t="s">
        <v>545</v>
      </c>
      <c r="B187" s="6" t="s">
        <v>61</v>
      </c>
      <c r="C187" s="1" cm="1">
        <f t="array" ref="C187">GetURL(B187)</f>
        <v>0</v>
      </c>
      <c r="D187" s="6" t="s">
        <v>966</v>
      </c>
      <c r="E187" s="1" t="s">
        <v>780</v>
      </c>
      <c r="F187" s="1" t="s">
        <v>780</v>
      </c>
      <c r="G187" s="1" t="s">
        <v>780</v>
      </c>
      <c r="H187" s="1" t="s">
        <v>780</v>
      </c>
      <c r="I187" s="1" t="s">
        <v>780</v>
      </c>
      <c r="AK187" s="1" t="s">
        <v>780</v>
      </c>
      <c r="EF187" s="1" t="s">
        <v>780</v>
      </c>
      <c r="JS187" s="1" t="s">
        <v>780</v>
      </c>
      <c r="RV187" s="1" t="s">
        <v>780</v>
      </c>
      <c r="WG187" s="1" t="s">
        <v>780</v>
      </c>
      <c r="WI187" s="1" t="s">
        <v>780</v>
      </c>
      <c r="WJ187" s="1" t="s">
        <v>780</v>
      </c>
      <c r="WR187" s="1" t="s">
        <v>780</v>
      </c>
    </row>
    <row r="188" spans="1:620" ht="51" x14ac:dyDescent="0.35">
      <c r="A188" s="6" t="s">
        <v>545</v>
      </c>
      <c r="B188" s="6" t="s">
        <v>61</v>
      </c>
      <c r="C188" s="1" cm="1">
        <f t="array" ref="C188">GetURL(B188)</f>
        <v>0</v>
      </c>
      <c r="D188" s="6" t="s">
        <v>967</v>
      </c>
      <c r="E188" s="1" t="s">
        <v>780</v>
      </c>
      <c r="F188" s="1" t="s">
        <v>780</v>
      </c>
      <c r="G188" s="1" t="s">
        <v>780</v>
      </c>
      <c r="H188" s="1" t="s">
        <v>780</v>
      </c>
      <c r="I188" s="1" t="s">
        <v>780</v>
      </c>
      <c r="AK188" s="1" t="s">
        <v>780</v>
      </c>
      <c r="EF188" s="1" t="s">
        <v>780</v>
      </c>
      <c r="RV188" s="1" t="s">
        <v>780</v>
      </c>
      <c r="WG188" s="1" t="s">
        <v>780</v>
      </c>
      <c r="WI188" s="1" t="s">
        <v>780</v>
      </c>
      <c r="WJ188" s="1" t="s">
        <v>780</v>
      </c>
      <c r="WS188" s="1" t="s">
        <v>780</v>
      </c>
    </row>
    <row r="189" spans="1:620" ht="63.5" x14ac:dyDescent="0.35">
      <c r="A189" s="6" t="s">
        <v>545</v>
      </c>
      <c r="B189" s="6" t="s">
        <v>61</v>
      </c>
      <c r="C189" s="1" cm="1">
        <f t="array" ref="C189">GetURL(B189)</f>
        <v>0</v>
      </c>
      <c r="D189" s="6" t="s">
        <v>968</v>
      </c>
      <c r="E189" s="1" t="s">
        <v>780</v>
      </c>
      <c r="F189" s="1" t="s">
        <v>780</v>
      </c>
      <c r="G189" s="1" t="s">
        <v>780</v>
      </c>
      <c r="H189" s="1" t="s">
        <v>780</v>
      </c>
      <c r="I189" s="1" t="s">
        <v>780</v>
      </c>
      <c r="AK189" s="1" t="s">
        <v>780</v>
      </c>
      <c r="EF189" s="1" t="s">
        <v>780</v>
      </c>
      <c r="GY189" s="1" t="s">
        <v>780</v>
      </c>
      <c r="RV189" s="1" t="s">
        <v>780</v>
      </c>
      <c r="WG189" s="1" t="s">
        <v>780</v>
      </c>
      <c r="WI189" s="1" t="s">
        <v>780</v>
      </c>
      <c r="WJ189" s="1" t="s">
        <v>780</v>
      </c>
    </row>
    <row r="190" spans="1:620" ht="63.5" x14ac:dyDescent="0.35">
      <c r="A190" s="6" t="s">
        <v>545</v>
      </c>
      <c r="B190" s="6" t="s">
        <v>61</v>
      </c>
      <c r="C190" s="1" cm="1">
        <f t="array" ref="C190">GetURL(B190)</f>
        <v>0</v>
      </c>
      <c r="D190" s="6" t="s">
        <v>969</v>
      </c>
      <c r="E190" s="1" t="s">
        <v>780</v>
      </c>
      <c r="F190" s="1" t="s">
        <v>780</v>
      </c>
      <c r="G190" s="1" t="s">
        <v>780</v>
      </c>
      <c r="H190" s="1" t="s">
        <v>780</v>
      </c>
      <c r="I190" s="1" t="s">
        <v>780</v>
      </c>
      <c r="J190" s="1" t="s">
        <v>780</v>
      </c>
      <c r="K190" s="1" t="s">
        <v>780</v>
      </c>
      <c r="AK190" s="1" t="s">
        <v>780</v>
      </c>
      <c r="EF190" s="1" t="s">
        <v>780</v>
      </c>
      <c r="RV190" s="1" t="s">
        <v>780</v>
      </c>
      <c r="WG190" s="1" t="s">
        <v>780</v>
      </c>
      <c r="WI190" s="1" t="s">
        <v>780</v>
      </c>
      <c r="WJ190" s="1" t="s">
        <v>780</v>
      </c>
    </row>
    <row r="191" spans="1:620" ht="51" x14ac:dyDescent="0.35">
      <c r="A191" s="6" t="s">
        <v>545</v>
      </c>
      <c r="B191" s="6" t="s">
        <v>61</v>
      </c>
      <c r="C191" s="1" cm="1">
        <f t="array" ref="C191">GetURL(B191)</f>
        <v>0</v>
      </c>
      <c r="D191" s="6" t="s">
        <v>970</v>
      </c>
      <c r="E191" s="1" t="s">
        <v>780</v>
      </c>
      <c r="F191" s="1" t="s">
        <v>780</v>
      </c>
      <c r="G191" s="1" t="s">
        <v>780</v>
      </c>
      <c r="H191" s="1" t="s">
        <v>780</v>
      </c>
      <c r="I191" s="1" t="s">
        <v>780</v>
      </c>
      <c r="AK191" s="1" t="s">
        <v>780</v>
      </c>
      <c r="AY191" s="1" t="s">
        <v>780</v>
      </c>
      <c r="EF191" s="1" t="s">
        <v>780</v>
      </c>
      <c r="RV191" s="1" t="s">
        <v>780</v>
      </c>
      <c r="WG191" s="1" t="s">
        <v>780</v>
      </c>
      <c r="WI191" s="1" t="s">
        <v>780</v>
      </c>
      <c r="WJ191" s="1" t="s">
        <v>780</v>
      </c>
    </row>
    <row r="192" spans="1:620" ht="76" x14ac:dyDescent="0.35">
      <c r="A192" s="6" t="s">
        <v>545</v>
      </c>
      <c r="B192" s="6" t="s">
        <v>61</v>
      </c>
      <c r="C192" s="1" cm="1">
        <f t="array" ref="C192">GetURL(B192)</f>
        <v>0</v>
      </c>
      <c r="D192" s="6" t="s">
        <v>971</v>
      </c>
      <c r="E192" s="1" t="s">
        <v>780</v>
      </c>
      <c r="F192" s="1" t="s">
        <v>780</v>
      </c>
      <c r="G192" s="1" t="s">
        <v>780</v>
      </c>
      <c r="H192" s="1" t="s">
        <v>780</v>
      </c>
      <c r="I192" s="1" t="s">
        <v>780</v>
      </c>
      <c r="AK192" s="1" t="s">
        <v>780</v>
      </c>
      <c r="EF192" s="1" t="s">
        <v>780</v>
      </c>
      <c r="RV192" s="1" t="s">
        <v>780</v>
      </c>
      <c r="WG192" s="1" t="s">
        <v>780</v>
      </c>
      <c r="WI192" s="1" t="s">
        <v>780</v>
      </c>
      <c r="WJ192" s="1" t="s">
        <v>780</v>
      </c>
      <c r="WT192" s="1" t="s">
        <v>780</v>
      </c>
    </row>
    <row r="193" spans="1:691" ht="76" x14ac:dyDescent="0.35">
      <c r="A193" s="6" t="s">
        <v>545</v>
      </c>
      <c r="B193" s="6" t="s">
        <v>61</v>
      </c>
      <c r="C193" s="1" cm="1">
        <f t="array" ref="C193">GetURL(B193)</f>
        <v>0</v>
      </c>
      <c r="D193" s="6" t="s">
        <v>972</v>
      </c>
      <c r="E193" s="1" t="s">
        <v>780</v>
      </c>
      <c r="F193" s="1" t="s">
        <v>780</v>
      </c>
      <c r="G193" s="1" t="s">
        <v>780</v>
      </c>
      <c r="H193" s="1" t="s">
        <v>780</v>
      </c>
      <c r="I193" s="1" t="s">
        <v>780</v>
      </c>
      <c r="AK193" s="1" t="s">
        <v>780</v>
      </c>
      <c r="EF193" s="1" t="s">
        <v>780</v>
      </c>
      <c r="RV193" s="1" t="s">
        <v>780</v>
      </c>
      <c r="WG193" s="1" t="s">
        <v>780</v>
      </c>
      <c r="WI193" s="1" t="s">
        <v>780</v>
      </c>
      <c r="WJ193" s="1" t="s">
        <v>780</v>
      </c>
      <c r="WU193" s="1" t="s">
        <v>780</v>
      </c>
    </row>
    <row r="194" spans="1:691" ht="101" x14ac:dyDescent="0.35">
      <c r="A194" s="6" t="s">
        <v>545</v>
      </c>
      <c r="B194" s="6" t="s">
        <v>61</v>
      </c>
      <c r="C194" s="1" cm="1">
        <f t="array" ref="C194">GetURL(B194)</f>
        <v>0</v>
      </c>
      <c r="D194" s="6" t="s">
        <v>973</v>
      </c>
      <c r="E194" s="1" t="s">
        <v>780</v>
      </c>
      <c r="F194" s="1" t="s">
        <v>780</v>
      </c>
      <c r="G194" s="1" t="s">
        <v>780</v>
      </c>
      <c r="H194" s="1" t="s">
        <v>780</v>
      </c>
      <c r="I194" s="1" t="s">
        <v>780</v>
      </c>
      <c r="AK194" s="1" t="s">
        <v>780</v>
      </c>
      <c r="EF194" s="1" t="s">
        <v>780</v>
      </c>
      <c r="RV194" s="1" t="s">
        <v>780</v>
      </c>
      <c r="WG194" s="1" t="s">
        <v>780</v>
      </c>
      <c r="WI194" s="1" t="s">
        <v>780</v>
      </c>
      <c r="WJ194" s="1" t="s">
        <v>780</v>
      </c>
      <c r="WV194" s="1" t="s">
        <v>780</v>
      </c>
    </row>
    <row r="195" spans="1:691" ht="51" x14ac:dyDescent="0.35">
      <c r="A195" s="6" t="s">
        <v>545</v>
      </c>
      <c r="B195" s="6" t="s">
        <v>61</v>
      </c>
      <c r="C195" s="1" cm="1">
        <f t="array" ref="C195">GetURL(B195)</f>
        <v>0</v>
      </c>
      <c r="D195" s="6" t="s">
        <v>974</v>
      </c>
      <c r="E195" s="1" t="s">
        <v>780</v>
      </c>
      <c r="F195" s="1" t="s">
        <v>780</v>
      </c>
      <c r="G195" s="1" t="s">
        <v>780</v>
      </c>
      <c r="H195" s="1" t="s">
        <v>780</v>
      </c>
      <c r="I195" s="1" t="s">
        <v>780</v>
      </c>
      <c r="AK195" s="1" t="s">
        <v>780</v>
      </c>
      <c r="EF195" s="1" t="s">
        <v>780</v>
      </c>
      <c r="OU195" s="1" t="s">
        <v>780</v>
      </c>
      <c r="RV195" s="1" t="s">
        <v>780</v>
      </c>
      <c r="WI195" s="1" t="s">
        <v>780</v>
      </c>
      <c r="WJ195" s="1" t="s">
        <v>780</v>
      </c>
    </row>
    <row r="196" spans="1:691" ht="51" x14ac:dyDescent="0.35">
      <c r="A196" s="6" t="s">
        <v>545</v>
      </c>
      <c r="B196" s="6" t="s">
        <v>975</v>
      </c>
      <c r="C196" s="1" cm="1">
        <f t="array" ref="C196">GetURL(B196)</f>
        <v>0</v>
      </c>
      <c r="D196" s="6" t="s">
        <v>976</v>
      </c>
      <c r="E196" s="1" t="s">
        <v>780</v>
      </c>
      <c r="F196" s="1" t="s">
        <v>780</v>
      </c>
      <c r="G196" s="1" t="s">
        <v>780</v>
      </c>
      <c r="H196" s="1" t="s">
        <v>780</v>
      </c>
      <c r="I196" s="1" t="s">
        <v>780</v>
      </c>
      <c r="BN196" s="1" t="s">
        <v>780</v>
      </c>
      <c r="WZ196" s="1" t="s">
        <v>780</v>
      </c>
      <c r="XE196" s="1" t="s">
        <v>780</v>
      </c>
      <c r="XF196" s="1" t="s">
        <v>780</v>
      </c>
      <c r="XG196" s="1" t="s">
        <v>780</v>
      </c>
      <c r="XH196" s="1" t="s">
        <v>780</v>
      </c>
    </row>
    <row r="197" spans="1:691" ht="51" x14ac:dyDescent="0.35">
      <c r="A197" s="6" t="s">
        <v>545</v>
      </c>
      <c r="B197" s="6" t="s">
        <v>975</v>
      </c>
      <c r="C197" s="1" cm="1">
        <f t="array" ref="C197">GetURL(B197)</f>
        <v>0</v>
      </c>
      <c r="D197" s="6" t="s">
        <v>977</v>
      </c>
      <c r="E197" s="1" t="s">
        <v>780</v>
      </c>
      <c r="F197" s="1" t="s">
        <v>780</v>
      </c>
      <c r="G197" s="1" t="s">
        <v>780</v>
      </c>
      <c r="H197" s="1" t="s">
        <v>780</v>
      </c>
      <c r="I197" s="1" t="s">
        <v>780</v>
      </c>
      <c r="BQ197" s="1" t="s">
        <v>780</v>
      </c>
      <c r="WZ197" s="1" t="s">
        <v>780</v>
      </c>
      <c r="XE197" s="1" t="s">
        <v>780</v>
      </c>
      <c r="XF197" s="1" t="s">
        <v>780</v>
      </c>
      <c r="XG197" s="1" t="s">
        <v>780</v>
      </c>
      <c r="XH197" s="1" t="s">
        <v>780</v>
      </c>
    </row>
    <row r="198" spans="1:691" ht="51" x14ac:dyDescent="0.35">
      <c r="A198" s="6" t="s">
        <v>545</v>
      </c>
      <c r="B198" s="6" t="s">
        <v>975</v>
      </c>
      <c r="C198" s="1" cm="1">
        <f t="array" ref="C198">GetURL(B198)</f>
        <v>0</v>
      </c>
      <c r="D198" s="6" t="s">
        <v>978</v>
      </c>
      <c r="E198" s="1" t="s">
        <v>780</v>
      </c>
      <c r="F198" s="1" t="s">
        <v>780</v>
      </c>
      <c r="G198" s="1" t="s">
        <v>780</v>
      </c>
      <c r="H198" s="1" t="s">
        <v>780</v>
      </c>
      <c r="I198" s="1" t="s">
        <v>780</v>
      </c>
      <c r="PU198" s="1" t="s">
        <v>780</v>
      </c>
      <c r="WW198" s="1" t="s">
        <v>780</v>
      </c>
      <c r="WX198" s="1" t="s">
        <v>780</v>
      </c>
      <c r="XE198" s="1" t="s">
        <v>780</v>
      </c>
      <c r="XF198" s="1" t="s">
        <v>780</v>
      </c>
      <c r="XG198" s="1" t="s">
        <v>780</v>
      </c>
      <c r="XH198" s="1" t="s">
        <v>780</v>
      </c>
    </row>
    <row r="199" spans="1:691" ht="51" x14ac:dyDescent="0.35">
      <c r="A199" s="6" t="s">
        <v>545</v>
      </c>
      <c r="B199" s="6" t="s">
        <v>975</v>
      </c>
      <c r="C199" s="1" cm="1">
        <f t="array" ref="C199">GetURL(B199)</f>
        <v>0</v>
      </c>
      <c r="D199" s="6" t="s">
        <v>979</v>
      </c>
      <c r="E199" s="1" t="s">
        <v>780</v>
      </c>
      <c r="F199" s="1" t="s">
        <v>780</v>
      </c>
      <c r="G199" s="1" t="s">
        <v>780</v>
      </c>
      <c r="H199" s="1" t="s">
        <v>780</v>
      </c>
      <c r="I199" s="1" t="s">
        <v>780</v>
      </c>
      <c r="QK199" s="1" t="s">
        <v>780</v>
      </c>
      <c r="WZ199" s="1" t="s">
        <v>780</v>
      </c>
      <c r="XE199" s="1" t="s">
        <v>780</v>
      </c>
      <c r="XF199" s="1" t="s">
        <v>780</v>
      </c>
      <c r="XG199" s="1" t="s">
        <v>780</v>
      </c>
      <c r="XH199" s="1" t="s">
        <v>780</v>
      </c>
    </row>
    <row r="200" spans="1:691" ht="51" x14ac:dyDescent="0.35">
      <c r="A200" s="6" t="s">
        <v>545</v>
      </c>
      <c r="B200" s="6" t="s">
        <v>975</v>
      </c>
      <c r="C200" s="1" cm="1">
        <f t="array" ref="C200">GetURL(B200)</f>
        <v>0</v>
      </c>
      <c r="D200" s="6" t="s">
        <v>980</v>
      </c>
      <c r="E200" s="1" t="s">
        <v>780</v>
      </c>
      <c r="F200" s="1" t="s">
        <v>780</v>
      </c>
      <c r="G200" s="1" t="s">
        <v>780</v>
      </c>
      <c r="H200" s="1" t="s">
        <v>780</v>
      </c>
      <c r="I200" s="1" t="s">
        <v>780</v>
      </c>
      <c r="WW200" s="1" t="s">
        <v>780</v>
      </c>
      <c r="WX200" s="1" t="s">
        <v>780</v>
      </c>
      <c r="WZ200" s="1" t="s">
        <v>780</v>
      </c>
      <c r="XE200" s="1" t="s">
        <v>780</v>
      </c>
      <c r="XF200" s="1" t="s">
        <v>780</v>
      </c>
      <c r="XG200" s="1" t="s">
        <v>780</v>
      </c>
      <c r="XH200" s="1" t="s">
        <v>780</v>
      </c>
    </row>
    <row r="201" spans="1:691" ht="51" x14ac:dyDescent="0.35">
      <c r="A201" s="6" t="s">
        <v>545</v>
      </c>
      <c r="B201" s="6" t="s">
        <v>975</v>
      </c>
      <c r="C201" s="1" cm="1">
        <f t="array" ref="C201">GetURL(B201)</f>
        <v>0</v>
      </c>
      <c r="D201" s="6" t="s">
        <v>981</v>
      </c>
      <c r="E201" s="1" t="s">
        <v>780</v>
      </c>
      <c r="F201" s="1" t="s">
        <v>780</v>
      </c>
      <c r="G201" s="1" t="s">
        <v>780</v>
      </c>
      <c r="H201" s="1" t="s">
        <v>780</v>
      </c>
      <c r="I201" s="1" t="s">
        <v>780</v>
      </c>
      <c r="NB201" s="1" t="s">
        <v>780</v>
      </c>
      <c r="PU201" s="1" t="s">
        <v>780</v>
      </c>
      <c r="WW201" s="1" t="s">
        <v>780</v>
      </c>
      <c r="WX201" s="1" t="s">
        <v>780</v>
      </c>
      <c r="WZ201" s="1" t="s">
        <v>780</v>
      </c>
    </row>
    <row r="202" spans="1:691" ht="51" x14ac:dyDescent="0.35">
      <c r="A202" s="6" t="s">
        <v>545</v>
      </c>
      <c r="B202" s="6" t="s">
        <v>975</v>
      </c>
      <c r="C202" s="1" cm="1">
        <f t="array" ref="C202">GetURL(B202)</f>
        <v>0</v>
      </c>
      <c r="D202" s="6" t="s">
        <v>982</v>
      </c>
      <c r="E202" s="1" t="s">
        <v>780</v>
      </c>
      <c r="F202" s="1" t="s">
        <v>780</v>
      </c>
      <c r="G202" s="1" t="s">
        <v>780</v>
      </c>
      <c r="H202" s="1" t="s">
        <v>780</v>
      </c>
      <c r="I202" s="1" t="s">
        <v>780</v>
      </c>
      <c r="AY202" s="1" t="s">
        <v>780</v>
      </c>
      <c r="BB202" s="1" t="s">
        <v>780</v>
      </c>
      <c r="NB202" s="1" t="s">
        <v>780</v>
      </c>
      <c r="PU202" s="1" t="s">
        <v>780</v>
      </c>
      <c r="WZ202" s="1" t="s">
        <v>780</v>
      </c>
    </row>
    <row r="203" spans="1:691" ht="51" x14ac:dyDescent="0.35">
      <c r="A203" s="6" t="s">
        <v>545</v>
      </c>
      <c r="B203" s="6" t="s">
        <v>975</v>
      </c>
      <c r="C203" s="1" cm="1">
        <f t="array" ref="C203">GetURL(B203)</f>
        <v>0</v>
      </c>
      <c r="D203" s="6" t="s">
        <v>983</v>
      </c>
      <c r="E203" s="1" t="s">
        <v>780</v>
      </c>
      <c r="F203" s="1" t="s">
        <v>780</v>
      </c>
      <c r="G203" s="1" t="s">
        <v>780</v>
      </c>
      <c r="H203" s="1" t="s">
        <v>780</v>
      </c>
      <c r="I203" s="1" t="s">
        <v>780</v>
      </c>
      <c r="AT203" s="1" t="s">
        <v>780</v>
      </c>
      <c r="XA203" s="1" t="s">
        <v>780</v>
      </c>
      <c r="XB203" s="1" t="s">
        <v>780</v>
      </c>
      <c r="XC203" s="1" t="s">
        <v>780</v>
      </c>
      <c r="XD203" s="1" t="s">
        <v>780</v>
      </c>
    </row>
    <row r="204" spans="1:691" ht="51" x14ac:dyDescent="0.35">
      <c r="A204" s="6" t="s">
        <v>545</v>
      </c>
      <c r="B204" s="6" t="s">
        <v>975</v>
      </c>
      <c r="C204" s="1" cm="1">
        <f t="array" ref="C204">GetURL(B204)</f>
        <v>0</v>
      </c>
      <c r="D204" s="6" t="s">
        <v>984</v>
      </c>
      <c r="E204" s="1" t="s">
        <v>780</v>
      </c>
      <c r="F204" s="1" t="s">
        <v>780</v>
      </c>
      <c r="G204" s="1" t="s">
        <v>780</v>
      </c>
      <c r="H204" s="1" t="s">
        <v>780</v>
      </c>
      <c r="I204" s="1" t="s">
        <v>780</v>
      </c>
      <c r="AT204" s="1" t="s">
        <v>780</v>
      </c>
      <c r="WY204" s="1" t="s">
        <v>780</v>
      </c>
      <c r="XE204" s="1" t="s">
        <v>780</v>
      </c>
      <c r="XF204" s="1" t="s">
        <v>780</v>
      </c>
      <c r="XG204" s="1" t="s">
        <v>780</v>
      </c>
      <c r="XH204" s="1" t="s">
        <v>780</v>
      </c>
    </row>
    <row r="205" spans="1:691" ht="51" x14ac:dyDescent="0.35">
      <c r="A205" s="6" t="s">
        <v>545</v>
      </c>
      <c r="B205" s="6" t="s">
        <v>975</v>
      </c>
      <c r="C205" s="1" cm="1">
        <f t="array" ref="C205">GetURL(B205)</f>
        <v>0</v>
      </c>
      <c r="D205" s="6" t="s">
        <v>985</v>
      </c>
      <c r="E205" s="1" t="s">
        <v>780</v>
      </c>
      <c r="F205" s="1" t="s">
        <v>780</v>
      </c>
      <c r="G205" s="1" t="s">
        <v>780</v>
      </c>
      <c r="H205" s="1" t="s">
        <v>780</v>
      </c>
      <c r="I205" s="1" t="s">
        <v>780</v>
      </c>
      <c r="WW205" s="1" t="s">
        <v>780</v>
      </c>
      <c r="WX205" s="1" t="s">
        <v>780</v>
      </c>
      <c r="WY205" s="1" t="s">
        <v>780</v>
      </c>
      <c r="XI205" s="1" t="s">
        <v>780</v>
      </c>
    </row>
    <row r="206" spans="1:691" ht="51" x14ac:dyDescent="0.35">
      <c r="A206" s="6" t="s">
        <v>545</v>
      </c>
      <c r="B206" s="6" t="s">
        <v>975</v>
      </c>
      <c r="C206" s="1" cm="1">
        <f t="array" ref="C206">GetURL(B206)</f>
        <v>0</v>
      </c>
      <c r="D206" s="6" t="s">
        <v>986</v>
      </c>
      <c r="E206" s="1" t="s">
        <v>780</v>
      </c>
      <c r="F206" s="1" t="s">
        <v>780</v>
      </c>
      <c r="G206" s="1" t="s">
        <v>780</v>
      </c>
      <c r="H206" s="1" t="s">
        <v>780</v>
      </c>
      <c r="I206" s="1" t="s">
        <v>780</v>
      </c>
      <c r="AQ206" s="1" t="s">
        <v>780</v>
      </c>
      <c r="AT206" s="1" t="s">
        <v>780</v>
      </c>
      <c r="WY206" s="1" t="s">
        <v>780</v>
      </c>
      <c r="XJ206" s="1" t="s">
        <v>780</v>
      </c>
      <c r="XK206" s="1" t="s">
        <v>780</v>
      </c>
      <c r="XL206" s="1" t="s">
        <v>780</v>
      </c>
      <c r="XM206" s="1" t="s">
        <v>780</v>
      </c>
      <c r="XN206" s="1" t="s">
        <v>780</v>
      </c>
      <c r="XO206" s="1" t="s">
        <v>780</v>
      </c>
      <c r="XP206" s="1" t="s">
        <v>780</v>
      </c>
      <c r="XQ206" s="1" t="s">
        <v>780</v>
      </c>
      <c r="XR206" s="1" t="s">
        <v>780</v>
      </c>
      <c r="ZO206" s="1">
        <f>SUM(E206:XR206)</f>
        <v>0</v>
      </c>
    </row>
    <row r="207" spans="1:691" ht="51" x14ac:dyDescent="0.35">
      <c r="A207" s="6" t="s">
        <v>545</v>
      </c>
      <c r="B207" s="6" t="s">
        <v>975</v>
      </c>
      <c r="C207" s="1" cm="1">
        <f t="array" ref="C207">GetURL(B207)</f>
        <v>0</v>
      </c>
      <c r="D207" s="6" t="s">
        <v>987</v>
      </c>
      <c r="E207" s="1" t="s">
        <v>780</v>
      </c>
      <c r="F207" s="1" t="s">
        <v>780</v>
      </c>
      <c r="G207" s="1" t="s">
        <v>780</v>
      </c>
      <c r="H207" s="1" t="s">
        <v>780</v>
      </c>
      <c r="J207" s="1" t="s">
        <v>780</v>
      </c>
      <c r="AT207" s="1" t="s">
        <v>780</v>
      </c>
      <c r="AY207" s="1" t="s">
        <v>780</v>
      </c>
      <c r="PU207" s="1" t="s">
        <v>780</v>
      </c>
      <c r="WY207" s="1" t="s">
        <v>780</v>
      </c>
      <c r="ZO207" s="1">
        <f>SUM(E207:XR207)</f>
        <v>0</v>
      </c>
    </row>
    <row r="208" spans="1:691" ht="145" x14ac:dyDescent="0.35">
      <c r="A208" s="4" t="s">
        <v>778</v>
      </c>
      <c r="B208" s="14" t="s">
        <v>97</v>
      </c>
      <c r="C208" s="1" t="str" cm="1">
        <f t="array" ref="C208">GetURL(B208)</f>
        <v>https://explore-education-statistics.service.gov.uk/find-statistics/skills-bootcamps-starts</v>
      </c>
      <c r="D208" s="4" t="s">
        <v>1166</v>
      </c>
      <c r="E208" s="1" t="s">
        <v>780</v>
      </c>
      <c r="F208" s="1" t="s">
        <v>780</v>
      </c>
      <c r="G208" s="1" t="s">
        <v>780</v>
      </c>
      <c r="H208" s="1" t="s">
        <v>780</v>
      </c>
      <c r="I208" s="1" t="s">
        <v>780</v>
      </c>
      <c r="XS208" s="1" t="s">
        <v>780</v>
      </c>
      <c r="XT208" s="1" t="s">
        <v>780</v>
      </c>
      <c r="XU208" s="1" t="s">
        <v>780</v>
      </c>
    </row>
    <row r="209" spans="1:709" ht="98.5" x14ac:dyDescent="0.35">
      <c r="A209" s="1" t="s">
        <v>778</v>
      </c>
      <c r="B209" s="13" t="s">
        <v>1167</v>
      </c>
      <c r="C209" s="1" cm="1">
        <f t="array" ref="C209">GetURL(B209)</f>
        <v>0</v>
      </c>
      <c r="D209" s="13" t="s">
        <v>1168</v>
      </c>
      <c r="E209" s="1" t="s">
        <v>780</v>
      </c>
      <c r="F209" s="1" t="s">
        <v>780</v>
      </c>
      <c r="G209" s="1" t="s">
        <v>780</v>
      </c>
      <c r="H209" s="1" t="s">
        <v>780</v>
      </c>
      <c r="I209" s="1" t="s">
        <v>780</v>
      </c>
      <c r="BD209" s="1" t="s">
        <v>780</v>
      </c>
      <c r="BE209" s="1" t="s">
        <v>780</v>
      </c>
      <c r="BX209" s="1" t="s">
        <v>780</v>
      </c>
      <c r="ES209" s="1" t="s">
        <v>780</v>
      </c>
      <c r="GT209" s="1" t="s">
        <v>780</v>
      </c>
      <c r="GU209" s="1" t="s">
        <v>780</v>
      </c>
      <c r="GV209" s="1" t="s">
        <v>780</v>
      </c>
      <c r="XV209" s="1" t="s">
        <v>780</v>
      </c>
      <c r="XW209" s="1" t="s">
        <v>780</v>
      </c>
      <c r="XX209" s="1" t="s">
        <v>780</v>
      </c>
      <c r="XY209" s="1" t="s">
        <v>780</v>
      </c>
      <c r="XZ209" s="1" t="s">
        <v>780</v>
      </c>
      <c r="YA209" s="1" t="s">
        <v>780</v>
      </c>
      <c r="YB209" s="1" t="s">
        <v>780</v>
      </c>
      <c r="YC209" s="1" t="s">
        <v>780</v>
      </c>
      <c r="YD209" s="1" t="s">
        <v>780</v>
      </c>
      <c r="YE209" s="1" t="s">
        <v>780</v>
      </c>
    </row>
    <row r="210" spans="1:709" ht="98.5" x14ac:dyDescent="0.35">
      <c r="A210" s="1" t="s">
        <v>778</v>
      </c>
      <c r="B210" s="13" t="s">
        <v>1167</v>
      </c>
      <c r="C210" s="1" cm="1">
        <f t="array" ref="C210">GetURL(B210)</f>
        <v>0</v>
      </c>
      <c r="D210" s="4" t="s">
        <v>1169</v>
      </c>
      <c r="E210" s="1" t="s">
        <v>780</v>
      </c>
      <c r="F210" s="1" t="s">
        <v>780</v>
      </c>
      <c r="G210" s="1" t="s">
        <v>780</v>
      </c>
      <c r="H210" s="1" t="s">
        <v>780</v>
      </c>
      <c r="I210" s="1" t="s">
        <v>780</v>
      </c>
      <c r="BD210" s="1" t="s">
        <v>780</v>
      </c>
      <c r="BE210" s="1" t="s">
        <v>780</v>
      </c>
      <c r="ES210" s="1" t="s">
        <v>780</v>
      </c>
      <c r="GT210" s="1" t="s">
        <v>780</v>
      </c>
      <c r="GU210" s="1" t="s">
        <v>780</v>
      </c>
      <c r="GV210" s="1" t="s">
        <v>780</v>
      </c>
      <c r="XV210" s="1" t="s">
        <v>780</v>
      </c>
      <c r="YF210" s="1" t="s">
        <v>780</v>
      </c>
      <c r="YG210" s="1" t="s">
        <v>780</v>
      </c>
      <c r="YH210" s="1" t="s">
        <v>780</v>
      </c>
      <c r="YI210" s="1" t="s">
        <v>780</v>
      </c>
      <c r="YJ210" s="1" t="s">
        <v>780</v>
      </c>
      <c r="YK210" s="1" t="s">
        <v>780</v>
      </c>
      <c r="YL210" s="1" t="s">
        <v>780</v>
      </c>
      <c r="YM210" s="1" t="s">
        <v>780</v>
      </c>
      <c r="YN210" s="1" t="s">
        <v>780</v>
      </c>
      <c r="YO210" s="1" t="s">
        <v>780</v>
      </c>
      <c r="YP210" s="1" t="s">
        <v>780</v>
      </c>
      <c r="YQ210" s="1" t="s">
        <v>780</v>
      </c>
      <c r="YR210" s="1" t="s">
        <v>780</v>
      </c>
      <c r="YS210" s="1" t="s">
        <v>780</v>
      </c>
      <c r="YT210" s="1" t="s">
        <v>780</v>
      </c>
      <c r="YU210" s="1" t="s">
        <v>780</v>
      </c>
      <c r="YV210" s="1" t="s">
        <v>780</v>
      </c>
    </row>
    <row r="211" spans="1:709" ht="98.5" x14ac:dyDescent="0.35">
      <c r="A211" s="1" t="s">
        <v>778</v>
      </c>
      <c r="B211" s="13" t="s">
        <v>1167</v>
      </c>
      <c r="C211" s="1" cm="1">
        <f t="array" ref="C211">GetURL(B211)</f>
        <v>0</v>
      </c>
      <c r="D211" s="4" t="s">
        <v>1170</v>
      </c>
      <c r="E211" s="1" t="s">
        <v>780</v>
      </c>
      <c r="F211" s="1" t="s">
        <v>780</v>
      </c>
      <c r="G211" s="1" t="s">
        <v>780</v>
      </c>
      <c r="H211" s="1" t="s">
        <v>780</v>
      </c>
      <c r="I211" s="1" t="s">
        <v>780</v>
      </c>
      <c r="BD211" s="1" t="s">
        <v>780</v>
      </c>
      <c r="BE211" s="1" t="s">
        <v>780</v>
      </c>
      <c r="ES211" s="1" t="s">
        <v>780</v>
      </c>
      <c r="GT211" s="1" t="s">
        <v>780</v>
      </c>
      <c r="GU211" s="1" t="s">
        <v>780</v>
      </c>
      <c r="GV211" s="1" t="s">
        <v>780</v>
      </c>
      <c r="XV211" s="1" t="s">
        <v>780</v>
      </c>
      <c r="YF211" s="1" t="s">
        <v>780</v>
      </c>
      <c r="YM211" s="1" t="s">
        <v>780</v>
      </c>
      <c r="YW211" s="1" t="s">
        <v>780</v>
      </c>
      <c r="YX211" s="1" t="s">
        <v>780</v>
      </c>
      <c r="YY211" s="1" t="s">
        <v>780</v>
      </c>
      <c r="YZ211" s="1" t="s">
        <v>780</v>
      </c>
      <c r="ZA211" s="1" t="s">
        <v>780</v>
      </c>
      <c r="ZB211" s="1" t="s">
        <v>780</v>
      </c>
      <c r="ZC211" s="1" t="s">
        <v>780</v>
      </c>
      <c r="ZD211" s="1" t="s">
        <v>780</v>
      </c>
      <c r="ZE211" s="1" t="s">
        <v>780</v>
      </c>
      <c r="ZF211" s="1" t="s">
        <v>780</v>
      </c>
      <c r="ZG211" s="1" t="s">
        <v>780</v>
      </c>
      <c r="ZH211" s="1" t="s">
        <v>780</v>
      </c>
      <c r="ZI211" s="1" t="s">
        <v>780</v>
      </c>
      <c r="ZJ211" s="1" t="s">
        <v>780</v>
      </c>
      <c r="ZK211" s="1" t="s">
        <v>780</v>
      </c>
    </row>
    <row r="212" spans="1:709" ht="188.5" x14ac:dyDescent="0.35">
      <c r="A212" s="1" t="s">
        <v>778</v>
      </c>
      <c r="B212" s="14" t="s">
        <v>29</v>
      </c>
      <c r="C212" s="1" t="str" cm="1">
        <f t="array" ref="C212">GetURL(B212)</f>
        <v>https://explore-education-statistics.service.gov.uk/find-statistics/career-pathways-post-16-qualifications-held-by-employees</v>
      </c>
      <c r="D212" s="4" t="s">
        <v>1171</v>
      </c>
      <c r="E212" s="1" t="s">
        <v>780</v>
      </c>
      <c r="F212" s="1" t="s">
        <v>780</v>
      </c>
      <c r="G212" s="1" t="s">
        <v>780</v>
      </c>
      <c r="H212" s="1" t="s">
        <v>780</v>
      </c>
      <c r="I212" s="1" t="s">
        <v>780</v>
      </c>
      <c r="J212" s="1" t="s">
        <v>780</v>
      </c>
      <c r="K212" s="1" t="s">
        <v>780</v>
      </c>
      <c r="BH212" s="1" t="s">
        <v>780</v>
      </c>
      <c r="GV212" s="1" t="s">
        <v>780</v>
      </c>
      <c r="SX212" s="1" t="s">
        <v>780</v>
      </c>
      <c r="ZL212" s="1" t="s">
        <v>780</v>
      </c>
      <c r="ZM212" s="1" t="s">
        <v>780</v>
      </c>
      <c r="ZN212" s="1" t="s">
        <v>780</v>
      </c>
      <c r="ZO212" s="1" t="s">
        <v>780</v>
      </c>
      <c r="ZP212" s="1" t="s">
        <v>780</v>
      </c>
      <c r="ZQ212" s="1" t="s">
        <v>780</v>
      </c>
    </row>
    <row r="213" spans="1:709" ht="188.5" x14ac:dyDescent="0.35">
      <c r="A213" s="1" t="s">
        <v>778</v>
      </c>
      <c r="B213" s="14" t="s">
        <v>29</v>
      </c>
      <c r="C213" s="1" t="str" cm="1">
        <f t="array" ref="C213">GetURL(B213)</f>
        <v>https://explore-education-statistics.service.gov.uk/find-statistics/career-pathways-post-16-qualifications-held-by-employees</v>
      </c>
      <c r="D213" s="4" t="s">
        <v>1172</v>
      </c>
      <c r="E213" s="1" t="s">
        <v>780</v>
      </c>
      <c r="F213" s="1" t="s">
        <v>780</v>
      </c>
      <c r="G213" s="1" t="s">
        <v>780</v>
      </c>
      <c r="H213" s="1" t="s">
        <v>780</v>
      </c>
      <c r="I213" s="1" t="s">
        <v>780</v>
      </c>
      <c r="J213" s="1" t="s">
        <v>780</v>
      </c>
      <c r="K213" s="1" t="s">
        <v>780</v>
      </c>
      <c r="BH213" s="1" t="s">
        <v>780</v>
      </c>
      <c r="GV213" s="1" t="s">
        <v>780</v>
      </c>
      <c r="SX213" s="1" t="s">
        <v>780</v>
      </c>
      <c r="ZL213" s="1" t="s">
        <v>780</v>
      </c>
      <c r="ZM213" s="1" t="s">
        <v>780</v>
      </c>
      <c r="ZN213" s="1" t="s">
        <v>780</v>
      </c>
      <c r="ZP213" s="1" t="s">
        <v>780</v>
      </c>
      <c r="ZQ213" s="1" t="s">
        <v>780</v>
      </c>
    </row>
    <row r="214" spans="1:709" ht="188.5" x14ac:dyDescent="0.35">
      <c r="A214" s="1" t="s">
        <v>778</v>
      </c>
      <c r="B214" s="14" t="s">
        <v>29</v>
      </c>
      <c r="C214" s="1" t="str" cm="1">
        <f t="array" ref="C214">GetURL(B214)</f>
        <v>https://explore-education-statistics.service.gov.uk/find-statistics/career-pathways-post-16-qualifications-held-by-employees</v>
      </c>
      <c r="D214" s="4" t="s">
        <v>1173</v>
      </c>
      <c r="E214" s="1" t="s">
        <v>780</v>
      </c>
      <c r="F214" s="1" t="s">
        <v>780</v>
      </c>
      <c r="G214" s="1" t="s">
        <v>780</v>
      </c>
      <c r="H214" s="1" t="s">
        <v>780</v>
      </c>
      <c r="I214" s="1" t="s">
        <v>780</v>
      </c>
      <c r="J214" s="1" t="s">
        <v>780</v>
      </c>
      <c r="K214" s="1" t="s">
        <v>780</v>
      </c>
      <c r="BH214" s="1" t="s">
        <v>780</v>
      </c>
      <c r="GV214" s="1" t="s">
        <v>780</v>
      </c>
      <c r="SX214" s="1" t="s">
        <v>780</v>
      </c>
      <c r="ZL214" s="1" t="s">
        <v>780</v>
      </c>
      <c r="ZM214" s="1" t="s">
        <v>780</v>
      </c>
      <c r="ZN214" s="1" t="s">
        <v>780</v>
      </c>
      <c r="ZP214" s="1" t="s">
        <v>780</v>
      </c>
      <c r="ZQ214" s="1" t="s">
        <v>780</v>
      </c>
    </row>
    <row r="215" spans="1:709" ht="188.5" x14ac:dyDescent="0.35">
      <c r="A215" s="1" t="s">
        <v>778</v>
      </c>
      <c r="B215" s="14" t="s">
        <v>29</v>
      </c>
      <c r="C215" s="1" t="str" cm="1">
        <f t="array" ref="C215">GetURL(B215)</f>
        <v>https://explore-education-statistics.service.gov.uk/find-statistics/career-pathways-post-16-qualifications-held-by-employees</v>
      </c>
      <c r="D215" s="4" t="s">
        <v>1174</v>
      </c>
      <c r="E215" s="1" t="s">
        <v>780</v>
      </c>
      <c r="F215" s="1" t="s">
        <v>780</v>
      </c>
      <c r="G215" s="1" t="s">
        <v>780</v>
      </c>
      <c r="H215" s="1" t="s">
        <v>780</v>
      </c>
      <c r="I215" s="1" t="s">
        <v>780</v>
      </c>
      <c r="J215" s="1" t="s">
        <v>780</v>
      </c>
      <c r="K215" s="1" t="s">
        <v>780</v>
      </c>
      <c r="BH215" s="1" t="s">
        <v>780</v>
      </c>
      <c r="SX215" s="1" t="s">
        <v>780</v>
      </c>
      <c r="ZL215" s="1" t="s">
        <v>780</v>
      </c>
      <c r="ZM215" s="1" t="s">
        <v>780</v>
      </c>
      <c r="ZN215" s="1" t="s">
        <v>780</v>
      </c>
      <c r="ZP215" s="1" t="s">
        <v>780</v>
      </c>
      <c r="ZR215" s="1" t="s">
        <v>780</v>
      </c>
      <c r="ZS215" s="1" t="s">
        <v>780</v>
      </c>
      <c r="ZT215" s="1" t="s">
        <v>780</v>
      </c>
      <c r="ZU215" s="1" t="s">
        <v>780</v>
      </c>
      <c r="ZV215" s="1" t="s">
        <v>780</v>
      </c>
    </row>
    <row r="216" spans="1:709" ht="188.5" x14ac:dyDescent="0.35">
      <c r="A216" s="1" t="s">
        <v>778</v>
      </c>
      <c r="B216" s="14" t="s">
        <v>29</v>
      </c>
      <c r="C216" s="1" t="str" cm="1">
        <f t="array" ref="C216">GetURL(B216)</f>
        <v>https://explore-education-statistics.service.gov.uk/find-statistics/career-pathways-post-16-qualifications-held-by-employees</v>
      </c>
      <c r="D216" s="4" t="s">
        <v>1175</v>
      </c>
      <c r="E216" s="1" t="s">
        <v>780</v>
      </c>
      <c r="F216" s="1" t="s">
        <v>780</v>
      </c>
      <c r="G216" s="1" t="s">
        <v>780</v>
      </c>
      <c r="H216" s="1" t="s">
        <v>780</v>
      </c>
      <c r="I216" s="1" t="s">
        <v>780</v>
      </c>
      <c r="J216" s="1" t="s">
        <v>780</v>
      </c>
      <c r="K216" s="1" t="s">
        <v>780</v>
      </c>
      <c r="BH216" s="1" t="s">
        <v>780</v>
      </c>
      <c r="GV216" s="1" t="s">
        <v>780</v>
      </c>
      <c r="ZL216" s="1" t="s">
        <v>780</v>
      </c>
      <c r="ZN216" s="1" t="s">
        <v>780</v>
      </c>
      <c r="ZO216" s="1" t="s">
        <v>780</v>
      </c>
      <c r="ZP216" s="1" t="s">
        <v>780</v>
      </c>
      <c r="ZW216" s="1" t="s">
        <v>780</v>
      </c>
      <c r="ZX216" s="1" t="s">
        <v>780</v>
      </c>
      <c r="ZY216" s="1" t="s">
        <v>780</v>
      </c>
      <c r="ZZ216" s="1" t="s">
        <v>780</v>
      </c>
      <c r="AAA216" s="1" t="s">
        <v>780</v>
      </c>
    </row>
    <row r="217" spans="1:709" ht="174" x14ac:dyDescent="0.35">
      <c r="A217" s="1" t="s">
        <v>778</v>
      </c>
      <c r="B217" s="14" t="s">
        <v>1176</v>
      </c>
      <c r="C217" s="1" t="str" cm="1">
        <f t="array" ref="C217">GetURL(B217)</f>
        <v>https://explore-education-statistics.service.gov.uk/find-statistics/apprenticeships-in-england-by-industry-characteristics</v>
      </c>
      <c r="D217" s="1" t="s">
        <v>1177</v>
      </c>
      <c r="E217" s="1" t="s">
        <v>780</v>
      </c>
      <c r="F217" s="1" t="s">
        <v>780</v>
      </c>
      <c r="G217" s="1" t="s">
        <v>780</v>
      </c>
      <c r="H217" s="1" t="s">
        <v>780</v>
      </c>
      <c r="I217" s="1" t="s">
        <v>780</v>
      </c>
      <c r="J217" s="1" t="s">
        <v>780</v>
      </c>
      <c r="K217" s="1" t="s">
        <v>780</v>
      </c>
      <c r="AK217" s="1" t="s">
        <v>780</v>
      </c>
      <c r="BD217" s="1" t="s">
        <v>780</v>
      </c>
      <c r="CQ217" s="1" t="s">
        <v>780</v>
      </c>
      <c r="DN217" s="1" t="s">
        <v>780</v>
      </c>
      <c r="GX217" s="1" t="s">
        <v>780</v>
      </c>
      <c r="ZL217" s="1" t="s">
        <v>780</v>
      </c>
      <c r="AAB217" s="1" t="s">
        <v>780</v>
      </c>
      <c r="AAC217" s="1" t="s">
        <v>780</v>
      </c>
    </row>
    <row r="218" spans="1:709" ht="174" x14ac:dyDescent="0.35">
      <c r="A218" s="1" t="s">
        <v>778</v>
      </c>
      <c r="B218" s="14" t="s">
        <v>1176</v>
      </c>
      <c r="C218" s="1" t="str" cm="1">
        <f t="array" ref="C218">GetURL(B218)</f>
        <v>https://explore-education-statistics.service.gov.uk/find-statistics/apprenticeships-in-england-by-industry-characteristics</v>
      </c>
      <c r="D218" s="1" t="s">
        <v>1178</v>
      </c>
      <c r="E218" s="1" t="s">
        <v>780</v>
      </c>
      <c r="F218" s="1" t="s">
        <v>780</v>
      </c>
      <c r="G218" s="1" t="s">
        <v>780</v>
      </c>
      <c r="H218" s="1" t="s">
        <v>780</v>
      </c>
      <c r="I218" s="1" t="s">
        <v>780</v>
      </c>
      <c r="AK218" s="1" t="s">
        <v>780</v>
      </c>
      <c r="AS218" s="1" t="s">
        <v>780</v>
      </c>
      <c r="AY218" s="1" t="s">
        <v>780</v>
      </c>
      <c r="BD218" s="1" t="s">
        <v>780</v>
      </c>
      <c r="BK218" s="1" t="s">
        <v>780</v>
      </c>
      <c r="BQ218" s="1" t="s">
        <v>780</v>
      </c>
      <c r="CQ218" s="1" t="s">
        <v>780</v>
      </c>
      <c r="DN218" s="1" t="s">
        <v>780</v>
      </c>
      <c r="GX218" s="1" t="s">
        <v>780</v>
      </c>
      <c r="ZL218" s="1" t="s">
        <v>780</v>
      </c>
      <c r="AAB218" s="1" t="s">
        <v>780</v>
      </c>
      <c r="AAC218" s="1" t="s">
        <v>780</v>
      </c>
      <c r="AAD218" s="1" t="s">
        <v>780</v>
      </c>
    </row>
    <row r="219" spans="1:709" ht="174" x14ac:dyDescent="0.35">
      <c r="A219" s="1" t="s">
        <v>778</v>
      </c>
      <c r="B219" s="14" t="s">
        <v>1176</v>
      </c>
      <c r="C219" s="1" t="str" cm="1">
        <f t="array" ref="C219">GetURL(B219)</f>
        <v>https://explore-education-statistics.service.gov.uk/find-statistics/apprenticeships-in-england-by-industry-characteristics</v>
      </c>
      <c r="D219" s="1" t="s">
        <v>1179</v>
      </c>
      <c r="E219" s="1" t="s">
        <v>780</v>
      </c>
      <c r="F219" s="1" t="s">
        <v>780</v>
      </c>
      <c r="G219" s="1" t="s">
        <v>780</v>
      </c>
      <c r="H219" s="1" t="s">
        <v>780</v>
      </c>
      <c r="I219" s="1" t="s">
        <v>780</v>
      </c>
      <c r="ZL219" s="1"/>
      <c r="AAE219" s="1" t="s">
        <v>780</v>
      </c>
    </row>
    <row r="220" spans="1:709" ht="174" x14ac:dyDescent="0.35">
      <c r="A220" s="1" t="s">
        <v>778</v>
      </c>
      <c r="B220" s="14" t="s">
        <v>1176</v>
      </c>
      <c r="C220" s="1" t="str" cm="1">
        <f t="array" ref="C220">GetURL(B220)</f>
        <v>https://explore-education-statistics.service.gov.uk/find-statistics/apprenticeships-in-england-by-industry-characteristics</v>
      </c>
      <c r="D220" s="1" t="s">
        <v>1180</v>
      </c>
      <c r="E220" s="1" t="s">
        <v>780</v>
      </c>
      <c r="F220" s="1" t="s">
        <v>780</v>
      </c>
      <c r="G220" s="1" t="s">
        <v>780</v>
      </c>
      <c r="H220" s="1" t="s">
        <v>780</v>
      </c>
      <c r="I220" s="1" t="s">
        <v>780</v>
      </c>
      <c r="ZL220" s="1"/>
      <c r="AAF220" s="1" t="s">
        <v>780</v>
      </c>
    </row>
    <row r="221" spans="1:709" ht="174" x14ac:dyDescent="0.35">
      <c r="A221" s="1" t="s">
        <v>778</v>
      </c>
      <c r="B221" s="14" t="s">
        <v>1176</v>
      </c>
      <c r="C221" s="1" t="str" cm="1">
        <f t="array" ref="C221">GetURL(B221)</f>
        <v>https://explore-education-statistics.service.gov.uk/find-statistics/apprenticeships-in-england-by-industry-characteristics</v>
      </c>
      <c r="D221" s="1" t="s">
        <v>1181</v>
      </c>
      <c r="E221" s="1" t="s">
        <v>780</v>
      </c>
      <c r="F221" s="1" t="s">
        <v>780</v>
      </c>
      <c r="G221" s="1" t="s">
        <v>780</v>
      </c>
      <c r="H221" s="1" t="s">
        <v>780</v>
      </c>
      <c r="I221" s="1" t="s">
        <v>780</v>
      </c>
      <c r="J221" s="1" t="s">
        <v>780</v>
      </c>
      <c r="K221" s="1" t="s">
        <v>780</v>
      </c>
      <c r="AC221" s="1" t="s">
        <v>780</v>
      </c>
      <c r="CQ221" s="1" t="s">
        <v>780</v>
      </c>
      <c r="ZL221" s="1" t="s">
        <v>780</v>
      </c>
      <c r="AAB221" s="1" t="s">
        <v>780</v>
      </c>
      <c r="AAC221" s="1" t="s">
        <v>780</v>
      </c>
      <c r="AAD221" s="1" t="s">
        <v>780</v>
      </c>
      <c r="AAG221" s="1" t="s">
        <v>780</v>
      </c>
    </row>
    <row r="222" spans="1:709" ht="174" x14ac:dyDescent="0.35">
      <c r="A222" s="1" t="s">
        <v>778</v>
      </c>
      <c r="B222" s="14" t="s">
        <v>1176</v>
      </c>
      <c r="C222" s="1" t="str" cm="1">
        <f t="array" ref="C222">GetURL(B222)</f>
        <v>https://explore-education-statistics.service.gov.uk/find-statistics/apprenticeships-in-england-by-industry-characteristics</v>
      </c>
      <c r="D222" s="1" t="s">
        <v>1182</v>
      </c>
      <c r="E222" s="1" t="s">
        <v>780</v>
      </c>
      <c r="F222" s="1" t="s">
        <v>780</v>
      </c>
      <c r="G222" s="1" t="s">
        <v>780</v>
      </c>
      <c r="H222" s="1" t="s">
        <v>780</v>
      </c>
      <c r="I222" s="1" t="s">
        <v>780</v>
      </c>
      <c r="J222" s="1" t="s">
        <v>780</v>
      </c>
      <c r="K222" s="1" t="s">
        <v>780</v>
      </c>
      <c r="O222" s="1" t="s">
        <v>780</v>
      </c>
      <c r="P222" s="1" t="s">
        <v>780</v>
      </c>
      <c r="CQ222" s="1" t="s">
        <v>780</v>
      </c>
      <c r="ZL222" s="1" t="s">
        <v>780</v>
      </c>
      <c r="AAB222" s="1" t="s">
        <v>780</v>
      </c>
      <c r="AAG222" s="1" t="s">
        <v>780</v>
      </c>
    </row>
    <row r="223" spans="1:709" ht="174" x14ac:dyDescent="0.35">
      <c r="A223" s="1" t="s">
        <v>778</v>
      </c>
      <c r="B223" s="14" t="s">
        <v>1176</v>
      </c>
      <c r="C223" s="1" t="str" cm="1">
        <f t="array" ref="C223">GetURL(B223)</f>
        <v>https://explore-education-statistics.service.gov.uk/find-statistics/apprenticeships-in-england-by-industry-characteristics</v>
      </c>
      <c r="D223" s="1" t="s">
        <v>1183</v>
      </c>
      <c r="E223" s="1" t="s">
        <v>780</v>
      </c>
      <c r="F223" s="1" t="s">
        <v>780</v>
      </c>
      <c r="G223" s="1" t="s">
        <v>780</v>
      </c>
      <c r="H223" s="1" t="s">
        <v>780</v>
      </c>
      <c r="I223" s="1" t="s">
        <v>780</v>
      </c>
      <c r="J223" s="1" t="s">
        <v>780</v>
      </c>
      <c r="K223" s="1" t="s">
        <v>780</v>
      </c>
      <c r="Q223" s="1" t="s">
        <v>780</v>
      </c>
      <c r="R223" s="1" t="s">
        <v>780</v>
      </c>
      <c r="CQ223" s="1" t="s">
        <v>780</v>
      </c>
      <c r="ZL223" s="1" t="s">
        <v>780</v>
      </c>
      <c r="AAB223" s="1" t="s">
        <v>780</v>
      </c>
      <c r="AAG223" s="1" t="s">
        <v>780</v>
      </c>
    </row>
    <row r="224" spans="1:709" ht="174" x14ac:dyDescent="0.35">
      <c r="A224" s="1" t="s">
        <v>778</v>
      </c>
      <c r="B224" s="14" t="s">
        <v>1176</v>
      </c>
      <c r="C224" s="1" t="str" cm="1">
        <f t="array" ref="C224">GetURL(B224)</f>
        <v>https://explore-education-statistics.service.gov.uk/find-statistics/apprenticeships-in-england-by-industry-characteristics</v>
      </c>
      <c r="D224" s="1" t="s">
        <v>1184</v>
      </c>
      <c r="E224" s="1" t="s">
        <v>780</v>
      </c>
      <c r="F224" s="1" t="s">
        <v>780</v>
      </c>
      <c r="G224" s="1" t="s">
        <v>780</v>
      </c>
      <c r="H224" s="1" t="s">
        <v>780</v>
      </c>
      <c r="I224" s="1" t="s">
        <v>780</v>
      </c>
      <c r="AC224" s="1" t="s">
        <v>780</v>
      </c>
      <c r="AK224" s="1" t="s">
        <v>780</v>
      </c>
      <c r="BD224" s="1" t="s">
        <v>780</v>
      </c>
      <c r="CQ224" s="1" t="s">
        <v>780</v>
      </c>
      <c r="ZL224" s="1" t="s">
        <v>780</v>
      </c>
      <c r="AAB224" s="1" t="s">
        <v>780</v>
      </c>
      <c r="AAG224" s="1" t="s">
        <v>780</v>
      </c>
    </row>
    <row r="225" spans="1:786" ht="174" x14ac:dyDescent="0.35">
      <c r="A225" s="1" t="s">
        <v>778</v>
      </c>
      <c r="B225" s="14" t="s">
        <v>1176</v>
      </c>
      <c r="C225" s="1" t="str" cm="1">
        <f t="array" ref="C225">GetURL(B225)</f>
        <v>https://explore-education-statistics.service.gov.uk/find-statistics/apprenticeships-in-england-by-industry-characteristics</v>
      </c>
      <c r="D225" s="1" t="s">
        <v>1185</v>
      </c>
      <c r="E225" s="1" t="s">
        <v>780</v>
      </c>
      <c r="F225" s="1" t="s">
        <v>780</v>
      </c>
      <c r="G225" s="1" t="s">
        <v>780</v>
      </c>
      <c r="H225" s="1" t="s">
        <v>780</v>
      </c>
      <c r="I225" s="1" t="s">
        <v>780</v>
      </c>
      <c r="AC225" s="1" t="s">
        <v>780</v>
      </c>
      <c r="AK225" s="1" t="s">
        <v>780</v>
      </c>
      <c r="AS225" s="1" t="s">
        <v>780</v>
      </c>
      <c r="AY225" s="1" t="s">
        <v>780</v>
      </c>
      <c r="BK225" s="1" t="s">
        <v>780</v>
      </c>
      <c r="BQ225" s="1" t="s">
        <v>780</v>
      </c>
      <c r="CQ225" s="1" t="s">
        <v>780</v>
      </c>
      <c r="ZL225" s="1" t="s">
        <v>780</v>
      </c>
      <c r="AAD225" s="1" t="s">
        <v>780</v>
      </c>
      <c r="AAG225" s="1" t="s">
        <v>780</v>
      </c>
    </row>
    <row r="226" spans="1:786" ht="174" x14ac:dyDescent="0.35">
      <c r="A226" s="1" t="s">
        <v>778</v>
      </c>
      <c r="B226" s="14" t="s">
        <v>1176</v>
      </c>
      <c r="C226" s="1" t="str" cm="1">
        <f t="array" ref="C226">GetURL(B226)</f>
        <v>https://explore-education-statistics.service.gov.uk/find-statistics/apprenticeships-in-england-by-industry-characteristics</v>
      </c>
      <c r="D226" s="1" t="s">
        <v>1186</v>
      </c>
      <c r="E226" s="1" t="s">
        <v>780</v>
      </c>
      <c r="F226" s="1" t="s">
        <v>780</v>
      </c>
      <c r="G226" s="1" t="s">
        <v>780</v>
      </c>
      <c r="H226" s="1" t="s">
        <v>780</v>
      </c>
      <c r="I226" s="1" t="s">
        <v>780</v>
      </c>
      <c r="AK226" s="1" t="s">
        <v>780</v>
      </c>
      <c r="BD226" s="1" t="s">
        <v>780</v>
      </c>
      <c r="CQ226" s="1" t="s">
        <v>780</v>
      </c>
      <c r="GX226" s="1" t="s">
        <v>780</v>
      </c>
      <c r="ZL226" s="1" t="s">
        <v>780</v>
      </c>
      <c r="AAH226" s="1" t="s">
        <v>780</v>
      </c>
    </row>
    <row r="227" spans="1:786" ht="174" x14ac:dyDescent="0.35">
      <c r="A227" s="1" t="s">
        <v>778</v>
      </c>
      <c r="B227" s="14" t="s">
        <v>1176</v>
      </c>
      <c r="C227" s="1" t="str" cm="1">
        <f t="array" ref="C227">GetURL(B227)</f>
        <v>https://explore-education-statistics.service.gov.uk/find-statistics/apprenticeships-in-england-by-industry-characteristics</v>
      </c>
      <c r="D227" s="1" t="s">
        <v>1187</v>
      </c>
      <c r="E227" s="1" t="s">
        <v>780</v>
      </c>
      <c r="F227" s="1" t="s">
        <v>780</v>
      </c>
      <c r="G227" s="1" t="s">
        <v>780</v>
      </c>
      <c r="H227" s="1" t="s">
        <v>780</v>
      </c>
      <c r="I227" s="1" t="s">
        <v>780</v>
      </c>
      <c r="ZL227" s="1" t="s">
        <v>780</v>
      </c>
      <c r="AAC227" s="1" t="s">
        <v>780</v>
      </c>
      <c r="AAI227" s="1" t="s">
        <v>780</v>
      </c>
      <c r="AAJ227" s="1" t="s">
        <v>780</v>
      </c>
      <c r="AAK227" s="1" t="s">
        <v>780</v>
      </c>
    </row>
    <row r="228" spans="1:786" ht="174" x14ac:dyDescent="0.35">
      <c r="A228" s="1" t="s">
        <v>778</v>
      </c>
      <c r="B228" s="14" t="s">
        <v>1176</v>
      </c>
      <c r="C228" s="1" t="str" cm="1">
        <f t="array" ref="C228">GetURL(B228)</f>
        <v>https://explore-education-statistics.service.gov.uk/find-statistics/apprenticeships-in-england-by-industry-characteristics</v>
      </c>
      <c r="D228" s="1" t="s">
        <v>1188</v>
      </c>
      <c r="E228" s="1" t="s">
        <v>780</v>
      </c>
      <c r="F228" s="1" t="s">
        <v>780</v>
      </c>
      <c r="G228" s="1" t="s">
        <v>780</v>
      </c>
      <c r="H228" s="1" t="s">
        <v>780</v>
      </c>
      <c r="I228" s="1" t="s">
        <v>780</v>
      </c>
      <c r="J228" s="1" t="s">
        <v>780</v>
      </c>
      <c r="K228" s="1" t="s">
        <v>780</v>
      </c>
      <c r="AC228" s="1" t="s">
        <v>780</v>
      </c>
      <c r="DN228" s="1" t="s">
        <v>780</v>
      </c>
      <c r="ZL228" s="1" t="s">
        <v>780</v>
      </c>
      <c r="AAB228" s="1" t="s">
        <v>780</v>
      </c>
      <c r="AAC228" s="1" t="s">
        <v>780</v>
      </c>
      <c r="AAD228" s="1" t="s">
        <v>780</v>
      </c>
      <c r="AAG228" s="1" t="s">
        <v>780</v>
      </c>
    </row>
    <row r="229" spans="1:786" ht="174" x14ac:dyDescent="0.35">
      <c r="A229" s="1" t="s">
        <v>778</v>
      </c>
      <c r="B229" s="14" t="s">
        <v>1176</v>
      </c>
      <c r="C229" s="1" t="str" cm="1">
        <f t="array" ref="C229">GetURL(B229)</f>
        <v>https://explore-education-statistics.service.gov.uk/find-statistics/apprenticeships-in-england-by-industry-characteristics</v>
      </c>
      <c r="D229" s="1" t="s">
        <v>1189</v>
      </c>
      <c r="E229" s="1" t="s">
        <v>780</v>
      </c>
      <c r="F229" s="1" t="s">
        <v>780</v>
      </c>
      <c r="G229" s="1" t="s">
        <v>780</v>
      </c>
      <c r="H229" s="1" t="s">
        <v>780</v>
      </c>
      <c r="I229" s="1" t="s">
        <v>780</v>
      </c>
      <c r="J229" s="1" t="s">
        <v>780</v>
      </c>
      <c r="K229" s="1" t="s">
        <v>780</v>
      </c>
      <c r="O229" s="1" t="s">
        <v>780</v>
      </c>
      <c r="P229" s="1" t="s">
        <v>780</v>
      </c>
      <c r="DN229" s="1" t="s">
        <v>780</v>
      </c>
      <c r="ZL229" s="1" t="s">
        <v>780</v>
      </c>
      <c r="AAB229" s="1" t="s">
        <v>780</v>
      </c>
      <c r="AAG229" s="1" t="s">
        <v>780</v>
      </c>
    </row>
    <row r="230" spans="1:786" ht="174" x14ac:dyDescent="0.35">
      <c r="A230" s="1" t="s">
        <v>778</v>
      </c>
      <c r="B230" s="14" t="s">
        <v>1176</v>
      </c>
      <c r="C230" s="1" t="str" cm="1">
        <f t="array" ref="C230">GetURL(B230)</f>
        <v>https://explore-education-statistics.service.gov.uk/find-statistics/apprenticeships-in-england-by-industry-characteristics</v>
      </c>
      <c r="D230" s="1" t="s">
        <v>1190</v>
      </c>
      <c r="E230" s="1" t="s">
        <v>780</v>
      </c>
      <c r="F230" s="1" t="s">
        <v>780</v>
      </c>
      <c r="G230" s="1" t="s">
        <v>780</v>
      </c>
      <c r="H230" s="1" t="s">
        <v>780</v>
      </c>
      <c r="I230" s="1" t="s">
        <v>780</v>
      </c>
      <c r="J230" s="1" t="s">
        <v>780</v>
      </c>
      <c r="K230" s="1" t="s">
        <v>780</v>
      </c>
      <c r="Q230" s="1" t="s">
        <v>780</v>
      </c>
      <c r="R230" s="1" t="s">
        <v>780</v>
      </c>
      <c r="DN230" s="1" t="s">
        <v>780</v>
      </c>
      <c r="ZL230" s="1" t="s">
        <v>780</v>
      </c>
      <c r="AAB230" s="1" t="s">
        <v>780</v>
      </c>
      <c r="AAG230" s="1" t="s">
        <v>780</v>
      </c>
    </row>
    <row r="231" spans="1:786" ht="174" x14ac:dyDescent="0.35">
      <c r="A231" s="1" t="s">
        <v>778</v>
      </c>
      <c r="B231" s="14" t="s">
        <v>1176</v>
      </c>
      <c r="C231" s="1" t="str" cm="1">
        <f t="array" ref="C231">GetURL(B231)</f>
        <v>https://explore-education-statistics.service.gov.uk/find-statistics/apprenticeships-in-england-by-industry-characteristics</v>
      </c>
      <c r="D231" s="1" t="s">
        <v>1191</v>
      </c>
      <c r="E231" s="1" t="s">
        <v>780</v>
      </c>
      <c r="F231" s="1" t="s">
        <v>780</v>
      </c>
      <c r="G231" s="1" t="s">
        <v>780</v>
      </c>
      <c r="H231" s="1" t="s">
        <v>780</v>
      </c>
      <c r="I231" s="1" t="s">
        <v>780</v>
      </c>
      <c r="AC231" s="1" t="s">
        <v>780</v>
      </c>
      <c r="AK231" s="1" t="s">
        <v>780</v>
      </c>
      <c r="BD231" s="1" t="s">
        <v>780</v>
      </c>
      <c r="DN231" s="1" t="s">
        <v>780</v>
      </c>
      <c r="ZL231" s="1" t="s">
        <v>780</v>
      </c>
      <c r="AAB231" s="1" t="s">
        <v>780</v>
      </c>
      <c r="AAG231" s="1" t="s">
        <v>780</v>
      </c>
    </row>
    <row r="232" spans="1:786" ht="174" x14ac:dyDescent="0.35">
      <c r="A232" s="1" t="s">
        <v>778</v>
      </c>
      <c r="B232" s="14" t="s">
        <v>1176</v>
      </c>
      <c r="C232" s="1" t="str" cm="1">
        <f t="array" ref="C232">GetURL(B232)</f>
        <v>https://explore-education-statistics.service.gov.uk/find-statistics/apprenticeships-in-england-by-industry-characteristics</v>
      </c>
      <c r="D232" s="1" t="s">
        <v>1192</v>
      </c>
      <c r="E232" s="1" t="s">
        <v>780</v>
      </c>
      <c r="F232" s="1" t="s">
        <v>780</v>
      </c>
      <c r="G232" s="1" t="s">
        <v>780</v>
      </c>
      <c r="H232" s="1" t="s">
        <v>780</v>
      </c>
      <c r="I232" s="1" t="s">
        <v>780</v>
      </c>
      <c r="AC232" s="1" t="s">
        <v>780</v>
      </c>
      <c r="AK232" s="1" t="s">
        <v>780</v>
      </c>
      <c r="AS232" s="1" t="s">
        <v>780</v>
      </c>
      <c r="AY232" s="1" t="s">
        <v>780</v>
      </c>
      <c r="BK232" s="1" t="s">
        <v>780</v>
      </c>
      <c r="BQ232" s="1" t="s">
        <v>780</v>
      </c>
      <c r="DN232" s="1" t="s">
        <v>780</v>
      </c>
      <c r="ZL232" s="1" t="s">
        <v>780</v>
      </c>
      <c r="AAD232" s="1" t="s">
        <v>780</v>
      </c>
      <c r="AAG232" s="1" t="s">
        <v>780</v>
      </c>
    </row>
    <row r="233" spans="1:786" ht="174" x14ac:dyDescent="0.35">
      <c r="A233" s="1" t="s">
        <v>778</v>
      </c>
      <c r="B233" s="14" t="s">
        <v>1176</v>
      </c>
      <c r="C233" s="1" t="str" cm="1">
        <f t="array" ref="C233">GetURL(B233)</f>
        <v>https://explore-education-statistics.service.gov.uk/find-statistics/apprenticeships-in-england-by-industry-characteristics</v>
      </c>
      <c r="D233" s="1" t="s">
        <v>1193</v>
      </c>
      <c r="E233" s="1" t="s">
        <v>780</v>
      </c>
      <c r="F233" s="1" t="s">
        <v>780</v>
      </c>
      <c r="G233" s="1" t="s">
        <v>780</v>
      </c>
      <c r="H233" s="1" t="s">
        <v>780</v>
      </c>
      <c r="I233" s="1" t="s">
        <v>780</v>
      </c>
      <c r="CQ233" s="1" t="s">
        <v>780</v>
      </c>
      <c r="ZL233" s="1" t="s">
        <v>780</v>
      </c>
      <c r="AAL233" s="1" t="s">
        <v>780</v>
      </c>
      <c r="AAM233" s="1" t="s">
        <v>780</v>
      </c>
    </row>
    <row r="234" spans="1:786" ht="145" x14ac:dyDescent="0.35">
      <c r="A234" s="1" t="s">
        <v>778</v>
      </c>
      <c r="B234" s="14" t="s">
        <v>94</v>
      </c>
      <c r="C234" s="1" t="str" cm="1">
        <f t="array" ref="C234">GetURL(B234)</f>
        <v>https://explore-education-statistics.service.gov.uk/find-statistics/skills-bootcamps-outcomes</v>
      </c>
      <c r="D234" s="1" t="s">
        <v>94</v>
      </c>
      <c r="E234" s="1" t="s">
        <v>780</v>
      </c>
      <c r="F234" s="1" t="s">
        <v>780</v>
      </c>
      <c r="G234" s="1" t="s">
        <v>780</v>
      </c>
      <c r="H234" s="1" t="s">
        <v>780</v>
      </c>
      <c r="I234" s="1" t="s">
        <v>780</v>
      </c>
      <c r="TU234" s="1" t="s">
        <v>780</v>
      </c>
      <c r="ZL234" s="1"/>
      <c r="AAN234" s="1" t="s">
        <v>780</v>
      </c>
      <c r="AAO234" s="1" t="s">
        <v>780</v>
      </c>
      <c r="AAP234" s="1" t="s">
        <v>780</v>
      </c>
      <c r="AAQ234" s="1" t="s">
        <v>780</v>
      </c>
      <c r="AAR234" s="1" t="s">
        <v>780</v>
      </c>
      <c r="AAS234" s="1" t="s">
        <v>780</v>
      </c>
      <c r="AAT234" s="1" t="s">
        <v>780</v>
      </c>
    </row>
    <row r="235" spans="1:786" ht="232" x14ac:dyDescent="0.35">
      <c r="A235" s="1" t="s">
        <v>778</v>
      </c>
      <c r="B235" s="14" t="s">
        <v>46</v>
      </c>
      <c r="C235" s="1" t="str" cm="1">
        <f t="array" ref="C235">GetURL(B235)</f>
        <v>https://explore-education-statistics.service.gov.uk/find-statistics/fe-learners-going-into-employment-and-learning-destinations-by-local-authority-district</v>
      </c>
      <c r="D235" s="1" t="s">
        <v>1194</v>
      </c>
      <c r="E235" s="1" t="s">
        <v>780</v>
      </c>
      <c r="F235" s="1" t="s">
        <v>780</v>
      </c>
      <c r="G235" s="1" t="s">
        <v>780</v>
      </c>
      <c r="H235" s="1" t="s">
        <v>780</v>
      </c>
      <c r="I235" s="1" t="s">
        <v>780</v>
      </c>
      <c r="J235" s="1" t="s">
        <v>780</v>
      </c>
      <c r="K235" s="1" t="s">
        <v>780</v>
      </c>
      <c r="O235" s="1" t="s">
        <v>780</v>
      </c>
      <c r="P235" s="1" t="s">
        <v>780</v>
      </c>
      <c r="ES235" s="1" t="s">
        <v>780</v>
      </c>
      <c r="EY235" s="1" t="s">
        <v>780</v>
      </c>
      <c r="NV235" s="1" t="s">
        <v>780</v>
      </c>
      <c r="OT235" s="1" t="s">
        <v>780</v>
      </c>
      <c r="SR235" s="1" t="s">
        <v>780</v>
      </c>
      <c r="ZL235" s="1"/>
      <c r="AAU235" s="1" t="s">
        <v>780</v>
      </c>
      <c r="AAV235" s="1" t="s">
        <v>780</v>
      </c>
      <c r="AAW235" s="1" t="s">
        <v>780</v>
      </c>
      <c r="AAX235" s="1" t="s">
        <v>780</v>
      </c>
      <c r="AAY235" s="1" t="s">
        <v>780</v>
      </c>
      <c r="AAZ235" s="1" t="s">
        <v>780</v>
      </c>
      <c r="ABA235" s="1" t="s">
        <v>780</v>
      </c>
      <c r="ABB235" s="1" t="s">
        <v>780</v>
      </c>
      <c r="ABC235" s="1" t="s">
        <v>780</v>
      </c>
      <c r="ABD235" s="1" t="s">
        <v>780</v>
      </c>
      <c r="ABE235" s="1" t="s">
        <v>780</v>
      </c>
      <c r="ABF235" s="1" t="s">
        <v>780</v>
      </c>
      <c r="ABG235" s="1" t="s">
        <v>780</v>
      </c>
      <c r="ABH235" s="1" t="s">
        <v>780</v>
      </c>
      <c r="ABI235" s="1" t="s">
        <v>780</v>
      </c>
      <c r="ABJ235" s="1" t="s">
        <v>780</v>
      </c>
      <c r="ABK235" s="1" t="s">
        <v>780</v>
      </c>
      <c r="ABL235" s="1" t="s">
        <v>780</v>
      </c>
      <c r="ABM235" s="1" t="s">
        <v>780</v>
      </c>
      <c r="ABN235" s="1" t="s">
        <v>780</v>
      </c>
      <c r="ABO235" s="1" t="s">
        <v>780</v>
      </c>
      <c r="ABP235" s="1" t="s">
        <v>780</v>
      </c>
      <c r="ABQ235" s="1" t="s">
        <v>780</v>
      </c>
    </row>
    <row r="236" spans="1:786" ht="130.5" x14ac:dyDescent="0.35">
      <c r="A236" s="1" t="s">
        <v>1195</v>
      </c>
      <c r="B236" s="14" t="s">
        <v>39</v>
      </c>
      <c r="C236" s="1" t="str" cm="1">
        <f t="array" ref="C236">GetURL(B236)</f>
        <v>https://explore-education-statistics.service.gov.uk/find-statistics/employer-skills-survey</v>
      </c>
      <c r="D236" s="1" t="s">
        <v>1196</v>
      </c>
      <c r="E236" s="1" t="s">
        <v>780</v>
      </c>
      <c r="F236" s="1" t="s">
        <v>780</v>
      </c>
      <c r="G236" s="1" t="s">
        <v>780</v>
      </c>
      <c r="H236" s="1" t="s">
        <v>780</v>
      </c>
      <c r="I236" s="1" t="s">
        <v>780</v>
      </c>
      <c r="J236" s="1" t="s">
        <v>780</v>
      </c>
      <c r="K236" s="1" t="s">
        <v>780</v>
      </c>
      <c r="NB236" s="1" t="s">
        <v>780</v>
      </c>
      <c r="ZL236" s="1" t="s">
        <v>780</v>
      </c>
      <c r="ZP236" s="1" t="s">
        <v>780</v>
      </c>
      <c r="AAB236" s="1" t="s">
        <v>780</v>
      </c>
      <c r="ABR236" s="1" t="s">
        <v>780</v>
      </c>
      <c r="ABS236" s="1" t="s">
        <v>780</v>
      </c>
      <c r="ABT236" s="1" t="s">
        <v>780</v>
      </c>
      <c r="ABU236" s="1" t="s">
        <v>780</v>
      </c>
      <c r="ABV236" s="1" t="s">
        <v>780</v>
      </c>
      <c r="ABW236" s="1" t="s">
        <v>780</v>
      </c>
      <c r="ABX236" s="1" t="s">
        <v>780</v>
      </c>
      <c r="ABY236" s="1" t="s">
        <v>780</v>
      </c>
      <c r="ABZ236" s="1" t="s">
        <v>780</v>
      </c>
      <c r="ACA236" s="1" t="s">
        <v>780</v>
      </c>
      <c r="ACB236" s="1" t="s">
        <v>780</v>
      </c>
      <c r="ACC236" s="1" t="s">
        <v>780</v>
      </c>
      <c r="ACD236" s="1" t="s">
        <v>780</v>
      </c>
      <c r="ACE236" s="1" t="s">
        <v>780</v>
      </c>
      <c r="ACF236" s="1" t="s">
        <v>780</v>
      </c>
      <c r="ACG236" s="1" t="s">
        <v>780</v>
      </c>
      <c r="ACH236" s="1" t="s">
        <v>780</v>
      </c>
      <c r="ACI236" s="1" t="s">
        <v>780</v>
      </c>
      <c r="ACJ236" s="1" t="s">
        <v>780</v>
      </c>
      <c r="ACK236" s="1" t="s">
        <v>780</v>
      </c>
      <c r="ACL236" s="1" t="s">
        <v>780</v>
      </c>
      <c r="ACM236" s="1" t="s">
        <v>780</v>
      </c>
      <c r="ACN236" s="1" t="s">
        <v>780</v>
      </c>
      <c r="ACO236" s="1" t="s">
        <v>780</v>
      </c>
      <c r="ACP236" s="1" t="s">
        <v>780</v>
      </c>
      <c r="ACQ236" s="1" t="s">
        <v>780</v>
      </c>
      <c r="ACR236" s="1" t="s">
        <v>780</v>
      </c>
    </row>
    <row r="237" spans="1:786" ht="130.5" x14ac:dyDescent="0.35">
      <c r="A237" s="1" t="s">
        <v>1195</v>
      </c>
      <c r="B237" s="14" t="s">
        <v>39</v>
      </c>
      <c r="C237" s="1" t="str" cm="1">
        <f t="array" ref="C237">GetURL(B237)</f>
        <v>https://explore-education-statistics.service.gov.uk/find-statistics/employer-skills-survey</v>
      </c>
      <c r="D237" s="1" t="s">
        <v>1197</v>
      </c>
      <c r="E237" s="1" t="s">
        <v>780</v>
      </c>
      <c r="F237" s="1" t="s">
        <v>780</v>
      </c>
      <c r="G237" s="1" t="s">
        <v>780</v>
      </c>
      <c r="H237" s="1" t="s">
        <v>780</v>
      </c>
      <c r="I237" s="1" t="s">
        <v>780</v>
      </c>
      <c r="J237" s="1" t="s">
        <v>780</v>
      </c>
      <c r="K237" s="1" t="s">
        <v>780</v>
      </c>
      <c r="ZL237" s="1" t="s">
        <v>780</v>
      </c>
      <c r="ZP237" s="1" t="s">
        <v>780</v>
      </c>
      <c r="AAB237" s="1" t="s">
        <v>780</v>
      </c>
      <c r="ACE237" s="1" t="s">
        <v>780</v>
      </c>
      <c r="ACS237" s="1" t="s">
        <v>780</v>
      </c>
      <c r="ACT237" s="1" t="s">
        <v>780</v>
      </c>
      <c r="ACU237" s="1" t="s">
        <v>780</v>
      </c>
      <c r="ACV237" s="1" t="s">
        <v>780</v>
      </c>
      <c r="ACW237" s="1" t="s">
        <v>780</v>
      </c>
      <c r="ACX237" s="1" t="s">
        <v>780</v>
      </c>
    </row>
    <row r="238" spans="1:786" ht="130.5" x14ac:dyDescent="0.35">
      <c r="A238" s="1" t="s">
        <v>1195</v>
      </c>
      <c r="B238" s="14" t="s">
        <v>39</v>
      </c>
      <c r="C238" s="1" t="str" cm="1">
        <f t="array" ref="C238">GetURL(B238)</f>
        <v>https://explore-education-statistics.service.gov.uk/find-statistics/employer-skills-survey</v>
      </c>
      <c r="D238" s="1" t="s">
        <v>1198</v>
      </c>
      <c r="E238" s="1" t="s">
        <v>780</v>
      </c>
      <c r="F238" s="1" t="s">
        <v>780</v>
      </c>
      <c r="G238" s="1" t="s">
        <v>780</v>
      </c>
      <c r="H238" s="1" t="s">
        <v>780</v>
      </c>
      <c r="I238" s="1" t="s">
        <v>780</v>
      </c>
      <c r="ZL238" s="1" t="s">
        <v>780</v>
      </c>
      <c r="ACA238" s="1" t="s">
        <v>780</v>
      </c>
      <c r="ACB238" s="1" t="s">
        <v>780</v>
      </c>
      <c r="ACC238" s="1" t="s">
        <v>780</v>
      </c>
      <c r="ACM238" s="1" t="s">
        <v>780</v>
      </c>
      <c r="ACN238" s="1" t="s">
        <v>780</v>
      </c>
      <c r="ACY238" s="1" t="s">
        <v>780</v>
      </c>
      <c r="ACZ238" s="1" t="s">
        <v>780</v>
      </c>
      <c r="ADA238" s="1" t="s">
        <v>780</v>
      </c>
      <c r="ADB238" s="1" t="s">
        <v>780</v>
      </c>
      <c r="ADC238" s="1" t="s">
        <v>780</v>
      </c>
    </row>
    <row r="239" spans="1:786" ht="159.5" x14ac:dyDescent="0.35">
      <c r="A239" s="1" t="s">
        <v>1195</v>
      </c>
      <c r="B239" s="14" t="s">
        <v>36</v>
      </c>
      <c r="C239" s="1" t="str" cm="1">
        <f t="array" ref="C239">GetURL(B239)</f>
        <v>https://explore-education-statistics.service.gov.uk/find-statistics/education-and-training-statistics-for-the-uk/2022</v>
      </c>
      <c r="D239" s="1" t="s">
        <v>1199</v>
      </c>
      <c r="E239" s="1" t="s">
        <v>780</v>
      </c>
      <c r="F239" s="1" t="s">
        <v>780</v>
      </c>
      <c r="G239" s="1" t="s">
        <v>780</v>
      </c>
      <c r="H239" s="1" t="s">
        <v>780</v>
      </c>
      <c r="I239" s="1" t="s">
        <v>780</v>
      </c>
      <c r="J239" s="1" t="s">
        <v>780</v>
      </c>
      <c r="K239" s="1" t="s">
        <v>780</v>
      </c>
      <c r="ZL239" s="1"/>
      <c r="ADD239" s="1" t="s">
        <v>780</v>
      </c>
      <c r="ADE239" s="1" t="s">
        <v>780</v>
      </c>
    </row>
    <row r="240" spans="1:786" ht="159.5" x14ac:dyDescent="0.35">
      <c r="A240" s="1" t="s">
        <v>1195</v>
      </c>
      <c r="B240" s="14" t="s">
        <v>36</v>
      </c>
      <c r="C240" s="1" t="str" cm="1">
        <f t="array" ref="C240">GetURL(B240)</f>
        <v>https://explore-education-statistics.service.gov.uk/find-statistics/education-and-training-statistics-for-the-uk/2022</v>
      </c>
      <c r="D240" s="1" t="s">
        <v>1200</v>
      </c>
      <c r="E240" s="1" t="s">
        <v>780</v>
      </c>
      <c r="F240" s="1" t="s">
        <v>780</v>
      </c>
      <c r="G240" s="1" t="s">
        <v>780</v>
      </c>
      <c r="H240" s="1" t="s">
        <v>780</v>
      </c>
      <c r="I240" s="1" t="s">
        <v>780</v>
      </c>
      <c r="J240" s="1" t="s">
        <v>780</v>
      </c>
      <c r="K240" s="1" t="s">
        <v>780</v>
      </c>
      <c r="AS240" s="1" t="s">
        <v>780</v>
      </c>
      <c r="AY240" s="1" t="s">
        <v>780</v>
      </c>
      <c r="ZL240" s="1"/>
      <c r="ADD240" s="1" t="s">
        <v>780</v>
      </c>
      <c r="ADF240" s="1" t="s">
        <v>780</v>
      </c>
    </row>
    <row r="241" spans="1:807" ht="159.5" x14ac:dyDescent="0.35">
      <c r="A241" s="1" t="s">
        <v>1195</v>
      </c>
      <c r="B241" s="14" t="s">
        <v>36</v>
      </c>
      <c r="C241" s="1" t="str" cm="1">
        <f t="array" ref="C241">GetURL(B241)</f>
        <v>https://explore-education-statistics.service.gov.uk/find-statistics/education-and-training-statistics-for-the-uk/2022</v>
      </c>
      <c r="D241" s="1" t="s">
        <v>1201</v>
      </c>
      <c r="E241" s="1" t="s">
        <v>780</v>
      </c>
      <c r="F241" s="1" t="s">
        <v>780</v>
      </c>
      <c r="G241" s="1" t="s">
        <v>780</v>
      </c>
      <c r="H241" s="1" t="s">
        <v>780</v>
      </c>
      <c r="I241" s="1" t="s">
        <v>780</v>
      </c>
      <c r="J241" s="1" t="s">
        <v>780</v>
      </c>
      <c r="K241" s="1" t="s">
        <v>780</v>
      </c>
      <c r="AY241" s="1" t="s">
        <v>780</v>
      </c>
      <c r="ZL241" s="1"/>
      <c r="ADD241" s="1" t="s">
        <v>780</v>
      </c>
      <c r="ADG241" s="1" t="s">
        <v>780</v>
      </c>
    </row>
    <row r="242" spans="1:807" ht="159.5" x14ac:dyDescent="0.35">
      <c r="A242" s="1" t="s">
        <v>1195</v>
      </c>
      <c r="B242" s="14" t="s">
        <v>36</v>
      </c>
      <c r="C242" s="1" t="str" cm="1">
        <f t="array" ref="C242">GetURL(B242)</f>
        <v>https://explore-education-statistics.service.gov.uk/find-statistics/education-and-training-statistics-for-the-uk/2022</v>
      </c>
      <c r="D242" s="12" t="s">
        <v>1202</v>
      </c>
      <c r="E242" s="1" t="s">
        <v>780</v>
      </c>
      <c r="F242" s="1" t="s">
        <v>780</v>
      </c>
      <c r="G242" s="1" t="s">
        <v>780</v>
      </c>
      <c r="H242" s="1" t="s">
        <v>780</v>
      </c>
      <c r="I242" s="1" t="s">
        <v>780</v>
      </c>
      <c r="J242" s="1" t="s">
        <v>780</v>
      </c>
      <c r="K242" s="1" t="s">
        <v>780</v>
      </c>
      <c r="ZL242" s="1"/>
      <c r="ADD242" s="1" t="s">
        <v>780</v>
      </c>
      <c r="ADH242" s="1" t="s">
        <v>780</v>
      </c>
    </row>
    <row r="243" spans="1:807" ht="159.5" x14ac:dyDescent="0.35">
      <c r="A243" s="1" t="s">
        <v>1195</v>
      </c>
      <c r="B243" s="14" t="s">
        <v>36</v>
      </c>
      <c r="C243" s="1" t="str" cm="1">
        <f t="array" ref="C243">GetURL(B243)</f>
        <v>https://explore-education-statistics.service.gov.uk/find-statistics/education-and-training-statistics-for-the-uk/2022</v>
      </c>
      <c r="D243" s="12" t="s">
        <v>1203</v>
      </c>
      <c r="E243" s="1" t="s">
        <v>780</v>
      </c>
      <c r="F243" s="1" t="s">
        <v>780</v>
      </c>
      <c r="G243" s="1" t="s">
        <v>780</v>
      </c>
      <c r="H243" s="1" t="s">
        <v>780</v>
      </c>
      <c r="I243" s="1" t="s">
        <v>780</v>
      </c>
      <c r="AS243" s="1" t="s">
        <v>780</v>
      </c>
      <c r="AY243" s="1" t="s">
        <v>780</v>
      </c>
      <c r="JS243" s="1" t="s">
        <v>780</v>
      </c>
      <c r="ZL243" s="1"/>
      <c r="ADI243" s="1" t="s">
        <v>780</v>
      </c>
    </row>
    <row r="244" spans="1:807" ht="159.5" x14ac:dyDescent="0.35">
      <c r="A244" s="1" t="s">
        <v>1195</v>
      </c>
      <c r="B244" s="14" t="s">
        <v>36</v>
      </c>
      <c r="C244" s="1" t="str" cm="1">
        <f t="array" ref="C244">GetURL(B244)</f>
        <v>https://explore-education-statistics.service.gov.uk/find-statistics/education-and-training-statistics-for-the-uk/2022</v>
      </c>
      <c r="D244" s="12" t="s">
        <v>1204</v>
      </c>
      <c r="E244" s="1" t="s">
        <v>780</v>
      </c>
      <c r="F244" s="1" t="s">
        <v>780</v>
      </c>
      <c r="G244" s="1" t="s">
        <v>780</v>
      </c>
      <c r="H244" s="1" t="s">
        <v>780</v>
      </c>
      <c r="I244" s="1" t="s">
        <v>780</v>
      </c>
      <c r="AK244" s="1" t="s">
        <v>780</v>
      </c>
      <c r="AY244" s="1" t="s">
        <v>780</v>
      </c>
      <c r="BH244" s="1" t="s">
        <v>780</v>
      </c>
      <c r="JS244" s="1" t="s">
        <v>780</v>
      </c>
      <c r="TD244" s="1" t="s">
        <v>780</v>
      </c>
      <c r="ZL244" s="1"/>
      <c r="ADI244" s="1" t="s">
        <v>780</v>
      </c>
    </row>
    <row r="245" spans="1:807" ht="159.5" x14ac:dyDescent="0.35">
      <c r="A245" s="1" t="s">
        <v>1195</v>
      </c>
      <c r="B245" s="14" t="s">
        <v>36</v>
      </c>
      <c r="C245" s="1" t="str" cm="1">
        <f t="array" ref="C245">GetURL(B245)</f>
        <v>https://explore-education-statistics.service.gov.uk/find-statistics/education-and-training-statistics-for-the-uk/2022</v>
      </c>
      <c r="D245" s="2" t="s">
        <v>1205</v>
      </c>
      <c r="E245" s="1" t="s">
        <v>780</v>
      </c>
      <c r="F245" s="1" t="s">
        <v>780</v>
      </c>
      <c r="G245" s="1" t="s">
        <v>780</v>
      </c>
      <c r="H245" s="1" t="s">
        <v>780</v>
      </c>
      <c r="I245" s="1" t="s">
        <v>780</v>
      </c>
      <c r="FH245" s="1" t="s">
        <v>780</v>
      </c>
      <c r="ZL245" s="1"/>
      <c r="ADJ245" s="1" t="s">
        <v>780</v>
      </c>
    </row>
    <row r="246" spans="1:807" ht="159.5" x14ac:dyDescent="0.35">
      <c r="A246" s="1" t="s">
        <v>1195</v>
      </c>
      <c r="B246" s="14" t="s">
        <v>36</v>
      </c>
      <c r="C246" s="1" t="str" cm="1">
        <f t="array" ref="C246">GetURL(B246)</f>
        <v>https://explore-education-statistics.service.gov.uk/find-statistics/education-and-training-statistics-for-the-uk/2022</v>
      </c>
      <c r="D246" s="1" t="s">
        <v>1206</v>
      </c>
      <c r="E246" s="1" t="s">
        <v>780</v>
      </c>
      <c r="F246" s="1" t="s">
        <v>780</v>
      </c>
      <c r="G246" s="1" t="s">
        <v>780</v>
      </c>
      <c r="H246" s="1" t="s">
        <v>780</v>
      </c>
      <c r="I246" s="1" t="s">
        <v>780</v>
      </c>
      <c r="AQ246" s="1" t="s">
        <v>780</v>
      </c>
      <c r="AS246" s="1" t="s">
        <v>780</v>
      </c>
      <c r="AY246" s="1" t="s">
        <v>780</v>
      </c>
      <c r="JU246" s="1" t="s">
        <v>780</v>
      </c>
      <c r="ZL246" s="1"/>
      <c r="ADK246" s="1" t="s">
        <v>780</v>
      </c>
      <c r="ADL246" s="1" t="s">
        <v>780</v>
      </c>
      <c r="ADM246" s="1" t="s">
        <v>780</v>
      </c>
      <c r="ADN246" s="1" t="s">
        <v>780</v>
      </c>
    </row>
    <row r="247" spans="1:807" ht="159.5" x14ac:dyDescent="0.35">
      <c r="A247" s="1" t="s">
        <v>1195</v>
      </c>
      <c r="B247" s="14" t="s">
        <v>36</v>
      </c>
      <c r="C247" s="1" t="str" cm="1">
        <f t="array" ref="C247">GetURL(B247)</f>
        <v>https://explore-education-statistics.service.gov.uk/find-statistics/education-and-training-statistics-for-the-uk/2022</v>
      </c>
      <c r="D247" s="1" t="s">
        <v>1207</v>
      </c>
      <c r="E247" s="1" t="s">
        <v>780</v>
      </c>
      <c r="F247" s="1" t="s">
        <v>780</v>
      </c>
      <c r="G247" s="1" t="s">
        <v>780</v>
      </c>
      <c r="H247" s="1" t="s">
        <v>780</v>
      </c>
      <c r="I247" s="1" t="s">
        <v>780</v>
      </c>
      <c r="AS247" s="1" t="s">
        <v>780</v>
      </c>
      <c r="AY247" s="1" t="s">
        <v>780</v>
      </c>
      <c r="ZL247" s="1"/>
      <c r="ADO247" s="1" t="s">
        <v>780</v>
      </c>
      <c r="ADP247" s="1" t="s">
        <v>780</v>
      </c>
      <c r="ADQ247" s="1" t="s">
        <v>780</v>
      </c>
      <c r="ADR247" s="1" t="s">
        <v>780</v>
      </c>
      <c r="ADS247" s="1" t="s">
        <v>780</v>
      </c>
      <c r="ADT247" s="1" t="s">
        <v>780</v>
      </c>
      <c r="ADU247" s="1" t="s">
        <v>780</v>
      </c>
    </row>
    <row r="248" spans="1:807" ht="159.5" x14ac:dyDescent="0.35">
      <c r="A248" s="1" t="s">
        <v>1195</v>
      </c>
      <c r="B248" s="14" t="s">
        <v>36</v>
      </c>
      <c r="C248" s="1" t="str" cm="1">
        <f t="array" ref="C248">GetURL(B248)</f>
        <v>https://explore-education-statistics.service.gov.uk/find-statistics/education-and-training-statistics-for-the-uk/2022</v>
      </c>
      <c r="D248" s="1" t="s">
        <v>1208</v>
      </c>
      <c r="E248" s="1" t="s">
        <v>780</v>
      </c>
      <c r="F248" s="1" t="s">
        <v>780</v>
      </c>
      <c r="G248" s="1" t="s">
        <v>780</v>
      </c>
      <c r="H248" s="1" t="s">
        <v>780</v>
      </c>
      <c r="I248" s="1" t="s">
        <v>780</v>
      </c>
      <c r="ZL248" s="1"/>
      <c r="ADV248" s="1" t="s">
        <v>780</v>
      </c>
      <c r="ADW248" s="1" t="s">
        <v>780</v>
      </c>
      <c r="ADX248" s="1" t="s">
        <v>780</v>
      </c>
      <c r="ADY248" s="1" t="s">
        <v>780</v>
      </c>
      <c r="ADZ248" s="1" t="s">
        <v>780</v>
      </c>
      <c r="AEA248" s="1" t="s">
        <v>780</v>
      </c>
    </row>
  </sheetData>
  <autoFilter ref="A2:AEA248" xr:uid="{285CA042-D901-4F09-9065-7EBCA57D080E}"/>
  <hyperlinks>
    <hyperlink ref="B3" r:id="rId1" xr:uid="{CC4B56ED-D31C-42DC-B2F9-942F3BB56173}"/>
    <hyperlink ref="B4" r:id="rId2" xr:uid="{0BBC4EEB-38F4-4A84-B783-363D9EAC7AA4}"/>
    <hyperlink ref="B5" r:id="rId3" xr:uid="{DF127B6A-A0D1-4CA8-8779-9568C8738BB9}"/>
    <hyperlink ref="B6" r:id="rId4" xr:uid="{0A435C3F-1537-4CFA-96EC-59B860B409A1}"/>
    <hyperlink ref="B7" r:id="rId5" xr:uid="{C81D9C44-CF0B-441E-909F-92FA6B600C6F}"/>
    <hyperlink ref="B8" r:id="rId6" xr:uid="{0BC3FE14-46D2-4C39-91B3-F00BBAF73AD0}"/>
    <hyperlink ref="B9" r:id="rId7" xr:uid="{C57C1123-B797-48F2-B49C-5AAF8F905021}"/>
    <hyperlink ref="B10" r:id="rId8" xr:uid="{05920D29-617F-4840-8316-47F717CE4605}"/>
    <hyperlink ref="B11" r:id="rId9" xr:uid="{84A983E1-D0A3-4AE8-A815-3BDBE074C12B}"/>
    <hyperlink ref="B12" r:id="rId10" xr:uid="{E9F933A1-1AB1-4C38-8124-A6553AF082DC}"/>
    <hyperlink ref="B13" r:id="rId11" xr:uid="{A5079CC8-A82C-4EF3-93A2-786AFB7BA096}"/>
    <hyperlink ref="B14" r:id="rId12" xr:uid="{19AC1792-3FCB-46DB-91E5-E9761D48E275}"/>
    <hyperlink ref="B15" r:id="rId13" xr:uid="{3AAF40A7-AA71-4C3B-B455-2E46F86AAFD9}"/>
    <hyperlink ref="B16" r:id="rId14" xr:uid="{BBCC858A-800E-44F3-8EBF-27B13699EACC}"/>
    <hyperlink ref="B17" r:id="rId15" xr:uid="{B4A34FC0-9B11-421E-939C-AB4F7B458C90}"/>
    <hyperlink ref="B18" r:id="rId16" xr:uid="{40BAF603-EE39-4B3B-A391-3A504FA5C67C}"/>
    <hyperlink ref="B19" r:id="rId17" xr:uid="{F6BA3B64-2547-4B90-9A2F-B45A6EEFD99F}"/>
    <hyperlink ref="B20" r:id="rId18" xr:uid="{ADC687C5-E917-423B-A7C0-17D7A78DCFB6}"/>
    <hyperlink ref="B21" r:id="rId19" xr:uid="{71B15CA0-0385-42CE-A76D-EE49B8BC957B}"/>
    <hyperlink ref="B22" r:id="rId20" xr:uid="{B00C200B-1196-4FBA-9E9C-8B36931A5F4A}"/>
    <hyperlink ref="B23" r:id="rId21" xr:uid="{34F31755-83EF-4F01-BFB6-290DF6FB7198}"/>
    <hyperlink ref="B24" r:id="rId22" xr:uid="{6ECA8C26-32AC-4C66-B13C-F369E83EFAEE}"/>
    <hyperlink ref="B25" r:id="rId23" xr:uid="{0042F959-0403-45C0-B598-FC16F101796E}"/>
    <hyperlink ref="B26" r:id="rId24" xr:uid="{E44651E6-CF45-4C98-8706-EA69E828E28D}"/>
    <hyperlink ref="B27" r:id="rId25" xr:uid="{20BCF719-8256-425F-A679-4557172CE5AB}"/>
    <hyperlink ref="B28" r:id="rId26" xr:uid="{24FD83B2-467F-4532-9C4E-9E61BDAB5F87}"/>
    <hyperlink ref="B29" r:id="rId27" xr:uid="{E50687EE-6C17-43FC-89A3-C423E7B1455B}"/>
    <hyperlink ref="B30" r:id="rId28" xr:uid="{D28F2B8D-A856-4B3C-B6DC-3E1191880781}"/>
    <hyperlink ref="B31" r:id="rId29" xr:uid="{BE4BA8D9-FB2C-410A-BD89-7DF3E22804DE}"/>
    <hyperlink ref="B32" r:id="rId30" xr:uid="{57FB34C4-3235-424C-BA1B-79A618C3BE6A}"/>
    <hyperlink ref="B33" r:id="rId31" xr:uid="{258ACC99-6588-40A4-B2B7-61781E2E519E}"/>
    <hyperlink ref="B34" r:id="rId32" xr:uid="{86D43996-1645-4C68-9184-C6F4419AC062}"/>
    <hyperlink ref="B35" r:id="rId33" xr:uid="{D4CAB939-75C0-4CCE-88E9-2CA041CFCED8}"/>
    <hyperlink ref="B36" r:id="rId34" xr:uid="{E77211FF-1660-4D23-9012-675BFE849B5E}"/>
    <hyperlink ref="B37" r:id="rId35" xr:uid="{B39D67FF-9AD4-44EB-B074-FF5DE8BD60E0}"/>
    <hyperlink ref="B38" r:id="rId36" xr:uid="{03F78222-29CF-4171-A100-9493F1E43439}"/>
    <hyperlink ref="B39" r:id="rId37" xr:uid="{962CDF23-742F-455E-BF97-692B1A05A4CE}"/>
    <hyperlink ref="B40" r:id="rId38" xr:uid="{C57FBC7E-2313-419E-8096-F75D4FF37B17}"/>
    <hyperlink ref="B41" r:id="rId39" xr:uid="{AA1CD0B5-89DA-4E74-9451-85C13A149E21}"/>
    <hyperlink ref="B42" r:id="rId40" xr:uid="{5FB39A38-4538-4962-9CA4-F74C5906FD5B}"/>
    <hyperlink ref="B43" r:id="rId41" xr:uid="{514B248A-DAB1-4B5A-B48C-95B4BB1DEDCA}"/>
    <hyperlink ref="B44" r:id="rId42" xr:uid="{3C1841BF-06DB-48D8-A67A-9F7C8E70FAD6}"/>
    <hyperlink ref="B45" r:id="rId43" xr:uid="{06796364-CD59-4C58-8A0E-C3AF3B38A23D}"/>
    <hyperlink ref="B46" r:id="rId44" xr:uid="{AC8D0922-C8D6-4D5C-B413-D4140128567E}"/>
    <hyperlink ref="B47:B80" r:id="rId45" display="Further Education and skills" xr:uid="{2530B1EC-870D-482F-B30B-73EEB66D7896}"/>
    <hyperlink ref="B81" r:id="rId46" xr:uid="{9A1A29CD-5C25-4990-91FF-5DA18329957E}"/>
    <hyperlink ref="B82" r:id="rId47" xr:uid="{B36EFFE7-163A-4ABC-A741-952301F7D16D}"/>
    <hyperlink ref="B83" r:id="rId48" xr:uid="{5191DF8D-418F-468E-8D18-C04E4C91B81E}"/>
    <hyperlink ref="B84" r:id="rId49" xr:uid="{02F267A1-3D99-434C-83A8-5E68C55636D3}"/>
    <hyperlink ref="B85" r:id="rId50" xr:uid="{A815B983-C05D-4B1A-9CE0-9D603C73095A}"/>
    <hyperlink ref="B86" r:id="rId51" xr:uid="{8415CD3B-03F7-4510-816B-67A9FE3B975F}"/>
    <hyperlink ref="B87" r:id="rId52" xr:uid="{7DE4DAA9-94E9-49F3-8257-10D893AD3C51}"/>
    <hyperlink ref="B88" r:id="rId53" xr:uid="{5927FB1D-5B12-4E07-8C24-89B65DBC07C4}"/>
    <hyperlink ref="B89" r:id="rId54" xr:uid="{0C12920C-0BE1-4AF2-B61C-8D9631D9D686}"/>
    <hyperlink ref="B90" r:id="rId55" xr:uid="{9DE7D6B9-3138-4E2F-8FD0-017025061AD1}"/>
    <hyperlink ref="B91" r:id="rId56" xr:uid="{F42D9911-EDC9-4B8F-BD11-7414418E945C}"/>
    <hyperlink ref="B92" r:id="rId57" xr:uid="{A86C9E73-E074-4208-A6AE-E5B2E8DC1127}"/>
    <hyperlink ref="B93" r:id="rId58" xr:uid="{397C63C5-941F-4C31-AC05-1C83A9EDDA8F}"/>
    <hyperlink ref="B94" r:id="rId59" xr:uid="{ABD3D779-138B-441F-8FB7-E0BF05AAECD8}"/>
    <hyperlink ref="B95" r:id="rId60" xr:uid="{66A35EE4-B3C0-4E03-AA76-6F20AC165389}"/>
    <hyperlink ref="B96" r:id="rId61" xr:uid="{D9931551-E04B-4581-8D3D-EC9510A7C6C1}"/>
    <hyperlink ref="B97" r:id="rId62" xr:uid="{21B63B45-F3A7-465E-8791-DEF7F4D45C9E}"/>
    <hyperlink ref="B98" r:id="rId63" xr:uid="{74154F48-8F75-43B3-BD3F-A320D8FDB7C0}"/>
    <hyperlink ref="B99" r:id="rId64" xr:uid="{3CA9B46A-D07C-4D4C-AB78-40FE7AC87F6E}"/>
    <hyperlink ref="B100" r:id="rId65" xr:uid="{EDB82877-7565-465F-AA69-DC0CC436A511}"/>
    <hyperlink ref="B101" r:id="rId66" xr:uid="{304B9AA3-BAED-4521-82C5-294AFBB4F592}"/>
    <hyperlink ref="B102" r:id="rId67" xr:uid="{05EAA4F7-20D5-44E6-98F0-8CED07FD3CC4}"/>
    <hyperlink ref="B103" r:id="rId68" xr:uid="{D991522C-65CD-473D-BAB9-72797280B7A4}"/>
    <hyperlink ref="B104" r:id="rId69" xr:uid="{B01CFCCC-8C07-4BA3-9628-52E5B079F131}"/>
    <hyperlink ref="B105" r:id="rId70" xr:uid="{84714436-4A6D-446E-8913-3A9A371C3034}"/>
    <hyperlink ref="B106" r:id="rId71" xr:uid="{57596A06-CD57-4283-B1BE-117A2E128DB7}"/>
    <hyperlink ref="B107" r:id="rId72" xr:uid="{A74BA6DC-6CFD-40EE-9055-232F1D934BFB}"/>
    <hyperlink ref="B108" r:id="rId73" xr:uid="{0B3754BE-0420-4D7D-8B30-BE5334346B30}"/>
    <hyperlink ref="B109" r:id="rId74" xr:uid="{8C0B708D-98A0-4086-AD52-A9C87290B972}"/>
    <hyperlink ref="B110" r:id="rId75" xr:uid="{CCAFF01A-2586-4A7C-A597-6C0ABBFDEE5B}"/>
    <hyperlink ref="B111" r:id="rId76" xr:uid="{CAD82EA7-EDD2-470E-95B3-A19FF2BA6EB9}"/>
    <hyperlink ref="B112" r:id="rId77" xr:uid="{55A3A489-0CB3-4020-9578-FA0CFD3DD691}"/>
    <hyperlink ref="B113" r:id="rId78" xr:uid="{7132DAB9-435E-4B22-ACB0-3A14E265C2F5}"/>
    <hyperlink ref="B114" r:id="rId79" xr:uid="{D2F06477-DBC4-4154-A6B8-2B1814B85F0F}"/>
    <hyperlink ref="B115" r:id="rId80" xr:uid="{824A85ED-6204-4029-AB16-951D5D2648CF}"/>
    <hyperlink ref="B116" r:id="rId81" xr:uid="{9957B4F1-222A-4B6D-9A13-F3E7BEBF8BB4}"/>
    <hyperlink ref="B117" r:id="rId82" xr:uid="{19CFD212-3E19-4343-A876-E214855C44EA}"/>
    <hyperlink ref="B118" r:id="rId83" xr:uid="{4802B1F0-F839-4CB3-8DA7-5D6C10A9F5BB}"/>
    <hyperlink ref="B119" r:id="rId84" xr:uid="{117796E6-6BB5-4D12-A760-829B2E4FC6E3}"/>
    <hyperlink ref="B120:B121" r:id="rId85" display="Progression to higher education or training" xr:uid="{B63EEEE9-A0AC-4573-A656-573D434F713A}"/>
    <hyperlink ref="B122" r:id="rId86" xr:uid="{D241E9A9-9D86-4027-B7BD-29E454A7FB1E}"/>
    <hyperlink ref="B123:B124" r:id="rId87" display="Longer term destinations" xr:uid="{AF0DA11F-0AAA-43B8-9373-CF1506642CAC}"/>
    <hyperlink ref="B125" r:id="rId88" xr:uid="{26D4BFAC-2177-4239-82B5-47C841C6B0AC}"/>
    <hyperlink ref="B212" r:id="rId89" xr:uid="{AE4C5B6C-5F80-4B3A-8D55-B69A82AAC351}"/>
    <hyperlink ref="B213:B216" r:id="rId90" display="Career pathways: post-16 qualifications held by employees" xr:uid="{FA10088E-693F-4605-BF0C-160F3C0ED966}"/>
    <hyperlink ref="B239" r:id="rId91" xr:uid="{9739CD42-F7FB-4628-B3F2-DB58A0365910}"/>
    <hyperlink ref="B240:B248" r:id="rId92" display="Education and training statistics for the UK" xr:uid="{B6C6331C-47B0-4FC7-AA76-9FE199BA34B6}"/>
    <hyperlink ref="B236" r:id="rId93" xr:uid="{6FB9FE95-40BB-4702-A627-506254CBF1B7}"/>
    <hyperlink ref="B237:B238" r:id="rId94" display="Employer Skills Survey" xr:uid="{8CB31C40-DEBA-40A2-A6D0-DF048C4341F5}"/>
    <hyperlink ref="B235" r:id="rId95" xr:uid="{7F5C1836-C79A-4A15-B5B0-E5414A63E5DE}"/>
    <hyperlink ref="B138" r:id="rId96" xr:uid="{DBF24A0F-3698-48BB-8FE1-B74FE09B337C}"/>
    <hyperlink ref="B234" r:id="rId97" xr:uid="{8BB45F86-3C55-46A4-A617-7C26E002CC4D}"/>
    <hyperlink ref="B208" r:id="rId98" xr:uid="{AC351C29-106C-4962-A556-E61D4D294F3B}"/>
    <hyperlink ref="B154" r:id="rId99" xr:uid="{22728F27-23C1-4E7D-A9F0-646D2EDCDEED}"/>
    <hyperlink ref="B155:B166" r:id="rId100" display="Widening participation in higher education" xr:uid="{E5B9860B-951E-4297-A834-85DB25023799}"/>
    <hyperlink ref="B126" r:id="rId101" xr:uid="{EAE986E5-D546-47F0-9261-86420BAFBB9C}"/>
    <hyperlink ref="B127" r:id="rId102" xr:uid="{2E8D811F-ECE1-4C2C-905B-F26ABC0D4A12}"/>
    <hyperlink ref="B128" r:id="rId103" xr:uid="{557501A4-0303-42D1-8DD2-FD428FDE80A8}"/>
    <hyperlink ref="B129:B137" r:id="rId104" display="Participation measures in higher education" xr:uid="{4045BCAA-5019-4AB6-9331-676907A5E265}"/>
    <hyperlink ref="B217" r:id="rId105" xr:uid="{D84244AF-1E7E-459A-8807-8E8C9867FAFE}"/>
    <hyperlink ref="B218:B233" r:id="rId106" display="Apprenticeships in England by industry characteristics" xr:uid="{261AB576-E6D3-4092-9206-AF258939FA71}"/>
  </hyperlinks>
  <pageMargins left="0.7" right="0.7" top="0.75" bottom="0.75" header="0.3" footer="0.3"/>
  <legacyDrawing r:id="rId10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5"/>
  <sheetViews>
    <sheetView zoomScale="81" zoomScaleNormal="81" workbookViewId="0">
      <pane xSplit="3" ySplit="2" topLeftCell="D80" activePane="bottomRight" state="frozen"/>
      <selection pane="topRight" activeCell="D1" sqref="D1"/>
      <selection pane="bottomLeft" activeCell="A3" sqref="A3"/>
      <selection pane="bottomRight" activeCell="D84" sqref="D84"/>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138</v>
      </c>
      <c r="C2" s="1" t="s">
        <v>139</v>
      </c>
      <c r="D2" s="1" t="s">
        <v>140</v>
      </c>
      <c r="E2" s="1" t="s">
        <v>141</v>
      </c>
      <c r="F2" s="1" t="s">
        <v>142</v>
      </c>
      <c r="G2" s="1" t="s">
        <v>143</v>
      </c>
      <c r="H2" s="1" t="s">
        <v>144</v>
      </c>
      <c r="I2" s="1" t="s">
        <v>1209</v>
      </c>
      <c r="J2" s="1" t="s">
        <v>1210</v>
      </c>
      <c r="K2" s="1" t="s">
        <v>147</v>
      </c>
      <c r="L2" s="1" t="s">
        <v>148</v>
      </c>
      <c r="M2" s="1" t="s">
        <v>149</v>
      </c>
      <c r="N2" s="1" t="s">
        <v>150</v>
      </c>
      <c r="O2" s="1" t="s">
        <v>151</v>
      </c>
      <c r="P2" s="1" t="s">
        <v>152</v>
      </c>
      <c r="Q2" s="1" t="s">
        <v>153</v>
      </c>
      <c r="R2" s="1" t="s">
        <v>160</v>
      </c>
      <c r="S2" s="1" t="s">
        <v>161</v>
      </c>
      <c r="T2" s="1" t="s">
        <v>162</v>
      </c>
      <c r="U2" s="1" t="s">
        <v>163</v>
      </c>
      <c r="V2" s="1" t="s">
        <v>164</v>
      </c>
      <c r="W2" s="1" t="s">
        <v>165</v>
      </c>
      <c r="X2" s="1" t="s">
        <v>166</v>
      </c>
      <c r="Y2" s="1" t="s">
        <v>167</v>
      </c>
      <c r="Z2" s="1" t="s">
        <v>168</v>
      </c>
      <c r="AA2" s="1" t="s">
        <v>170</v>
      </c>
      <c r="AB2" s="1" t="s">
        <v>172</v>
      </c>
      <c r="AC2" s="1" t="s">
        <v>173</v>
      </c>
      <c r="AD2" s="1" t="s">
        <v>174</v>
      </c>
      <c r="AE2" s="1" t="s">
        <v>175</v>
      </c>
      <c r="AF2" s="1" t="s">
        <v>176</v>
      </c>
      <c r="AG2" s="1" t="s">
        <v>177</v>
      </c>
      <c r="AH2" s="1" t="s">
        <v>179</v>
      </c>
      <c r="AI2" s="1" t="s">
        <v>181</v>
      </c>
      <c r="AJ2" s="1" t="s">
        <v>182</v>
      </c>
      <c r="AK2" s="1" t="s">
        <v>183</v>
      </c>
      <c r="AL2" s="1" t="s">
        <v>184</v>
      </c>
      <c r="AM2" s="1" t="s">
        <v>185</v>
      </c>
      <c r="AN2" s="1" t="s">
        <v>186</v>
      </c>
      <c r="AO2" s="1" t="s">
        <v>187</v>
      </c>
      <c r="AP2" s="1" t="s">
        <v>190</v>
      </c>
      <c r="AQ2" s="1" t="s">
        <v>191</v>
      </c>
      <c r="AR2" s="1" t="s">
        <v>192</v>
      </c>
      <c r="AS2" s="1" t="s">
        <v>193</v>
      </c>
      <c r="AT2" s="1" t="s">
        <v>194</v>
      </c>
      <c r="AU2" s="1" t="s">
        <v>195</v>
      </c>
      <c r="AV2" s="1" t="s">
        <v>196</v>
      </c>
      <c r="AW2" s="1" t="s">
        <v>198</v>
      </c>
      <c r="AX2" s="1" t="s">
        <v>199</v>
      </c>
      <c r="AY2" s="1" t="s">
        <v>200</v>
      </c>
      <c r="AZ2" s="1" t="s">
        <v>202</v>
      </c>
      <c r="BA2" s="1" t="s">
        <v>206</v>
      </c>
      <c r="BB2" s="1" t="s">
        <v>207</v>
      </c>
      <c r="BC2" s="1" t="s">
        <v>208</v>
      </c>
      <c r="BD2" s="1" t="s">
        <v>214</v>
      </c>
      <c r="BE2" s="1" t="s">
        <v>215</v>
      </c>
      <c r="BF2" s="1" t="s">
        <v>216</v>
      </c>
      <c r="BG2" s="1" t="s">
        <v>217</v>
      </c>
      <c r="BH2" s="1" t="s">
        <v>218</v>
      </c>
      <c r="BI2" s="1" t="s">
        <v>219</v>
      </c>
      <c r="BJ2" s="1" t="s">
        <v>220</v>
      </c>
      <c r="BK2" s="1" t="s">
        <v>221</v>
      </c>
      <c r="BL2" s="1" t="s">
        <v>222</v>
      </c>
      <c r="BM2" s="1" t="s">
        <v>223</v>
      </c>
      <c r="BN2" s="1" t="s">
        <v>224</v>
      </c>
      <c r="BO2" s="1" t="s">
        <v>225</v>
      </c>
      <c r="BP2" s="1" t="s">
        <v>226</v>
      </c>
      <c r="BQ2" s="1" t="s">
        <v>227</v>
      </c>
      <c r="BR2" s="1" t="s">
        <v>228</v>
      </c>
      <c r="BS2" s="1" t="s">
        <v>229</v>
      </c>
      <c r="BT2" s="1" t="s">
        <v>230</v>
      </c>
      <c r="BU2" s="1" t="s">
        <v>231</v>
      </c>
      <c r="BV2" s="1" t="s">
        <v>232</v>
      </c>
      <c r="BW2" s="1" t="s">
        <v>233</v>
      </c>
      <c r="BX2" s="1" t="s">
        <v>234</v>
      </c>
      <c r="BY2" s="1" t="s">
        <v>235</v>
      </c>
      <c r="BZ2" s="1" t="s">
        <v>236</v>
      </c>
      <c r="CA2" s="1" t="s">
        <v>237</v>
      </c>
      <c r="CB2" s="1" t="s">
        <v>238</v>
      </c>
      <c r="CC2" s="1" t="s">
        <v>239</v>
      </c>
      <c r="CD2" s="1" t="s">
        <v>240</v>
      </c>
      <c r="CE2" s="1" t="s">
        <v>241</v>
      </c>
      <c r="CF2" s="1" t="s">
        <v>242</v>
      </c>
      <c r="CG2" s="1" t="s">
        <v>243</v>
      </c>
      <c r="CH2" s="1" t="s">
        <v>244</v>
      </c>
      <c r="CI2" s="1" t="s">
        <v>245</v>
      </c>
      <c r="CJ2" s="1" t="s">
        <v>246</v>
      </c>
      <c r="CK2" s="1" t="s">
        <v>247</v>
      </c>
      <c r="CL2" s="1" t="s">
        <v>248</v>
      </c>
      <c r="CM2" s="1" t="s">
        <v>249</v>
      </c>
      <c r="CN2" s="1" t="s">
        <v>250</v>
      </c>
      <c r="CO2" s="1" t="s">
        <v>251</v>
      </c>
      <c r="CP2" s="1" t="s">
        <v>252</v>
      </c>
      <c r="CQ2" s="1" t="s">
        <v>253</v>
      </c>
      <c r="CR2" s="1" t="s">
        <v>254</v>
      </c>
      <c r="CS2" s="1" t="s">
        <v>255</v>
      </c>
      <c r="CT2" s="1" t="s">
        <v>256</v>
      </c>
      <c r="CU2" s="1" t="s">
        <v>257</v>
      </c>
      <c r="CV2" s="1" t="s">
        <v>263</v>
      </c>
      <c r="CW2" s="1" t="s">
        <v>264</v>
      </c>
      <c r="CX2" s="1" t="s">
        <v>265</v>
      </c>
      <c r="CY2" s="1" t="s">
        <v>266</v>
      </c>
      <c r="CZ2" s="1" t="s">
        <v>267</v>
      </c>
      <c r="DA2" s="1" t="s">
        <v>269</v>
      </c>
      <c r="DB2" s="1" t="s">
        <v>328</v>
      </c>
      <c r="DC2" s="1" t="s">
        <v>271</v>
      </c>
      <c r="DD2" s="1" t="s">
        <v>272</v>
      </c>
      <c r="DE2" s="1" t="s">
        <v>273</v>
      </c>
      <c r="DF2" s="1" t="s">
        <v>274</v>
      </c>
      <c r="DG2" s="1" t="s">
        <v>275</v>
      </c>
      <c r="DH2" s="1" t="s">
        <v>276</v>
      </c>
      <c r="DI2" s="1" t="s">
        <v>277</v>
      </c>
      <c r="DJ2" s="1" t="s">
        <v>278</v>
      </c>
      <c r="DK2" s="1" t="s">
        <v>279</v>
      </c>
      <c r="DL2" s="1" t="s">
        <v>280</v>
      </c>
      <c r="DM2" s="1" t="s">
        <v>281</v>
      </c>
      <c r="DN2" s="1" t="s">
        <v>282</v>
      </c>
      <c r="DO2" s="1" t="s">
        <v>283</v>
      </c>
      <c r="DP2" s="1" t="s">
        <v>284</v>
      </c>
      <c r="DQ2" s="1" t="s">
        <v>285</v>
      </c>
      <c r="DR2" s="1" t="s">
        <v>286</v>
      </c>
      <c r="DS2" s="1" t="s">
        <v>293</v>
      </c>
      <c r="DT2" s="1" t="s">
        <v>294</v>
      </c>
      <c r="DU2" s="1" t="s">
        <v>295</v>
      </c>
      <c r="DV2" s="1" t="s">
        <v>296</v>
      </c>
      <c r="DW2" s="1" t="s">
        <v>297</v>
      </c>
      <c r="DX2" s="1" t="s">
        <v>298</v>
      </c>
      <c r="DY2" s="1" t="s">
        <v>299</v>
      </c>
      <c r="DZ2" s="1" t="s">
        <v>300</v>
      </c>
      <c r="EA2" s="1" t="s">
        <v>301</v>
      </c>
      <c r="EB2" s="1" t="s">
        <v>302</v>
      </c>
      <c r="EC2" s="1" t="s">
        <v>303</v>
      </c>
      <c r="ED2" s="1" t="s">
        <v>304</v>
      </c>
      <c r="EE2" s="1" t="s">
        <v>305</v>
      </c>
      <c r="EF2" s="1" t="s">
        <v>306</v>
      </c>
      <c r="EG2" s="1" t="s">
        <v>311</v>
      </c>
      <c r="EH2" s="1" t="s">
        <v>312</v>
      </c>
      <c r="EI2" s="1" t="s">
        <v>313</v>
      </c>
      <c r="EJ2" s="1" t="s">
        <v>314</v>
      </c>
      <c r="EK2" s="1" t="s">
        <v>315</v>
      </c>
      <c r="EL2" s="1" t="s">
        <v>316</v>
      </c>
      <c r="EM2" s="1" t="s">
        <v>317</v>
      </c>
      <c r="EN2" s="1" t="s">
        <v>318</v>
      </c>
      <c r="EO2" s="1" t="s">
        <v>319</v>
      </c>
      <c r="EP2" s="1" t="s">
        <v>320</v>
      </c>
      <c r="EQ2" s="1" t="s">
        <v>321</v>
      </c>
      <c r="ER2" s="1" t="s">
        <v>322</v>
      </c>
      <c r="ES2" s="1" t="s">
        <v>323</v>
      </c>
      <c r="ET2" s="1" t="s">
        <v>324</v>
      </c>
      <c r="EU2" s="1" t="s">
        <v>325</v>
      </c>
      <c r="EV2" s="1" t="s">
        <v>328</v>
      </c>
      <c r="EW2" s="1" t="s">
        <v>329</v>
      </c>
      <c r="EX2" s="1" t="s">
        <v>330</v>
      </c>
      <c r="EY2" s="1" t="s">
        <v>331</v>
      </c>
      <c r="EZ2" s="1" t="s">
        <v>332</v>
      </c>
      <c r="FA2" s="1" t="s">
        <v>333</v>
      </c>
      <c r="FB2" s="1" t="s">
        <v>334</v>
      </c>
      <c r="FC2" s="1" t="s">
        <v>337</v>
      </c>
      <c r="FD2" s="1" t="s">
        <v>338</v>
      </c>
      <c r="FE2" s="1" t="s">
        <v>341</v>
      </c>
      <c r="FF2" s="1" t="s">
        <v>345</v>
      </c>
      <c r="FG2" s="1" t="s">
        <v>346</v>
      </c>
      <c r="FH2" s="1" t="s">
        <v>347</v>
      </c>
      <c r="FI2" s="1" t="s">
        <v>348</v>
      </c>
      <c r="FJ2" s="1" t="s">
        <v>349</v>
      </c>
      <c r="FK2" s="1" t="s">
        <v>350</v>
      </c>
      <c r="FL2" s="1" t="s">
        <v>351</v>
      </c>
      <c r="FM2" s="1" t="s">
        <v>352</v>
      </c>
      <c r="FN2" s="1" t="s">
        <v>353</v>
      </c>
      <c r="FO2" s="1" t="s">
        <v>354</v>
      </c>
      <c r="FP2" s="1" t="s">
        <v>355</v>
      </c>
      <c r="FQ2" s="1" t="s">
        <v>356</v>
      </c>
      <c r="FR2" s="1" t="s">
        <v>357</v>
      </c>
      <c r="FS2" s="1" t="s">
        <v>358</v>
      </c>
      <c r="FT2" s="1" t="s">
        <v>359</v>
      </c>
      <c r="FU2" s="1" t="s">
        <v>360</v>
      </c>
      <c r="FV2" s="1" t="s">
        <v>361</v>
      </c>
      <c r="FW2" s="1" t="s">
        <v>362</v>
      </c>
      <c r="FX2" s="1" t="s">
        <v>363</v>
      </c>
      <c r="FY2" s="1" t="s">
        <v>364</v>
      </c>
      <c r="FZ2" s="1" t="s">
        <v>365</v>
      </c>
      <c r="GA2" s="1" t="s">
        <v>366</v>
      </c>
      <c r="GB2" s="1" t="s">
        <v>367</v>
      </c>
      <c r="GC2" s="1" t="s">
        <v>368</v>
      </c>
      <c r="GD2" s="1" t="s">
        <v>369</v>
      </c>
      <c r="GE2" s="1" t="s">
        <v>370</v>
      </c>
      <c r="GF2" s="1" t="s">
        <v>371</v>
      </c>
      <c r="GG2" s="1" t="s">
        <v>372</v>
      </c>
      <c r="GH2" s="1" t="s">
        <v>373</v>
      </c>
      <c r="GI2" s="1" t="s">
        <v>374</v>
      </c>
      <c r="GJ2" s="1" t="s">
        <v>375</v>
      </c>
      <c r="GK2" s="1" t="s">
        <v>376</v>
      </c>
      <c r="GL2" s="1" t="s">
        <v>377</v>
      </c>
      <c r="GM2" s="1" t="s">
        <v>378</v>
      </c>
      <c r="GN2" s="1" t="s">
        <v>379</v>
      </c>
      <c r="GO2" s="1" t="s">
        <v>380</v>
      </c>
      <c r="GP2" s="1" t="s">
        <v>381</v>
      </c>
      <c r="GQ2" s="1" t="s">
        <v>382</v>
      </c>
      <c r="GR2" s="1" t="s">
        <v>384</v>
      </c>
      <c r="GS2" s="1" t="s">
        <v>385</v>
      </c>
      <c r="GT2" s="1" t="s">
        <v>386</v>
      </c>
      <c r="GU2" s="1" t="s">
        <v>387</v>
      </c>
      <c r="GV2" s="1" t="s">
        <v>388</v>
      </c>
      <c r="GW2" s="1" t="s">
        <v>389</v>
      </c>
      <c r="GX2" s="1" t="s">
        <v>390</v>
      </c>
      <c r="GY2" s="1" t="s">
        <v>391</v>
      </c>
      <c r="GZ2" s="1" t="s">
        <v>392</v>
      </c>
      <c r="HA2" s="1" t="s">
        <v>393</v>
      </c>
      <c r="HB2" s="1" t="s">
        <v>394</v>
      </c>
      <c r="HC2" s="1" t="s">
        <v>610</v>
      </c>
      <c r="HD2" s="1" t="s">
        <v>612</v>
      </c>
      <c r="HE2" s="1" t="s">
        <v>613</v>
      </c>
      <c r="HF2" s="1" t="s">
        <v>614</v>
      </c>
      <c r="HG2" s="1" t="s">
        <v>615</v>
      </c>
      <c r="HH2" s="1" t="s">
        <v>616</v>
      </c>
      <c r="HI2" s="1" t="s">
        <v>617</v>
      </c>
    </row>
    <row r="3" spans="1:217" ht="87" x14ac:dyDescent="0.35">
      <c r="A3" s="1" t="s">
        <v>778</v>
      </c>
      <c r="B3" s="1" t="s">
        <v>24</v>
      </c>
      <c r="C3" s="1" t="s">
        <v>779</v>
      </c>
      <c r="D3" s="1" t="s">
        <v>780</v>
      </c>
      <c r="E3" s="1" t="s">
        <v>780</v>
      </c>
      <c r="F3" s="1" t="s">
        <v>780</v>
      </c>
      <c r="G3" s="1" t="s">
        <v>780</v>
      </c>
      <c r="H3" s="1" t="s">
        <v>780</v>
      </c>
      <c r="AB3" s="1" t="s">
        <v>780</v>
      </c>
      <c r="AH3" s="1" t="s">
        <v>780</v>
      </c>
      <c r="AI3" s="1" t="s">
        <v>780</v>
      </c>
      <c r="AN3" s="1" t="s">
        <v>780</v>
      </c>
      <c r="AO3"/>
      <c r="AP3"/>
      <c r="AQ3"/>
      <c r="AW3" s="1" t="s">
        <v>780</v>
      </c>
      <c r="BA3" s="1" t="s">
        <v>780</v>
      </c>
      <c r="BB3" s="1" t="s">
        <v>780</v>
      </c>
      <c r="BD3" s="1" t="s">
        <v>780</v>
      </c>
      <c r="BE3" s="1" t="s">
        <v>780</v>
      </c>
      <c r="BF3" s="1" t="s">
        <v>780</v>
      </c>
      <c r="BG3" s="1" t="s">
        <v>780</v>
      </c>
      <c r="BH3" s="1" t="s">
        <v>780</v>
      </c>
      <c r="BI3" s="1" t="s">
        <v>780</v>
      </c>
      <c r="DY3"/>
      <c r="ED3"/>
    </row>
    <row r="4" spans="1:217" ht="116" x14ac:dyDescent="0.35">
      <c r="A4" s="1" t="s">
        <v>778</v>
      </c>
      <c r="B4" s="1" t="s">
        <v>24</v>
      </c>
      <c r="C4" s="1" t="s">
        <v>781</v>
      </c>
      <c r="D4" s="1" t="s">
        <v>780</v>
      </c>
      <c r="E4" s="1" t="s">
        <v>780</v>
      </c>
      <c r="F4" s="1" t="s">
        <v>780</v>
      </c>
      <c r="G4" s="1" t="s">
        <v>780</v>
      </c>
      <c r="H4" s="1" t="s">
        <v>780</v>
      </c>
      <c r="V4" s="1" t="s">
        <v>780</v>
      </c>
      <c r="AB4" s="1" t="s">
        <v>780</v>
      </c>
      <c r="AG4" s="1" t="s">
        <v>780</v>
      </c>
      <c r="AH4" s="1" t="s">
        <v>780</v>
      </c>
      <c r="AI4" s="1" t="s">
        <v>780</v>
      </c>
      <c r="AO4" t="s">
        <v>780</v>
      </c>
      <c r="AP4"/>
      <c r="AQ4" t="s">
        <v>780</v>
      </c>
      <c r="AZ4" s="1" t="s">
        <v>780</v>
      </c>
      <c r="BD4" s="1" t="s">
        <v>780</v>
      </c>
      <c r="BE4" s="1" t="s">
        <v>780</v>
      </c>
      <c r="BF4" s="1" t="s">
        <v>780</v>
      </c>
      <c r="BG4" s="1" t="s">
        <v>780</v>
      </c>
      <c r="BH4" s="1" t="s">
        <v>780</v>
      </c>
      <c r="BI4" s="1" t="s">
        <v>780</v>
      </c>
      <c r="DY4"/>
      <c r="ED4"/>
    </row>
    <row r="5" spans="1:217" ht="116" x14ac:dyDescent="0.35">
      <c r="A5" s="1" t="s">
        <v>778</v>
      </c>
      <c r="B5" s="1" t="s">
        <v>24</v>
      </c>
      <c r="C5" s="1" t="s">
        <v>782</v>
      </c>
      <c r="D5" s="1" t="s">
        <v>780</v>
      </c>
      <c r="E5" s="1" t="s">
        <v>780</v>
      </c>
      <c r="F5" s="1" t="s">
        <v>780</v>
      </c>
      <c r="G5" s="1" t="s">
        <v>780</v>
      </c>
      <c r="H5" s="1" t="s">
        <v>780</v>
      </c>
      <c r="AB5" s="1" t="s">
        <v>780</v>
      </c>
      <c r="AH5" s="1" t="s">
        <v>780</v>
      </c>
      <c r="AI5" s="1" t="s">
        <v>780</v>
      </c>
      <c r="AO5"/>
      <c r="AP5"/>
      <c r="AQ5" t="s">
        <v>780</v>
      </c>
      <c r="BD5" s="1" t="s">
        <v>780</v>
      </c>
      <c r="BE5" s="1" t="s">
        <v>780</v>
      </c>
      <c r="BF5" s="1" t="s">
        <v>780</v>
      </c>
      <c r="BG5" s="1" t="s">
        <v>780</v>
      </c>
      <c r="BH5" s="1" t="s">
        <v>780</v>
      </c>
      <c r="BI5" s="1" t="s">
        <v>780</v>
      </c>
      <c r="DY5" t="s">
        <v>780</v>
      </c>
      <c r="ED5"/>
    </row>
    <row r="6" spans="1:217" ht="43.5" x14ac:dyDescent="0.35">
      <c r="A6" s="1" t="s">
        <v>778</v>
      </c>
      <c r="B6" s="1" t="s">
        <v>24</v>
      </c>
      <c r="C6" s="1" t="s">
        <v>783</v>
      </c>
      <c r="D6" s="1" t="s">
        <v>780</v>
      </c>
      <c r="E6" s="1" t="s">
        <v>780</v>
      </c>
      <c r="F6" s="1" t="s">
        <v>780</v>
      </c>
      <c r="G6" s="1" t="s">
        <v>780</v>
      </c>
      <c r="H6" s="1" t="s">
        <v>780</v>
      </c>
      <c r="AB6" s="1" t="s">
        <v>780</v>
      </c>
      <c r="AH6" s="1" t="s">
        <v>780</v>
      </c>
      <c r="AI6" s="1" t="s">
        <v>780</v>
      </c>
      <c r="AN6" s="1" t="s">
        <v>780</v>
      </c>
      <c r="AW6" s="1" t="s">
        <v>780</v>
      </c>
      <c r="BA6" s="1" t="s">
        <v>780</v>
      </c>
      <c r="BB6" s="1" t="s">
        <v>780</v>
      </c>
      <c r="BD6" s="1" t="s">
        <v>780</v>
      </c>
      <c r="BE6" s="1" t="s">
        <v>780</v>
      </c>
    </row>
    <row r="7" spans="1:217" ht="58" x14ac:dyDescent="0.35">
      <c r="A7" s="1" t="s">
        <v>778</v>
      </c>
      <c r="B7" s="1" t="s">
        <v>24</v>
      </c>
      <c r="C7" s="1" t="s">
        <v>784</v>
      </c>
      <c r="D7" s="1" t="s">
        <v>780</v>
      </c>
      <c r="E7" s="1" t="s">
        <v>780</v>
      </c>
      <c r="F7" s="1" t="s">
        <v>780</v>
      </c>
      <c r="G7" s="1" t="s">
        <v>780</v>
      </c>
      <c r="V7" s="1" t="s">
        <v>780</v>
      </c>
      <c r="AB7" s="1" t="s">
        <v>780</v>
      </c>
      <c r="AG7" s="1" t="s">
        <v>780</v>
      </c>
      <c r="AH7" s="1" t="s">
        <v>780</v>
      </c>
      <c r="AI7" s="1" t="s">
        <v>780</v>
      </c>
      <c r="AO7" s="1" t="s">
        <v>780</v>
      </c>
      <c r="AQ7" s="1" t="s">
        <v>780</v>
      </c>
      <c r="AZ7" s="1" t="s">
        <v>780</v>
      </c>
      <c r="BD7" s="1" t="s">
        <v>780</v>
      </c>
      <c r="BE7" s="1" t="s">
        <v>780</v>
      </c>
      <c r="BF7" s="1" t="s">
        <v>780</v>
      </c>
      <c r="BG7" s="1" t="s">
        <v>780</v>
      </c>
      <c r="BH7" s="1" t="s">
        <v>780</v>
      </c>
      <c r="BI7" s="1" t="s">
        <v>780</v>
      </c>
    </row>
    <row r="8" spans="1:217" ht="43.5" x14ac:dyDescent="0.35">
      <c r="A8" s="1" t="s">
        <v>778</v>
      </c>
      <c r="B8" s="1" t="s">
        <v>24</v>
      </c>
      <c r="C8" s="1" t="s">
        <v>785</v>
      </c>
      <c r="D8" s="1" t="s">
        <v>780</v>
      </c>
      <c r="E8" s="1" t="s">
        <v>780</v>
      </c>
      <c r="F8" s="1" t="s">
        <v>780</v>
      </c>
      <c r="G8" s="1" t="s">
        <v>780</v>
      </c>
      <c r="H8" s="1" t="s">
        <v>780</v>
      </c>
      <c r="AB8" s="1" t="s">
        <v>780</v>
      </c>
      <c r="AH8" s="1" t="s">
        <v>780</v>
      </c>
      <c r="AI8" s="1" t="s">
        <v>780</v>
      </c>
      <c r="AQ8" s="1" t="s">
        <v>780</v>
      </c>
      <c r="BD8" s="1" t="s">
        <v>780</v>
      </c>
      <c r="BE8" s="1" t="s">
        <v>780</v>
      </c>
      <c r="BF8" s="1" t="s">
        <v>780</v>
      </c>
      <c r="BG8" s="1" t="s">
        <v>780</v>
      </c>
      <c r="BH8" s="1" t="s">
        <v>780</v>
      </c>
      <c r="BI8" s="1" t="s">
        <v>780</v>
      </c>
      <c r="DY8" s="1" t="s">
        <v>780</v>
      </c>
    </row>
    <row r="9" spans="1:217" ht="72.5" x14ac:dyDescent="0.35">
      <c r="A9" s="1" t="s">
        <v>778</v>
      </c>
      <c r="B9" s="1" t="s">
        <v>24</v>
      </c>
      <c r="C9" s="1" t="s">
        <v>786</v>
      </c>
      <c r="D9" s="1" t="s">
        <v>780</v>
      </c>
      <c r="E9" s="1" t="s">
        <v>780</v>
      </c>
      <c r="F9" s="1" t="s">
        <v>780</v>
      </c>
      <c r="G9" s="1" t="s">
        <v>780</v>
      </c>
      <c r="H9" s="1" t="s">
        <v>780</v>
      </c>
      <c r="V9" s="1" t="s">
        <v>780</v>
      </c>
      <c r="AB9" s="1" t="s">
        <v>780</v>
      </c>
      <c r="AH9" s="1" t="s">
        <v>780</v>
      </c>
      <c r="AI9" s="1" t="s">
        <v>780</v>
      </c>
      <c r="AQ9" s="1" t="s">
        <v>780</v>
      </c>
      <c r="BD9" s="1" t="s">
        <v>780</v>
      </c>
      <c r="BE9" s="1" t="s">
        <v>780</v>
      </c>
      <c r="BF9" s="1" t="s">
        <v>780</v>
      </c>
      <c r="BG9" s="1" t="s">
        <v>780</v>
      </c>
      <c r="BH9" s="1" t="s">
        <v>780</v>
      </c>
      <c r="BI9" s="1" t="s">
        <v>780</v>
      </c>
      <c r="DZ9" s="1" t="s">
        <v>780</v>
      </c>
      <c r="EA9" s="1" t="s">
        <v>780</v>
      </c>
    </row>
    <row r="10" spans="1:217" ht="87" x14ac:dyDescent="0.35">
      <c r="A10" s="1" t="s">
        <v>778</v>
      </c>
      <c r="B10" s="1" t="s">
        <v>24</v>
      </c>
      <c r="C10" s="1" t="s">
        <v>787</v>
      </c>
      <c r="D10" s="1" t="s">
        <v>780</v>
      </c>
      <c r="E10" s="1" t="s">
        <v>780</v>
      </c>
      <c r="F10" s="1" t="s">
        <v>780</v>
      </c>
      <c r="G10" s="1" t="s">
        <v>780</v>
      </c>
      <c r="H10" s="1" t="s">
        <v>780</v>
      </c>
      <c r="V10" s="1" t="s">
        <v>780</v>
      </c>
      <c r="W10" s="1" t="s">
        <v>780</v>
      </c>
      <c r="AB10" s="1" t="s">
        <v>780</v>
      </c>
      <c r="AG10" s="1" t="s">
        <v>780</v>
      </c>
      <c r="AH10" s="1" t="s">
        <v>780</v>
      </c>
      <c r="AI10" s="1" t="s">
        <v>780</v>
      </c>
      <c r="AO10" s="1" t="s">
        <v>788</v>
      </c>
      <c r="AQ10" s="1" t="s">
        <v>788</v>
      </c>
      <c r="AR10" s="1" t="s">
        <v>780</v>
      </c>
      <c r="BD10" s="1" t="s">
        <v>780</v>
      </c>
      <c r="BE10" s="1" t="s">
        <v>780</v>
      </c>
      <c r="BF10" s="1" t="s">
        <v>780</v>
      </c>
      <c r="BG10" s="1" t="s">
        <v>780</v>
      </c>
      <c r="BH10" s="1" t="s">
        <v>780</v>
      </c>
      <c r="BI10" s="1" t="s">
        <v>780</v>
      </c>
      <c r="EC10" s="1" t="s">
        <v>780</v>
      </c>
    </row>
    <row r="11" spans="1:217" ht="101.5" x14ac:dyDescent="0.35">
      <c r="A11" s="1" t="s">
        <v>778</v>
      </c>
      <c r="B11" s="1" t="s">
        <v>24</v>
      </c>
      <c r="C11" s="1" t="s">
        <v>789</v>
      </c>
      <c r="D11" s="1" t="s">
        <v>780</v>
      </c>
      <c r="E11" s="1" t="s">
        <v>780</v>
      </c>
      <c r="F11" s="1" t="s">
        <v>780</v>
      </c>
      <c r="G11" s="1" t="s">
        <v>780</v>
      </c>
      <c r="H11" s="1" t="s">
        <v>780</v>
      </c>
      <c r="AB11" s="1" t="s">
        <v>780</v>
      </c>
      <c r="AG11" s="1" t="s">
        <v>780</v>
      </c>
      <c r="AO11" s="1" t="s">
        <v>780</v>
      </c>
      <c r="AQ11" s="1" t="s">
        <v>780</v>
      </c>
      <c r="BD11" s="1" t="s">
        <v>780</v>
      </c>
      <c r="BE11" s="1" t="s">
        <v>780</v>
      </c>
      <c r="BF11" s="1" t="s">
        <v>780</v>
      </c>
      <c r="BG11" s="1" t="s">
        <v>780</v>
      </c>
      <c r="BH11" s="1" t="s">
        <v>780</v>
      </c>
      <c r="BI11" s="1" t="s">
        <v>780</v>
      </c>
    </row>
    <row r="12" spans="1:217" ht="43.5" x14ac:dyDescent="0.35">
      <c r="A12" s="1" t="s">
        <v>778</v>
      </c>
      <c r="B12" s="1" t="s">
        <v>24</v>
      </c>
      <c r="C12" s="1" t="s">
        <v>790</v>
      </c>
      <c r="D12" s="1" t="s">
        <v>780</v>
      </c>
      <c r="E12" s="1" t="s">
        <v>780</v>
      </c>
      <c r="F12" s="1" t="s">
        <v>780</v>
      </c>
      <c r="G12" s="1" t="s">
        <v>780</v>
      </c>
      <c r="H12" s="1" t="s">
        <v>780</v>
      </c>
      <c r="AB12" s="1" t="s">
        <v>780</v>
      </c>
      <c r="BJ12" s="1" t="s">
        <v>780</v>
      </c>
      <c r="BK12" s="1" t="s">
        <v>780</v>
      </c>
      <c r="BL12" s="1" t="s">
        <v>780</v>
      </c>
    </row>
    <row r="13" spans="1:217" ht="43.5" x14ac:dyDescent="0.35">
      <c r="A13" s="1" t="s">
        <v>778</v>
      </c>
      <c r="B13" s="1" t="s">
        <v>24</v>
      </c>
      <c r="C13" s="1" t="s">
        <v>791</v>
      </c>
      <c r="D13" s="1" t="s">
        <v>780</v>
      </c>
      <c r="E13" s="1" t="s">
        <v>780</v>
      </c>
      <c r="F13" s="1" t="s">
        <v>780</v>
      </c>
      <c r="G13" s="1" t="s">
        <v>780</v>
      </c>
      <c r="H13" s="1" t="s">
        <v>780</v>
      </c>
      <c r="AB13" s="1" t="s">
        <v>780</v>
      </c>
      <c r="AI13" s="1" t="s">
        <v>780</v>
      </c>
      <c r="BN13" s="1" t="s">
        <v>780</v>
      </c>
      <c r="BO13" s="1" t="s">
        <v>780</v>
      </c>
      <c r="BV13" s="1" t="s">
        <v>780</v>
      </c>
      <c r="BW13" s="1" t="s">
        <v>780</v>
      </c>
      <c r="BX13" s="1" t="s">
        <v>780</v>
      </c>
      <c r="BY13" s="1" t="s">
        <v>780</v>
      </c>
    </row>
    <row r="14" spans="1:217" ht="43.5" x14ac:dyDescent="0.35">
      <c r="A14" s="1" t="s">
        <v>778</v>
      </c>
      <c r="B14" s="1" t="s">
        <v>24</v>
      </c>
      <c r="C14" s="1" t="s">
        <v>792</v>
      </c>
      <c r="D14" s="1" t="s">
        <v>780</v>
      </c>
      <c r="E14" s="1" t="s">
        <v>780</v>
      </c>
      <c r="F14" s="1" t="s">
        <v>780</v>
      </c>
      <c r="G14" s="1" t="s">
        <v>780</v>
      </c>
      <c r="H14" s="1" t="s">
        <v>780</v>
      </c>
      <c r="AJ14" s="1" t="s">
        <v>780</v>
      </c>
      <c r="BZ14" s="1" t="s">
        <v>780</v>
      </c>
      <c r="CA14" s="1" t="s">
        <v>780</v>
      </c>
      <c r="CB14" s="1" t="s">
        <v>780</v>
      </c>
      <c r="CC14" s="1" t="s">
        <v>780</v>
      </c>
      <c r="CD14" s="1" t="s">
        <v>780</v>
      </c>
      <c r="DG14" s="1" t="s">
        <v>780</v>
      </c>
    </row>
    <row r="15" spans="1:217" ht="58" x14ac:dyDescent="0.35">
      <c r="A15" s="1" t="s">
        <v>778</v>
      </c>
      <c r="B15" s="1" t="s">
        <v>24</v>
      </c>
      <c r="C15" s="1" t="s">
        <v>793</v>
      </c>
      <c r="D15" s="1" t="s">
        <v>780</v>
      </c>
      <c r="E15" s="1" t="s">
        <v>780</v>
      </c>
      <c r="F15" s="1" t="s">
        <v>780</v>
      </c>
      <c r="G15" s="1" t="s">
        <v>780</v>
      </c>
      <c r="H15" s="1" t="s">
        <v>780</v>
      </c>
      <c r="I15" s="1" t="s">
        <v>780</v>
      </c>
      <c r="J15" s="1" t="s">
        <v>780</v>
      </c>
      <c r="K15" s="1" t="s">
        <v>780</v>
      </c>
      <c r="L15" s="1" t="s">
        <v>780</v>
      </c>
      <c r="M15" s="1" t="s">
        <v>780</v>
      </c>
      <c r="P15" s="1" t="s">
        <v>780</v>
      </c>
      <c r="Q15" s="1" t="s">
        <v>780</v>
      </c>
      <c r="BM15" s="1" t="s">
        <v>780</v>
      </c>
      <c r="CD15" s="1" t="s">
        <v>780</v>
      </c>
    </row>
    <row r="16" spans="1:217" ht="87" x14ac:dyDescent="0.35">
      <c r="A16" s="1" t="s">
        <v>778</v>
      </c>
      <c r="B16" s="1" t="s">
        <v>24</v>
      </c>
      <c r="C16" s="1" t="s">
        <v>794</v>
      </c>
      <c r="D16" s="1" t="s">
        <v>780</v>
      </c>
      <c r="E16" s="1" t="s">
        <v>780</v>
      </c>
      <c r="F16" s="1" t="s">
        <v>780</v>
      </c>
      <c r="G16" s="1" t="s">
        <v>780</v>
      </c>
      <c r="H16" s="1" t="s">
        <v>780</v>
      </c>
      <c r="N16" s="1" t="s">
        <v>780</v>
      </c>
      <c r="O16" s="1" t="s">
        <v>780</v>
      </c>
      <c r="P16" s="1" t="s">
        <v>780</v>
      </c>
      <c r="Q16" s="1" t="s">
        <v>780</v>
      </c>
      <c r="AI16" s="1" t="s">
        <v>780</v>
      </c>
      <c r="AN16" s="1" t="s">
        <v>780</v>
      </c>
      <c r="CD16" s="1" t="s">
        <v>780</v>
      </c>
      <c r="CJ16" s="1" t="s">
        <v>780</v>
      </c>
      <c r="CU16" s="1" t="s">
        <v>780</v>
      </c>
      <c r="DF16" s="1" t="s">
        <v>780</v>
      </c>
    </row>
    <row r="17" spans="1:149" ht="174" x14ac:dyDescent="0.35">
      <c r="A17" s="1" t="s">
        <v>778</v>
      </c>
      <c r="B17" s="1" t="s">
        <v>24</v>
      </c>
      <c r="C17" s="1" t="s">
        <v>795</v>
      </c>
      <c r="D17" s="1" t="s">
        <v>780</v>
      </c>
      <c r="E17" s="1" t="s">
        <v>780</v>
      </c>
      <c r="F17" s="1" t="s">
        <v>780</v>
      </c>
      <c r="G17" s="1" t="s">
        <v>780</v>
      </c>
      <c r="H17" s="1" t="s">
        <v>780</v>
      </c>
      <c r="R17" s="1" t="s">
        <v>780</v>
      </c>
      <c r="S17" s="1" t="s">
        <v>780</v>
      </c>
      <c r="T17" s="1" t="s">
        <v>780</v>
      </c>
      <c r="U17" s="1" t="s">
        <v>780</v>
      </c>
      <c r="AJ17" s="1" t="s">
        <v>780</v>
      </c>
      <c r="AN17" s="1" t="s">
        <v>780</v>
      </c>
      <c r="AS17" s="1" t="s">
        <v>780</v>
      </c>
      <c r="BB17" s="1" t="s">
        <v>780</v>
      </c>
      <c r="CD17" s="1" t="s">
        <v>780</v>
      </c>
      <c r="CJ17" s="1" t="s">
        <v>780</v>
      </c>
      <c r="DF17" s="1" t="s">
        <v>780</v>
      </c>
    </row>
    <row r="18" spans="1:149" ht="261" x14ac:dyDescent="0.35">
      <c r="A18" s="1" t="s">
        <v>778</v>
      </c>
      <c r="B18" s="1" t="s">
        <v>24</v>
      </c>
      <c r="C18" s="1" t="s">
        <v>796</v>
      </c>
      <c r="D18" s="1" t="s">
        <v>780</v>
      </c>
      <c r="E18" s="1" t="s">
        <v>780</v>
      </c>
      <c r="F18" s="1" t="s">
        <v>780</v>
      </c>
      <c r="G18" s="1" t="s">
        <v>780</v>
      </c>
      <c r="H18" s="1" t="s">
        <v>780</v>
      </c>
      <c r="I18" s="1" t="s">
        <v>780</v>
      </c>
      <c r="J18" s="1" t="s">
        <v>780</v>
      </c>
      <c r="K18" s="1" t="s">
        <v>780</v>
      </c>
      <c r="L18" s="1" t="s">
        <v>780</v>
      </c>
      <c r="M18" s="1" t="s">
        <v>780</v>
      </c>
      <c r="N18" s="1" t="s">
        <v>780</v>
      </c>
      <c r="P18" s="1" t="s">
        <v>780</v>
      </c>
      <c r="Q18" s="1" t="s">
        <v>780</v>
      </c>
      <c r="AI18" s="1" t="s">
        <v>780</v>
      </c>
      <c r="CD18" s="1" t="s">
        <v>780</v>
      </c>
      <c r="CF18" s="1" t="s">
        <v>780</v>
      </c>
      <c r="CJ18" s="1" t="s">
        <v>780</v>
      </c>
      <c r="CL18" s="1" t="s">
        <v>780</v>
      </c>
      <c r="CU18" s="1" t="s">
        <v>780</v>
      </c>
      <c r="CV18" s="1" t="s">
        <v>780</v>
      </c>
      <c r="DF18" s="1" t="s">
        <v>780</v>
      </c>
    </row>
    <row r="19" spans="1:149" ht="145" x14ac:dyDescent="0.35">
      <c r="A19" s="1" t="s">
        <v>778</v>
      </c>
      <c r="B19" s="1" t="s">
        <v>24</v>
      </c>
      <c r="C19" s="1" t="s">
        <v>797</v>
      </c>
      <c r="D19" s="1" t="s">
        <v>780</v>
      </c>
      <c r="E19" s="1" t="s">
        <v>780</v>
      </c>
      <c r="F19" s="1" t="s">
        <v>780</v>
      </c>
      <c r="G19" s="1" t="s">
        <v>780</v>
      </c>
      <c r="H19" s="1" t="s">
        <v>780</v>
      </c>
      <c r="I19" s="1" t="s">
        <v>780</v>
      </c>
      <c r="J19" s="1" t="s">
        <v>780</v>
      </c>
      <c r="N19" s="1" t="s">
        <v>780</v>
      </c>
      <c r="O19" s="1" t="s">
        <v>780</v>
      </c>
      <c r="AN19" s="1" t="s">
        <v>780</v>
      </c>
      <c r="AS19" s="1" t="s">
        <v>780</v>
      </c>
      <c r="BB19" s="1" t="s">
        <v>780</v>
      </c>
      <c r="CD19" s="1" t="s">
        <v>780</v>
      </c>
      <c r="CJ19" s="1" t="s">
        <v>780</v>
      </c>
      <c r="DF19" s="1" t="s">
        <v>780</v>
      </c>
    </row>
    <row r="20" spans="1:149" ht="116" x14ac:dyDescent="0.35">
      <c r="A20" s="1" t="s">
        <v>778</v>
      </c>
      <c r="B20" s="1" t="s">
        <v>24</v>
      </c>
      <c r="C20" s="1" t="s">
        <v>798</v>
      </c>
      <c r="D20" s="1" t="s">
        <v>780</v>
      </c>
      <c r="E20" s="1" t="s">
        <v>780</v>
      </c>
      <c r="F20" s="1" t="s">
        <v>780</v>
      </c>
      <c r="G20" s="1" t="s">
        <v>780</v>
      </c>
      <c r="H20" s="1" t="s">
        <v>780</v>
      </c>
      <c r="I20" s="1" t="s">
        <v>780</v>
      </c>
      <c r="J20" s="1" t="s">
        <v>780</v>
      </c>
      <c r="AB20" s="1" t="s">
        <v>780</v>
      </c>
      <c r="AH20" s="1" t="s">
        <v>780</v>
      </c>
      <c r="AI20" s="1" t="s">
        <v>780</v>
      </c>
      <c r="CD20" s="1" t="s">
        <v>780</v>
      </c>
      <c r="CG20" s="1" t="s">
        <v>780</v>
      </c>
      <c r="CH20" s="1" t="s">
        <v>780</v>
      </c>
      <c r="CJ20" s="1" t="s">
        <v>780</v>
      </c>
      <c r="CN20" s="1" t="s">
        <v>780</v>
      </c>
      <c r="CO20" s="1" t="s">
        <v>780</v>
      </c>
      <c r="CU20" s="1" t="s">
        <v>780</v>
      </c>
      <c r="DY20" s="1" t="s">
        <v>780</v>
      </c>
      <c r="EC20" s="1" t="s">
        <v>780</v>
      </c>
    </row>
    <row r="21" spans="1:149" ht="58" x14ac:dyDescent="0.35">
      <c r="A21" s="1" t="s">
        <v>778</v>
      </c>
      <c r="B21" s="1" t="s">
        <v>24</v>
      </c>
      <c r="C21" s="1" t="s">
        <v>799</v>
      </c>
      <c r="D21" s="1" t="s">
        <v>780</v>
      </c>
      <c r="E21" s="1" t="s">
        <v>780</v>
      </c>
      <c r="F21" s="1" t="s">
        <v>780</v>
      </c>
      <c r="G21" s="1" t="s">
        <v>780</v>
      </c>
      <c r="H21" s="1" t="s">
        <v>780</v>
      </c>
      <c r="I21" s="1" t="s">
        <v>780</v>
      </c>
      <c r="J21" s="1" t="s">
        <v>780</v>
      </c>
      <c r="AB21" s="1" t="s">
        <v>780</v>
      </c>
      <c r="AH21" s="1" t="s">
        <v>780</v>
      </c>
      <c r="AI21" s="1" t="s">
        <v>780</v>
      </c>
      <c r="CD21" s="1" t="s">
        <v>780</v>
      </c>
      <c r="CG21" s="1" t="s">
        <v>780</v>
      </c>
      <c r="CH21" s="1" t="s">
        <v>780</v>
      </c>
      <c r="CJ21" s="1" t="s">
        <v>780</v>
      </c>
      <c r="CN21" s="1" t="s">
        <v>780</v>
      </c>
      <c r="CO21" s="1" t="s">
        <v>780</v>
      </c>
      <c r="CU21" s="1" t="s">
        <v>780</v>
      </c>
      <c r="DY21" s="1" t="s">
        <v>780</v>
      </c>
      <c r="EC21" s="1" t="s">
        <v>780</v>
      </c>
    </row>
    <row r="22" spans="1:149" ht="130.5" x14ac:dyDescent="0.35">
      <c r="A22" s="1" t="s">
        <v>778</v>
      </c>
      <c r="B22" s="1" t="s">
        <v>24</v>
      </c>
      <c r="C22" s="1" t="s">
        <v>800</v>
      </c>
      <c r="D22" s="1" t="s">
        <v>780</v>
      </c>
      <c r="E22" s="1" t="s">
        <v>780</v>
      </c>
      <c r="F22" s="1" t="s">
        <v>780</v>
      </c>
      <c r="G22" s="1" t="s">
        <v>780</v>
      </c>
      <c r="H22" s="1" t="s">
        <v>780</v>
      </c>
      <c r="AH22" s="1" t="s">
        <v>780</v>
      </c>
      <c r="AJ22" s="1" t="s">
        <v>780</v>
      </c>
      <c r="AZ22" s="1" t="s">
        <v>780</v>
      </c>
      <c r="CU22" s="1" t="s">
        <v>780</v>
      </c>
      <c r="DN22" s="1" t="s">
        <v>780</v>
      </c>
      <c r="DO22" s="1" t="s">
        <v>780</v>
      </c>
      <c r="DX22" s="1" t="s">
        <v>780</v>
      </c>
    </row>
    <row r="23" spans="1:149" ht="159.5" x14ac:dyDescent="0.35">
      <c r="A23" s="1" t="s">
        <v>778</v>
      </c>
      <c r="B23" s="1" t="s">
        <v>24</v>
      </c>
      <c r="C23" s="1" t="s">
        <v>801</v>
      </c>
      <c r="D23" s="1" t="s">
        <v>780</v>
      </c>
      <c r="E23" s="1" t="s">
        <v>780</v>
      </c>
      <c r="F23" s="1" t="s">
        <v>780</v>
      </c>
      <c r="G23" s="1" t="s">
        <v>780</v>
      </c>
      <c r="H23" s="1" t="s">
        <v>780</v>
      </c>
      <c r="AH23" s="1" t="s">
        <v>780</v>
      </c>
      <c r="AJ23" s="1" t="s">
        <v>780</v>
      </c>
      <c r="AS23" s="1" t="s">
        <v>780</v>
      </c>
      <c r="AZ23" s="1" t="s">
        <v>780</v>
      </c>
      <c r="CD23" s="1" t="s">
        <v>780</v>
      </c>
      <c r="CJ23" s="1" t="s">
        <v>780</v>
      </c>
      <c r="DG23" s="1" t="s">
        <v>780</v>
      </c>
    </row>
    <row r="24" spans="1:149" ht="88.5" x14ac:dyDescent="0.35">
      <c r="A24" s="1" t="s">
        <v>778</v>
      </c>
      <c r="B24" s="1" t="s">
        <v>24</v>
      </c>
      <c r="C24" s="2" t="s">
        <v>802</v>
      </c>
      <c r="D24" s="1" t="s">
        <v>780</v>
      </c>
      <c r="E24" s="1" t="s">
        <v>780</v>
      </c>
      <c r="F24" s="1" t="s">
        <v>780</v>
      </c>
      <c r="G24" s="1" t="s">
        <v>780</v>
      </c>
      <c r="H24" s="1" t="s">
        <v>780</v>
      </c>
      <c r="I24" s="1" t="s">
        <v>780</v>
      </c>
      <c r="J24" s="1" t="s">
        <v>780</v>
      </c>
      <c r="AB24" s="1" t="s">
        <v>780</v>
      </c>
      <c r="AH24" s="1" t="s">
        <v>780</v>
      </c>
      <c r="AI24" s="1" t="s">
        <v>780</v>
      </c>
      <c r="CD24" s="1" t="s">
        <v>780</v>
      </c>
      <c r="CG24" s="1" t="s">
        <v>780</v>
      </c>
      <c r="CH24" s="1" t="s">
        <v>780</v>
      </c>
      <c r="CJ24" s="1" t="s">
        <v>780</v>
      </c>
      <c r="CN24" s="1" t="s">
        <v>780</v>
      </c>
      <c r="CO24" s="1" t="s">
        <v>780</v>
      </c>
      <c r="CU24" s="1" t="s">
        <v>780</v>
      </c>
      <c r="DY24" s="1" t="s">
        <v>780</v>
      </c>
      <c r="EC24" s="1" t="s">
        <v>780</v>
      </c>
    </row>
    <row r="25" spans="1:149" ht="145" x14ac:dyDescent="0.35">
      <c r="A25" s="1" t="s">
        <v>778</v>
      </c>
      <c r="B25" s="1" t="s">
        <v>24</v>
      </c>
      <c r="C25" s="1" t="s">
        <v>803</v>
      </c>
      <c r="D25" s="1" t="s">
        <v>780</v>
      </c>
      <c r="E25" s="1" t="s">
        <v>780</v>
      </c>
      <c r="F25" s="1" t="s">
        <v>780</v>
      </c>
      <c r="G25" s="1" t="s">
        <v>780</v>
      </c>
      <c r="H25" s="1" t="s">
        <v>780</v>
      </c>
      <c r="AH25" s="1" t="s">
        <v>780</v>
      </c>
      <c r="AJ25" s="1" t="s">
        <v>780</v>
      </c>
      <c r="AZ25" s="1" t="s">
        <v>780</v>
      </c>
      <c r="CU25" s="1" t="s">
        <v>780</v>
      </c>
      <c r="DN25" s="1" t="s">
        <v>780</v>
      </c>
      <c r="DO25" s="1" t="s">
        <v>780</v>
      </c>
      <c r="DX25" s="1" t="s">
        <v>780</v>
      </c>
    </row>
    <row r="26" spans="1:149" ht="116" x14ac:dyDescent="0.35">
      <c r="A26" s="1" t="s">
        <v>778</v>
      </c>
      <c r="B26" s="1" t="s">
        <v>24</v>
      </c>
      <c r="C26" s="1" t="s">
        <v>804</v>
      </c>
      <c r="D26" s="1" t="s">
        <v>780</v>
      </c>
      <c r="E26" s="1" t="s">
        <v>780</v>
      </c>
      <c r="F26" s="1" t="s">
        <v>780</v>
      </c>
      <c r="G26" s="1" t="s">
        <v>780</v>
      </c>
      <c r="H26" s="1" t="s">
        <v>780</v>
      </c>
      <c r="AB26" s="1" t="s">
        <v>780</v>
      </c>
      <c r="AH26" s="1" t="s">
        <v>780</v>
      </c>
      <c r="AJ26" s="1" t="s">
        <v>780</v>
      </c>
      <c r="AN26" s="1" t="s">
        <v>780</v>
      </c>
      <c r="AW26" s="1" t="s">
        <v>780</v>
      </c>
      <c r="BA26" s="1" t="s">
        <v>780</v>
      </c>
      <c r="BB26" s="1" t="s">
        <v>780</v>
      </c>
      <c r="BC26" s="1" t="s">
        <v>780</v>
      </c>
      <c r="CD26" s="1" t="s">
        <v>780</v>
      </c>
      <c r="CJ26" s="1" t="s">
        <v>780</v>
      </c>
      <c r="CU26" s="1" t="s">
        <v>780</v>
      </c>
    </row>
    <row r="27" spans="1:149" ht="72.5" x14ac:dyDescent="0.35">
      <c r="A27" s="1" t="s">
        <v>778</v>
      </c>
      <c r="B27" s="1" t="s">
        <v>24</v>
      </c>
      <c r="C27" s="1" t="s">
        <v>805</v>
      </c>
      <c r="D27" s="1" t="s">
        <v>780</v>
      </c>
      <c r="E27" s="1" t="s">
        <v>780</v>
      </c>
      <c r="F27" s="1" t="s">
        <v>780</v>
      </c>
      <c r="G27" s="1" t="s">
        <v>780</v>
      </c>
      <c r="H27" s="1" t="s">
        <v>780</v>
      </c>
      <c r="AE27" s="1" t="s">
        <v>780</v>
      </c>
      <c r="AF27" s="1" t="s">
        <v>780</v>
      </c>
      <c r="CD27" s="1" t="s">
        <v>780</v>
      </c>
      <c r="CE27" s="1" t="s">
        <v>780</v>
      </c>
      <c r="CJ27" s="1" t="s">
        <v>780</v>
      </c>
      <c r="CM27" s="1" t="s">
        <v>780</v>
      </c>
    </row>
    <row r="28" spans="1:149" ht="87" x14ac:dyDescent="0.35">
      <c r="A28" s="1" t="s">
        <v>778</v>
      </c>
      <c r="B28" s="1" t="s">
        <v>24</v>
      </c>
      <c r="C28" s="1" t="s">
        <v>806</v>
      </c>
      <c r="D28" s="1" t="s">
        <v>780</v>
      </c>
      <c r="E28" s="1" t="s">
        <v>780</v>
      </c>
      <c r="F28" s="1" t="s">
        <v>780</v>
      </c>
      <c r="G28" s="1" t="s">
        <v>780</v>
      </c>
      <c r="H28" s="1" t="s">
        <v>780</v>
      </c>
      <c r="AB28" s="1" t="s">
        <v>780</v>
      </c>
      <c r="AH28" s="1" t="s">
        <v>780</v>
      </c>
      <c r="AJ28" s="1" t="s">
        <v>780</v>
      </c>
      <c r="AW28" s="1" t="s">
        <v>780</v>
      </c>
      <c r="AX28" s="1" t="s">
        <v>780</v>
      </c>
      <c r="BA28" s="1" t="s">
        <v>780</v>
      </c>
      <c r="CD28" s="1" t="s">
        <v>780</v>
      </c>
      <c r="CJ28" s="1" t="s">
        <v>780</v>
      </c>
      <c r="CU28" s="1" t="s">
        <v>780</v>
      </c>
    </row>
    <row r="29" spans="1:149" ht="101.5" x14ac:dyDescent="0.35">
      <c r="A29" s="1" t="s">
        <v>778</v>
      </c>
      <c r="B29" s="1" t="s">
        <v>24</v>
      </c>
      <c r="C29" s="1" t="s">
        <v>807</v>
      </c>
      <c r="D29" s="1" t="s">
        <v>780</v>
      </c>
      <c r="E29" s="1" t="s">
        <v>780</v>
      </c>
      <c r="F29" s="1" t="s">
        <v>780</v>
      </c>
      <c r="G29" s="1" t="s">
        <v>780</v>
      </c>
      <c r="H29" s="1" t="s">
        <v>780</v>
      </c>
      <c r="V29" s="1" t="s">
        <v>780</v>
      </c>
      <c r="AB29" s="1" t="s">
        <v>780</v>
      </c>
      <c r="AJ29" s="1" t="s">
        <v>780</v>
      </c>
      <c r="BO29" s="1" t="s">
        <v>780</v>
      </c>
      <c r="CD29" s="1" t="s">
        <v>780</v>
      </c>
      <c r="EC29" s="1" t="s">
        <v>780</v>
      </c>
    </row>
    <row r="30" spans="1:149" ht="101.5" x14ac:dyDescent="0.35">
      <c r="A30" s="1" t="s">
        <v>778</v>
      </c>
      <c r="B30" s="1" t="s">
        <v>24</v>
      </c>
      <c r="C30" s="1" t="s">
        <v>808</v>
      </c>
      <c r="D30" s="1" t="s">
        <v>780</v>
      </c>
      <c r="E30" s="1" t="s">
        <v>780</v>
      </c>
      <c r="F30" s="1" t="s">
        <v>780</v>
      </c>
      <c r="G30" s="1" t="s">
        <v>780</v>
      </c>
      <c r="H30" s="1" t="s">
        <v>780</v>
      </c>
      <c r="AS30" s="1" t="s">
        <v>780</v>
      </c>
      <c r="CD30" s="1" t="s">
        <v>780</v>
      </c>
      <c r="CJ30" s="1" t="s">
        <v>780</v>
      </c>
      <c r="DF30" s="1" t="s">
        <v>780</v>
      </c>
      <c r="DZ30" s="1" t="s">
        <v>780</v>
      </c>
      <c r="EA30" s="1" t="s">
        <v>780</v>
      </c>
    </row>
    <row r="31" spans="1:149" ht="159.5" x14ac:dyDescent="0.35">
      <c r="A31" s="1" t="s">
        <v>778</v>
      </c>
      <c r="B31" s="1" t="s">
        <v>24</v>
      </c>
      <c r="C31" s="1" t="s">
        <v>809</v>
      </c>
      <c r="D31" s="1" t="s">
        <v>780</v>
      </c>
      <c r="E31" s="1" t="s">
        <v>780</v>
      </c>
      <c r="F31" s="1" t="s">
        <v>780</v>
      </c>
      <c r="G31" s="1" t="s">
        <v>780</v>
      </c>
      <c r="H31" s="1" t="s">
        <v>780</v>
      </c>
      <c r="ED31" s="1" t="s">
        <v>780</v>
      </c>
      <c r="EE31" s="1" t="s">
        <v>780</v>
      </c>
      <c r="EF31" s="1" t="s">
        <v>780</v>
      </c>
      <c r="EG31" s="1" t="s">
        <v>780</v>
      </c>
      <c r="EH31" s="1" t="s">
        <v>780</v>
      </c>
      <c r="EI31" s="1" t="s">
        <v>780</v>
      </c>
      <c r="EJ31" s="1" t="s">
        <v>780</v>
      </c>
      <c r="EK31" s="1" t="s">
        <v>780</v>
      </c>
      <c r="EL31" s="1" t="s">
        <v>780</v>
      </c>
      <c r="EM31" s="1" t="s">
        <v>780</v>
      </c>
      <c r="EN31" s="1" t="s">
        <v>780</v>
      </c>
      <c r="EO31" s="1" t="s">
        <v>780</v>
      </c>
      <c r="EP31" s="1" t="s">
        <v>780</v>
      </c>
      <c r="EQ31" s="1" t="s">
        <v>780</v>
      </c>
      <c r="ER31" s="1" t="s">
        <v>780</v>
      </c>
    </row>
    <row r="32" spans="1:149" ht="87" x14ac:dyDescent="0.35">
      <c r="A32" s="1" t="s">
        <v>778</v>
      </c>
      <c r="B32" s="1" t="s">
        <v>24</v>
      </c>
      <c r="C32" s="1" t="s">
        <v>810</v>
      </c>
      <c r="D32" s="1" t="s">
        <v>780</v>
      </c>
      <c r="E32" s="1" t="s">
        <v>780</v>
      </c>
      <c r="F32" s="1" t="s">
        <v>780</v>
      </c>
      <c r="G32" s="1" t="s">
        <v>780</v>
      </c>
      <c r="H32" s="1" t="s">
        <v>780</v>
      </c>
      <c r="AI32" s="1" t="s">
        <v>780</v>
      </c>
      <c r="BJ32" s="1" t="s">
        <v>780</v>
      </c>
      <c r="BM32" s="1" t="s">
        <v>780</v>
      </c>
      <c r="DF32" s="1" t="s">
        <v>780</v>
      </c>
      <c r="ES32" s="1" t="s">
        <v>780</v>
      </c>
    </row>
    <row r="33" spans="1:160" ht="116" x14ac:dyDescent="0.35">
      <c r="A33" s="1" t="s">
        <v>778</v>
      </c>
      <c r="B33" s="1" t="s">
        <v>24</v>
      </c>
      <c r="C33" s="1" t="s">
        <v>811</v>
      </c>
      <c r="D33" s="1" t="s">
        <v>780</v>
      </c>
      <c r="E33" s="1" t="s">
        <v>780</v>
      </c>
      <c r="F33" s="1" t="s">
        <v>780</v>
      </c>
      <c r="G33" s="1" t="s">
        <v>780</v>
      </c>
      <c r="H33" s="1" t="s">
        <v>780</v>
      </c>
      <c r="V33" s="1" t="s">
        <v>780</v>
      </c>
      <c r="AS33" s="1" t="s">
        <v>780</v>
      </c>
      <c r="AT33" s="1" t="s">
        <v>780</v>
      </c>
      <c r="CD33" s="1" t="s">
        <v>780</v>
      </c>
      <c r="CE33" s="1" t="s">
        <v>780</v>
      </c>
      <c r="CJ33" s="1" t="s">
        <v>780</v>
      </c>
      <c r="CM33" s="1" t="s">
        <v>780</v>
      </c>
    </row>
    <row r="34" spans="1:160" ht="87" x14ac:dyDescent="0.35">
      <c r="A34" s="1" t="s">
        <v>778</v>
      </c>
      <c r="B34" s="1" t="s">
        <v>24</v>
      </c>
      <c r="C34" s="1" t="s">
        <v>812</v>
      </c>
      <c r="D34" s="1" t="s">
        <v>780</v>
      </c>
      <c r="E34" s="1" t="s">
        <v>780</v>
      </c>
      <c r="F34" s="1" t="s">
        <v>780</v>
      </c>
      <c r="G34" s="1" t="s">
        <v>780</v>
      </c>
      <c r="H34" s="1" t="s">
        <v>780</v>
      </c>
      <c r="AH34" s="1" t="s">
        <v>780</v>
      </c>
      <c r="AJ34" s="1" t="s">
        <v>780</v>
      </c>
      <c r="AN34" s="1" t="s">
        <v>780</v>
      </c>
      <c r="AW34" s="1" t="s">
        <v>780</v>
      </c>
      <c r="CD34" s="1" t="s">
        <v>780</v>
      </c>
      <c r="CJ34" s="1" t="s">
        <v>780</v>
      </c>
      <c r="DF34" s="1" t="s">
        <v>780</v>
      </c>
      <c r="EC34" s="1" t="s">
        <v>780</v>
      </c>
    </row>
    <row r="35" spans="1:160" ht="174" x14ac:dyDescent="0.35">
      <c r="A35" s="1" t="s">
        <v>778</v>
      </c>
      <c r="B35" s="1" t="s">
        <v>24</v>
      </c>
      <c r="C35" s="1" t="s">
        <v>813</v>
      </c>
      <c r="D35" s="1" t="s">
        <v>780</v>
      </c>
      <c r="E35" s="1" t="s">
        <v>780</v>
      </c>
      <c r="F35" s="1" t="s">
        <v>780</v>
      </c>
      <c r="G35" s="1" t="s">
        <v>780</v>
      </c>
      <c r="H35" s="1" t="s">
        <v>780</v>
      </c>
      <c r="V35" s="1" t="s">
        <v>780</v>
      </c>
      <c r="Z35" s="1" t="s">
        <v>780</v>
      </c>
      <c r="AA35" s="1" t="s">
        <v>780</v>
      </c>
      <c r="AS35" s="1" t="s">
        <v>780</v>
      </c>
      <c r="CD35" s="1" t="s">
        <v>780</v>
      </c>
      <c r="CJ35" s="1" t="s">
        <v>780</v>
      </c>
      <c r="DB35" s="1" t="s">
        <v>780</v>
      </c>
      <c r="DG35" s="1" t="s">
        <v>780</v>
      </c>
    </row>
    <row r="36" spans="1:160" ht="116" x14ac:dyDescent="0.35">
      <c r="A36" s="1" t="s">
        <v>778</v>
      </c>
      <c r="B36" s="1" t="s">
        <v>24</v>
      </c>
      <c r="C36" s="1" t="s">
        <v>814</v>
      </c>
      <c r="D36" s="1" t="s">
        <v>780</v>
      </c>
      <c r="E36" s="1" t="s">
        <v>780</v>
      </c>
      <c r="F36" s="1" t="s">
        <v>780</v>
      </c>
      <c r="G36" s="1" t="s">
        <v>780</v>
      </c>
      <c r="H36" s="1" t="s">
        <v>780</v>
      </c>
      <c r="V36" s="1" t="s">
        <v>780</v>
      </c>
      <c r="AO36" s="1" t="s">
        <v>780</v>
      </c>
      <c r="AS36" s="1" t="s">
        <v>780</v>
      </c>
      <c r="AT36" s="1" t="s">
        <v>780</v>
      </c>
      <c r="CD36" s="1" t="s">
        <v>780</v>
      </c>
      <c r="CJ36" s="1" t="s">
        <v>780</v>
      </c>
      <c r="DE36" s="1" t="s">
        <v>780</v>
      </c>
      <c r="DF36" s="1" t="s">
        <v>780</v>
      </c>
      <c r="DG36" s="1" t="s">
        <v>780</v>
      </c>
      <c r="DL36" s="1" t="s">
        <v>780</v>
      </c>
      <c r="DM36" s="1" t="s">
        <v>780</v>
      </c>
    </row>
    <row r="37" spans="1:160" ht="116" x14ac:dyDescent="0.35">
      <c r="A37" s="1" t="s">
        <v>778</v>
      </c>
      <c r="B37" s="1" t="s">
        <v>24</v>
      </c>
      <c r="C37" s="1" t="s">
        <v>815</v>
      </c>
      <c r="D37" s="1" t="s">
        <v>780</v>
      </c>
      <c r="E37" s="1" t="s">
        <v>780</v>
      </c>
      <c r="F37" s="1" t="s">
        <v>780</v>
      </c>
      <c r="G37" s="1" t="s">
        <v>780</v>
      </c>
      <c r="H37" s="1" t="s">
        <v>780</v>
      </c>
      <c r="Y37" s="1" t="s">
        <v>780</v>
      </c>
      <c r="AA37" s="1" t="s">
        <v>780</v>
      </c>
      <c r="CD37" s="1" t="s">
        <v>780</v>
      </c>
    </row>
    <row r="38" spans="1:160" ht="72.5" x14ac:dyDescent="0.35">
      <c r="A38" s="1" t="s">
        <v>778</v>
      </c>
      <c r="B38" s="1" t="s">
        <v>24</v>
      </c>
      <c r="C38" s="1" t="s">
        <v>816</v>
      </c>
      <c r="D38" s="1" t="s">
        <v>780</v>
      </c>
      <c r="E38" s="1" t="s">
        <v>780</v>
      </c>
      <c r="F38" s="1" t="s">
        <v>780</v>
      </c>
      <c r="G38" s="1" t="s">
        <v>780</v>
      </c>
      <c r="H38" s="1" t="s">
        <v>780</v>
      </c>
      <c r="I38" s="1" t="s">
        <v>780</v>
      </c>
      <c r="J38" s="1" t="s">
        <v>780</v>
      </c>
      <c r="CI38" s="1" t="s">
        <v>780</v>
      </c>
    </row>
    <row r="39" spans="1:160" ht="72.5" x14ac:dyDescent="0.35">
      <c r="A39" s="1" t="s">
        <v>778</v>
      </c>
      <c r="B39" s="1" t="s">
        <v>24</v>
      </c>
      <c r="C39" s="1" t="s">
        <v>816</v>
      </c>
      <c r="D39" s="1" t="s">
        <v>780</v>
      </c>
      <c r="E39" s="1" t="s">
        <v>780</v>
      </c>
      <c r="F39" s="1" t="s">
        <v>780</v>
      </c>
      <c r="G39" s="1" t="s">
        <v>780</v>
      </c>
      <c r="H39" s="1" t="s">
        <v>780</v>
      </c>
      <c r="AL39" s="1" t="s">
        <v>780</v>
      </c>
      <c r="AN39" s="1" t="s">
        <v>780</v>
      </c>
      <c r="AO39" s="1" t="s">
        <v>780</v>
      </c>
      <c r="AS39" s="1" t="s">
        <v>780</v>
      </c>
      <c r="AW39" s="1" t="s">
        <v>780</v>
      </c>
      <c r="BA39" s="1" t="s">
        <v>780</v>
      </c>
      <c r="CD39" s="1" t="s">
        <v>780</v>
      </c>
      <c r="DB39" s="1" t="s">
        <v>780</v>
      </c>
      <c r="DG39" s="1" t="s">
        <v>780</v>
      </c>
    </row>
    <row r="40" spans="1:160" ht="87" x14ac:dyDescent="0.35">
      <c r="A40" s="1" t="s">
        <v>778</v>
      </c>
      <c r="B40" s="1" t="s">
        <v>24</v>
      </c>
      <c r="C40" s="1" t="s">
        <v>817</v>
      </c>
      <c r="D40" s="1" t="s">
        <v>780</v>
      </c>
      <c r="E40" s="1" t="s">
        <v>780</v>
      </c>
      <c r="F40" s="1" t="s">
        <v>780</v>
      </c>
      <c r="G40" s="1" t="s">
        <v>780</v>
      </c>
      <c r="H40" s="1" t="s">
        <v>780</v>
      </c>
      <c r="Y40" s="1" t="s">
        <v>780</v>
      </c>
      <c r="AA40" s="1" t="s">
        <v>780</v>
      </c>
      <c r="CD40" s="1" t="s">
        <v>780</v>
      </c>
    </row>
    <row r="41" spans="1:160" ht="58" x14ac:dyDescent="0.35">
      <c r="A41" s="1" t="s">
        <v>778</v>
      </c>
      <c r="B41" s="1" t="s">
        <v>24</v>
      </c>
      <c r="C41" s="1" t="s">
        <v>818</v>
      </c>
      <c r="D41" s="1" t="s">
        <v>780</v>
      </c>
      <c r="E41" s="1" t="s">
        <v>780</v>
      </c>
      <c r="F41" s="1" t="s">
        <v>780</v>
      </c>
      <c r="G41" s="1" t="s">
        <v>780</v>
      </c>
      <c r="H41" s="1" t="s">
        <v>780</v>
      </c>
      <c r="AM41" s="1" t="s">
        <v>780</v>
      </c>
      <c r="AN41" s="1" t="s">
        <v>780</v>
      </c>
      <c r="AY41" s="1" t="s">
        <v>780</v>
      </c>
      <c r="BA41" s="1" t="s">
        <v>780</v>
      </c>
      <c r="BB41" s="1" t="s">
        <v>780</v>
      </c>
      <c r="BD41" s="1" t="s">
        <v>780</v>
      </c>
      <c r="BE41" s="1" t="s">
        <v>780</v>
      </c>
      <c r="BG41" s="1" t="s">
        <v>780</v>
      </c>
      <c r="ET41" s="1" t="s">
        <v>780</v>
      </c>
      <c r="EU41" s="1" t="s">
        <v>780</v>
      </c>
    </row>
    <row r="42" spans="1:160" ht="58" x14ac:dyDescent="0.35">
      <c r="A42" s="1" t="s">
        <v>778</v>
      </c>
      <c r="B42" s="1" t="s">
        <v>24</v>
      </c>
      <c r="C42" s="1" t="s">
        <v>818</v>
      </c>
      <c r="D42" s="1" t="s">
        <v>780</v>
      </c>
      <c r="E42" s="1" t="s">
        <v>780</v>
      </c>
      <c r="F42" s="1" t="s">
        <v>780</v>
      </c>
      <c r="G42" s="1" t="s">
        <v>780</v>
      </c>
      <c r="H42" s="1" t="s">
        <v>780</v>
      </c>
      <c r="AM42" s="1" t="s">
        <v>780</v>
      </c>
      <c r="BD42" s="1" t="s">
        <v>780</v>
      </c>
      <c r="BE42" s="1" t="s">
        <v>780</v>
      </c>
      <c r="BG42" s="1" t="s">
        <v>780</v>
      </c>
      <c r="DZ42" s="1" t="s">
        <v>780</v>
      </c>
      <c r="EA42" s="1" t="s">
        <v>780</v>
      </c>
      <c r="ET42" s="1" t="s">
        <v>780</v>
      </c>
      <c r="EU42" s="1" t="s">
        <v>780</v>
      </c>
    </row>
    <row r="43" spans="1:160" ht="72.5" x14ac:dyDescent="0.35">
      <c r="A43" s="1" t="s">
        <v>778</v>
      </c>
      <c r="B43" s="1" t="s">
        <v>24</v>
      </c>
      <c r="C43" s="1" t="s">
        <v>819</v>
      </c>
      <c r="D43" s="1" t="s">
        <v>780</v>
      </c>
      <c r="E43" s="1" t="s">
        <v>780</v>
      </c>
      <c r="F43" s="1" t="s">
        <v>780</v>
      </c>
      <c r="G43" s="1" t="s">
        <v>780</v>
      </c>
      <c r="H43" s="1" t="s">
        <v>780</v>
      </c>
      <c r="DZ43" s="1" t="s">
        <v>780</v>
      </c>
      <c r="EA43" s="1" t="s">
        <v>780</v>
      </c>
    </row>
    <row r="44" spans="1:160" ht="72.5" x14ac:dyDescent="0.35">
      <c r="A44" s="1" t="s">
        <v>778</v>
      </c>
      <c r="B44" s="1" t="s">
        <v>24</v>
      </c>
      <c r="C44" s="1" t="s">
        <v>820</v>
      </c>
      <c r="D44" s="1" t="s">
        <v>780</v>
      </c>
      <c r="E44" s="1" t="s">
        <v>780</v>
      </c>
      <c r="F44" s="1" t="s">
        <v>780</v>
      </c>
      <c r="G44" s="1" t="s">
        <v>780</v>
      </c>
      <c r="H44" s="1" t="s">
        <v>780</v>
      </c>
      <c r="I44" s="1" t="s">
        <v>780</v>
      </c>
      <c r="BQ44" s="1" t="s">
        <v>780</v>
      </c>
      <c r="BR44" s="1" t="s">
        <v>780</v>
      </c>
      <c r="BS44" s="1" t="s">
        <v>780</v>
      </c>
      <c r="BT44" s="1" t="s">
        <v>780</v>
      </c>
      <c r="BU44" s="1" t="s">
        <v>780</v>
      </c>
      <c r="CI44" s="1" t="s">
        <v>780</v>
      </c>
    </row>
    <row r="45" spans="1:160" ht="43.5" x14ac:dyDescent="0.35">
      <c r="A45" s="1" t="s">
        <v>778</v>
      </c>
      <c r="B45" s="1" t="s">
        <v>24</v>
      </c>
      <c r="C45" s="1" t="s">
        <v>821</v>
      </c>
      <c r="D45" s="1" t="s">
        <v>780</v>
      </c>
      <c r="E45" s="1" t="s">
        <v>780</v>
      </c>
      <c r="F45" s="1" t="s">
        <v>780</v>
      </c>
      <c r="G45" s="1" t="s">
        <v>780</v>
      </c>
      <c r="H45" s="1" t="s">
        <v>780</v>
      </c>
      <c r="DH45" s="1" t="s">
        <v>780</v>
      </c>
      <c r="DI45" s="1" t="s">
        <v>780</v>
      </c>
      <c r="DJ45" s="1" t="s">
        <v>780</v>
      </c>
      <c r="DK45" s="1" t="s">
        <v>780</v>
      </c>
      <c r="EV45" s="1" t="s">
        <v>780</v>
      </c>
      <c r="EW45" s="1" t="s">
        <v>780</v>
      </c>
      <c r="EX45" s="1" t="s">
        <v>780</v>
      </c>
      <c r="EY45" s="1" t="s">
        <v>780</v>
      </c>
      <c r="EZ45" s="1" t="s">
        <v>780</v>
      </c>
      <c r="FA45" s="1" t="s">
        <v>780</v>
      </c>
      <c r="FB45" s="1" t="s">
        <v>780</v>
      </c>
    </row>
    <row r="46" spans="1:160" ht="101.5" x14ac:dyDescent="0.35">
      <c r="A46" s="1" t="s">
        <v>778</v>
      </c>
      <c r="B46" s="1" t="s">
        <v>822</v>
      </c>
      <c r="C46" s="1" t="s">
        <v>823</v>
      </c>
      <c r="D46" s="1" t="s">
        <v>780</v>
      </c>
      <c r="E46" s="1" t="s">
        <v>780</v>
      </c>
      <c r="F46" s="1" t="s">
        <v>780</v>
      </c>
      <c r="G46" s="1" t="s">
        <v>780</v>
      </c>
      <c r="H46" s="1" t="s">
        <v>780</v>
      </c>
      <c r="AM46" s="1" t="s">
        <v>780</v>
      </c>
      <c r="AQ46" s="1" t="s">
        <v>780</v>
      </c>
      <c r="BD46" s="1" t="s">
        <v>780</v>
      </c>
      <c r="BE46" s="1" t="s">
        <v>780</v>
      </c>
      <c r="BF46" s="1" t="s">
        <v>780</v>
      </c>
      <c r="BG46" s="1" t="s">
        <v>780</v>
      </c>
      <c r="BH46" s="1" t="s">
        <v>780</v>
      </c>
      <c r="BI46" s="1" t="s">
        <v>780</v>
      </c>
      <c r="FC46" s="1" t="s">
        <v>780</v>
      </c>
      <c r="FD46" s="1" t="s">
        <v>780</v>
      </c>
    </row>
    <row r="47" spans="1:160" ht="101.5" x14ac:dyDescent="0.35">
      <c r="A47" s="1" t="s">
        <v>778</v>
      </c>
      <c r="B47" s="1" t="s">
        <v>822</v>
      </c>
      <c r="C47" s="1" t="s">
        <v>824</v>
      </c>
      <c r="D47" s="1" t="s">
        <v>780</v>
      </c>
      <c r="E47" s="1" t="s">
        <v>780</v>
      </c>
      <c r="F47" s="1" t="s">
        <v>780</v>
      </c>
      <c r="G47" s="1" t="s">
        <v>780</v>
      </c>
      <c r="H47" s="1" t="s">
        <v>780</v>
      </c>
      <c r="AM47" s="1" t="s">
        <v>780</v>
      </c>
      <c r="AN47" s="1" t="s">
        <v>780</v>
      </c>
      <c r="AY47" s="1" t="s">
        <v>780</v>
      </c>
      <c r="BA47" s="1" t="s">
        <v>780</v>
      </c>
      <c r="BB47" s="1" t="s">
        <v>780</v>
      </c>
      <c r="BD47" s="1" t="s">
        <v>780</v>
      </c>
      <c r="BE47" s="1" t="s">
        <v>780</v>
      </c>
      <c r="BF47" s="1" t="s">
        <v>780</v>
      </c>
      <c r="BG47" s="1" t="s">
        <v>780</v>
      </c>
      <c r="BH47" s="1" t="s">
        <v>780</v>
      </c>
      <c r="BI47" s="1" t="s">
        <v>780</v>
      </c>
      <c r="FC47" s="1" t="s">
        <v>780</v>
      </c>
    </row>
    <row r="48" spans="1:160" ht="101.5" x14ac:dyDescent="0.35">
      <c r="A48" s="1" t="s">
        <v>778</v>
      </c>
      <c r="B48" s="1" t="s">
        <v>822</v>
      </c>
      <c r="C48" s="1" t="s">
        <v>825</v>
      </c>
      <c r="D48" s="1" t="s">
        <v>780</v>
      </c>
      <c r="E48" s="1" t="s">
        <v>780</v>
      </c>
      <c r="F48" s="1" t="s">
        <v>780</v>
      </c>
      <c r="G48" s="1" t="s">
        <v>780</v>
      </c>
      <c r="AM48" s="1" t="s">
        <v>780</v>
      </c>
      <c r="AQ48" s="1" t="s">
        <v>780</v>
      </c>
      <c r="AZ48" s="1" t="s">
        <v>780</v>
      </c>
      <c r="BD48" s="1" t="s">
        <v>780</v>
      </c>
      <c r="BE48" s="1" t="s">
        <v>780</v>
      </c>
      <c r="BF48" s="1" t="s">
        <v>780</v>
      </c>
      <c r="BG48" s="1" t="s">
        <v>780</v>
      </c>
      <c r="BH48" s="1" t="s">
        <v>780</v>
      </c>
      <c r="BI48" s="1" t="s">
        <v>780</v>
      </c>
      <c r="FC48" s="1" t="s">
        <v>780</v>
      </c>
      <c r="FD48" s="1" t="s">
        <v>780</v>
      </c>
    </row>
    <row r="49" spans="1:198" ht="101.5" x14ac:dyDescent="0.35">
      <c r="A49" s="1" t="s">
        <v>778</v>
      </c>
      <c r="B49" s="1" t="s">
        <v>822</v>
      </c>
      <c r="C49" s="1" t="s">
        <v>826</v>
      </c>
      <c r="D49" s="1" t="s">
        <v>780</v>
      </c>
      <c r="E49" s="1" t="s">
        <v>780</v>
      </c>
      <c r="F49" s="1" t="s">
        <v>780</v>
      </c>
      <c r="G49" s="1" t="s">
        <v>780</v>
      </c>
      <c r="H49" s="1" t="s">
        <v>780</v>
      </c>
      <c r="AQ49" s="1" t="s">
        <v>780</v>
      </c>
      <c r="BD49" s="1" t="s">
        <v>780</v>
      </c>
      <c r="BE49" s="1" t="s">
        <v>780</v>
      </c>
      <c r="BF49" s="1" t="s">
        <v>780</v>
      </c>
      <c r="BG49" s="1" t="s">
        <v>780</v>
      </c>
      <c r="BH49" s="1" t="s">
        <v>780</v>
      </c>
      <c r="BI49" s="1" t="s">
        <v>780</v>
      </c>
      <c r="DY49" s="1" t="s">
        <v>780</v>
      </c>
      <c r="FC49" s="1" t="s">
        <v>780</v>
      </c>
      <c r="FD49" s="1" t="s">
        <v>780</v>
      </c>
    </row>
    <row r="50" spans="1:198" ht="116" x14ac:dyDescent="0.35">
      <c r="A50" s="1" t="s">
        <v>778</v>
      </c>
      <c r="B50" s="1" t="s">
        <v>822</v>
      </c>
      <c r="C50" s="1" t="s">
        <v>827</v>
      </c>
      <c r="D50" s="1" t="s">
        <v>780</v>
      </c>
      <c r="E50" s="1" t="s">
        <v>780</v>
      </c>
      <c r="F50" s="1" t="s">
        <v>780</v>
      </c>
      <c r="G50" s="1" t="s">
        <v>780</v>
      </c>
      <c r="H50" s="1" t="s">
        <v>780</v>
      </c>
      <c r="AM50" s="1" t="s">
        <v>780</v>
      </c>
      <c r="AQ50" s="1" t="s">
        <v>780</v>
      </c>
      <c r="BD50" s="1" t="s">
        <v>780</v>
      </c>
      <c r="BE50" s="1" t="s">
        <v>780</v>
      </c>
      <c r="BF50" s="1" t="s">
        <v>780</v>
      </c>
      <c r="BG50" s="1" t="s">
        <v>780</v>
      </c>
      <c r="BH50" s="1" t="s">
        <v>780</v>
      </c>
      <c r="BI50" s="1" t="s">
        <v>780</v>
      </c>
      <c r="DZ50" s="1" t="s">
        <v>780</v>
      </c>
      <c r="FC50" s="1" t="s">
        <v>780</v>
      </c>
      <c r="FD50" s="1" t="s">
        <v>780</v>
      </c>
    </row>
    <row r="51" spans="1:198" ht="116" x14ac:dyDescent="0.35">
      <c r="A51" s="1" t="s">
        <v>778</v>
      </c>
      <c r="B51" s="1" t="s">
        <v>822</v>
      </c>
      <c r="C51" s="1" t="s">
        <v>828</v>
      </c>
      <c r="D51" s="1" t="s">
        <v>780</v>
      </c>
      <c r="E51" s="1" t="s">
        <v>780</v>
      </c>
      <c r="F51" s="1" t="s">
        <v>780</v>
      </c>
      <c r="G51" s="1" t="s">
        <v>780</v>
      </c>
      <c r="H51" s="1" t="s">
        <v>780</v>
      </c>
      <c r="AB51" s="1" t="s">
        <v>780</v>
      </c>
      <c r="AM51" s="1" t="s">
        <v>780</v>
      </c>
      <c r="AQ51" s="1" t="s">
        <v>780</v>
      </c>
      <c r="BD51" s="1" t="s">
        <v>780</v>
      </c>
      <c r="BE51" s="1" t="s">
        <v>780</v>
      </c>
      <c r="BF51" s="1" t="s">
        <v>780</v>
      </c>
      <c r="BG51" s="1" t="s">
        <v>780</v>
      </c>
      <c r="BH51" s="1" t="s">
        <v>780</v>
      </c>
      <c r="BI51" s="1" t="s">
        <v>780</v>
      </c>
      <c r="FD51" s="1" t="s">
        <v>780</v>
      </c>
      <c r="FE51" s="1" t="s">
        <v>780</v>
      </c>
    </row>
    <row r="52" spans="1:198" ht="101.5" x14ac:dyDescent="0.35">
      <c r="A52" s="1" t="s">
        <v>778</v>
      </c>
      <c r="B52" s="1" t="s">
        <v>822</v>
      </c>
      <c r="C52" s="3" t="s">
        <v>829</v>
      </c>
      <c r="D52" s="1" t="s">
        <v>780</v>
      </c>
      <c r="E52" s="1" t="s">
        <v>780</v>
      </c>
      <c r="F52" s="1" t="s">
        <v>780</v>
      </c>
      <c r="G52" s="1" t="s">
        <v>780</v>
      </c>
      <c r="H52" s="1" t="s">
        <v>780</v>
      </c>
      <c r="Y52" s="1" t="s">
        <v>780</v>
      </c>
      <c r="AA52" s="1" t="s">
        <v>780</v>
      </c>
      <c r="AM52" s="1" t="s">
        <v>780</v>
      </c>
      <c r="AQ52" s="1" t="s">
        <v>780</v>
      </c>
      <c r="BD52" s="1" t="s">
        <v>780</v>
      </c>
      <c r="BE52" s="1" t="s">
        <v>780</v>
      </c>
      <c r="BF52" s="1" t="s">
        <v>780</v>
      </c>
      <c r="BG52" s="1" t="s">
        <v>780</v>
      </c>
      <c r="BH52" s="1" t="s">
        <v>780</v>
      </c>
      <c r="BI52" s="1" t="s">
        <v>780</v>
      </c>
      <c r="FC52" s="1" t="s">
        <v>780</v>
      </c>
    </row>
    <row r="53" spans="1:198" ht="101.5" x14ac:dyDescent="0.35">
      <c r="A53" s="1" t="s">
        <v>778</v>
      </c>
      <c r="B53" s="1" t="s">
        <v>822</v>
      </c>
      <c r="C53" s="1" t="s">
        <v>830</v>
      </c>
      <c r="D53" s="1" t="s">
        <v>780</v>
      </c>
      <c r="E53" s="1" t="s">
        <v>780</v>
      </c>
      <c r="F53" s="1" t="s">
        <v>780</v>
      </c>
      <c r="G53" s="1" t="s">
        <v>780</v>
      </c>
      <c r="H53" s="1" t="s">
        <v>780</v>
      </c>
      <c r="I53" s="1" t="s">
        <v>780</v>
      </c>
      <c r="J53" s="1" t="s">
        <v>780</v>
      </c>
      <c r="X53" s="1" t="s">
        <v>780</v>
      </c>
      <c r="Z53" s="1" t="s">
        <v>780</v>
      </c>
      <c r="AS53" s="1" t="s">
        <v>780</v>
      </c>
      <c r="DY53" s="1" t="s">
        <v>780</v>
      </c>
      <c r="FD53" s="1" t="s">
        <v>780</v>
      </c>
      <c r="FF53" s="1" t="s">
        <v>780</v>
      </c>
      <c r="FG53" s="1" t="s">
        <v>780</v>
      </c>
      <c r="FH53" s="1" t="s">
        <v>780</v>
      </c>
    </row>
    <row r="54" spans="1:198" ht="116" x14ac:dyDescent="0.35">
      <c r="A54" s="1" t="s">
        <v>778</v>
      </c>
      <c r="B54" s="1" t="s">
        <v>822</v>
      </c>
      <c r="C54" s="1" t="s">
        <v>831</v>
      </c>
      <c r="D54" s="1" t="s">
        <v>780</v>
      </c>
      <c r="E54" s="1" t="s">
        <v>780</v>
      </c>
      <c r="F54" s="1" t="s">
        <v>780</v>
      </c>
      <c r="G54" s="1" t="s">
        <v>780</v>
      </c>
      <c r="H54" s="1" t="s">
        <v>780</v>
      </c>
      <c r="AC54" s="1" t="s">
        <v>780</v>
      </c>
      <c r="AD54" s="1" t="s">
        <v>780</v>
      </c>
      <c r="AI54" s="1" t="s">
        <v>780</v>
      </c>
      <c r="DP54" s="1" t="s">
        <v>780</v>
      </c>
    </row>
    <row r="55" spans="1:198" ht="101.5" x14ac:dyDescent="0.35">
      <c r="A55" s="1" t="s">
        <v>778</v>
      </c>
      <c r="B55" s="1" t="s">
        <v>822</v>
      </c>
      <c r="C55" s="1" t="s">
        <v>832</v>
      </c>
      <c r="D55" s="1" t="s">
        <v>780</v>
      </c>
      <c r="E55" s="1" t="s">
        <v>780</v>
      </c>
      <c r="F55" s="1" t="s">
        <v>780</v>
      </c>
      <c r="G55" s="1" t="s">
        <v>780</v>
      </c>
      <c r="H55" s="1" t="s">
        <v>780</v>
      </c>
      <c r="FI55" s="1" t="s">
        <v>780</v>
      </c>
      <c r="FJ55" s="1" t="s">
        <v>780</v>
      </c>
      <c r="FK55" s="1" t="s">
        <v>780</v>
      </c>
      <c r="FL55" s="1" t="s">
        <v>780</v>
      </c>
      <c r="FM55" s="1" t="s">
        <v>780</v>
      </c>
      <c r="FN55" s="1" t="s">
        <v>780</v>
      </c>
      <c r="FO55" s="1" t="s">
        <v>780</v>
      </c>
      <c r="FQ55" s="1" t="s">
        <v>780</v>
      </c>
      <c r="FR55" s="1" t="s">
        <v>780</v>
      </c>
      <c r="FS55" s="1" t="s">
        <v>780</v>
      </c>
      <c r="FT55" s="1" t="s">
        <v>780</v>
      </c>
      <c r="FU55" s="1" t="s">
        <v>780</v>
      </c>
      <c r="FV55" s="1" t="s">
        <v>780</v>
      </c>
      <c r="FW55" s="1" t="s">
        <v>780</v>
      </c>
      <c r="FX55" s="1" t="s">
        <v>780</v>
      </c>
      <c r="FZ55" s="1" t="s">
        <v>780</v>
      </c>
    </row>
    <row r="56" spans="1:198" ht="58" x14ac:dyDescent="0.35">
      <c r="A56" s="1" t="s">
        <v>778</v>
      </c>
      <c r="B56" s="1" t="s">
        <v>822</v>
      </c>
      <c r="C56" s="1" t="s">
        <v>833</v>
      </c>
      <c r="D56" s="1" t="s">
        <v>780</v>
      </c>
      <c r="E56" s="1" t="s">
        <v>780</v>
      </c>
      <c r="F56" s="1" t="s">
        <v>780</v>
      </c>
      <c r="G56" s="1" t="s">
        <v>780</v>
      </c>
      <c r="H56" s="1" t="s">
        <v>780</v>
      </c>
      <c r="FI56" s="1" t="s">
        <v>780</v>
      </c>
      <c r="FJ56" s="1" t="s">
        <v>780</v>
      </c>
      <c r="FK56" s="1" t="s">
        <v>780</v>
      </c>
      <c r="FL56" s="1" t="s">
        <v>780</v>
      </c>
      <c r="FM56" s="1" t="s">
        <v>780</v>
      </c>
      <c r="FN56" s="1" t="s">
        <v>780</v>
      </c>
      <c r="FO56" s="1" t="s">
        <v>780</v>
      </c>
      <c r="FQ56" s="1" t="s">
        <v>780</v>
      </c>
    </row>
    <row r="57" spans="1:198" ht="101.5" x14ac:dyDescent="0.35">
      <c r="A57" s="1" t="s">
        <v>778</v>
      </c>
      <c r="B57" s="1" t="s">
        <v>822</v>
      </c>
      <c r="C57" s="1" t="s">
        <v>834</v>
      </c>
      <c r="D57" s="1" t="s">
        <v>780</v>
      </c>
      <c r="E57" s="1" t="s">
        <v>780</v>
      </c>
      <c r="F57" s="1" t="s">
        <v>780</v>
      </c>
      <c r="G57" s="1" t="s">
        <v>780</v>
      </c>
      <c r="H57" s="1" t="s">
        <v>780</v>
      </c>
      <c r="AB57" s="1" t="s">
        <v>780</v>
      </c>
      <c r="AH57" s="1" t="s">
        <v>780</v>
      </c>
      <c r="AU57" s="1" t="s">
        <v>780</v>
      </c>
      <c r="CR57" s="1" t="s">
        <v>780</v>
      </c>
      <c r="CS57" s="1" t="s">
        <v>780</v>
      </c>
      <c r="CT57" s="1" t="s">
        <v>780</v>
      </c>
      <c r="CW57" s="1" t="s">
        <v>780</v>
      </c>
      <c r="CX57" s="1" t="s">
        <v>780</v>
      </c>
      <c r="CY57" s="1" t="s">
        <v>780</v>
      </c>
      <c r="CZ57" s="1" t="s">
        <v>780</v>
      </c>
      <c r="GA57" s="1" t="s">
        <v>780</v>
      </c>
    </row>
    <row r="58" spans="1:198" ht="116" x14ac:dyDescent="0.35">
      <c r="A58" s="1" t="s">
        <v>778</v>
      </c>
      <c r="B58" s="1" t="s">
        <v>822</v>
      </c>
      <c r="C58" s="1" t="s">
        <v>835</v>
      </c>
      <c r="D58" s="1" t="s">
        <v>780</v>
      </c>
      <c r="E58" s="1" t="s">
        <v>780</v>
      </c>
      <c r="F58" s="1" t="s">
        <v>780</v>
      </c>
      <c r="G58" s="1" t="s">
        <v>780</v>
      </c>
      <c r="H58" s="1" t="s">
        <v>780</v>
      </c>
      <c r="I58" s="1" t="s">
        <v>780</v>
      </c>
      <c r="J58" s="1" t="s">
        <v>780</v>
      </c>
      <c r="M58" s="1" t="s">
        <v>780</v>
      </c>
      <c r="O58" s="1" t="s">
        <v>780</v>
      </c>
      <c r="P58" s="1" t="s">
        <v>780</v>
      </c>
      <c r="Q58" s="1" t="s">
        <v>780</v>
      </c>
      <c r="AH58" s="1" t="s">
        <v>780</v>
      </c>
      <c r="AV58" s="1" t="s">
        <v>780</v>
      </c>
      <c r="CJ58" s="1" t="s">
        <v>780</v>
      </c>
      <c r="CU58" s="1" t="s">
        <v>780</v>
      </c>
    </row>
    <row r="59" spans="1:198" ht="58" x14ac:dyDescent="0.35">
      <c r="A59" s="1" t="s">
        <v>778</v>
      </c>
      <c r="B59" s="1" t="s">
        <v>822</v>
      </c>
      <c r="C59" s="1" t="s">
        <v>836</v>
      </c>
      <c r="D59" s="1" t="s">
        <v>780</v>
      </c>
      <c r="E59" s="1" t="s">
        <v>780</v>
      </c>
      <c r="F59" s="1" t="s">
        <v>780</v>
      </c>
      <c r="G59" s="1" t="s">
        <v>780</v>
      </c>
      <c r="H59" s="1" t="s">
        <v>780</v>
      </c>
      <c r="I59" s="1" t="s">
        <v>780</v>
      </c>
      <c r="J59" s="1" t="s">
        <v>780</v>
      </c>
      <c r="M59" s="1" t="s">
        <v>780</v>
      </c>
      <c r="N59" s="1" t="s">
        <v>780</v>
      </c>
      <c r="AL59" s="1" t="s">
        <v>780</v>
      </c>
      <c r="AN59" s="1" t="s">
        <v>780</v>
      </c>
      <c r="BB59" s="1" t="s">
        <v>780</v>
      </c>
      <c r="FR59" s="1" t="s">
        <v>780</v>
      </c>
      <c r="GB59" s="1" t="s">
        <v>780</v>
      </c>
      <c r="GC59" s="1" t="s">
        <v>780</v>
      </c>
      <c r="GD59" s="1" t="s">
        <v>780</v>
      </c>
      <c r="GE59" s="1" t="s">
        <v>780</v>
      </c>
      <c r="GF59" s="1" t="s">
        <v>780</v>
      </c>
      <c r="GG59" s="1" t="s">
        <v>780</v>
      </c>
      <c r="GH59" s="1" t="s">
        <v>780</v>
      </c>
      <c r="GI59" s="1" t="s">
        <v>780</v>
      </c>
      <c r="GJ59" s="1" t="s">
        <v>780</v>
      </c>
    </row>
    <row r="60" spans="1:198" ht="58" x14ac:dyDescent="0.35">
      <c r="A60" s="1" t="s">
        <v>778</v>
      </c>
      <c r="B60" s="1" t="s">
        <v>822</v>
      </c>
      <c r="C60" s="1" t="s">
        <v>837</v>
      </c>
      <c r="D60" s="1" t="s">
        <v>780</v>
      </c>
      <c r="E60" s="1" t="s">
        <v>780</v>
      </c>
      <c r="F60" s="1" t="s">
        <v>780</v>
      </c>
      <c r="G60" s="1" t="s">
        <v>780</v>
      </c>
      <c r="H60" s="1" t="s">
        <v>780</v>
      </c>
      <c r="AL60" s="1" t="s">
        <v>780</v>
      </c>
      <c r="AN60" s="1" t="s">
        <v>780</v>
      </c>
      <c r="AW60" s="1" t="s">
        <v>780</v>
      </c>
      <c r="AX60" s="1" t="s">
        <v>780</v>
      </c>
      <c r="BA60" s="1" t="s">
        <v>780</v>
      </c>
      <c r="FR60" s="1" t="s">
        <v>780</v>
      </c>
      <c r="GB60" s="1" t="s">
        <v>780</v>
      </c>
      <c r="GC60" s="1" t="s">
        <v>780</v>
      </c>
      <c r="GD60" s="1" t="s">
        <v>780</v>
      </c>
      <c r="GE60" s="1" t="s">
        <v>780</v>
      </c>
      <c r="GF60" s="1" t="s">
        <v>780</v>
      </c>
      <c r="GG60" s="1" t="s">
        <v>780</v>
      </c>
      <c r="GH60" s="1" t="s">
        <v>780</v>
      </c>
      <c r="GI60" s="1" t="s">
        <v>780</v>
      </c>
      <c r="GJ60" s="1" t="s">
        <v>780</v>
      </c>
    </row>
    <row r="61" spans="1:198" ht="87" x14ac:dyDescent="0.35">
      <c r="A61" s="1" t="s">
        <v>778</v>
      </c>
      <c r="B61" s="1" t="s">
        <v>822</v>
      </c>
      <c r="C61" s="1" t="s">
        <v>838</v>
      </c>
      <c r="D61" s="1" t="s">
        <v>780</v>
      </c>
      <c r="E61" s="1" t="s">
        <v>780</v>
      </c>
      <c r="F61" s="1" t="s">
        <v>780</v>
      </c>
      <c r="G61" s="1" t="s">
        <v>780</v>
      </c>
      <c r="H61" s="1" t="s">
        <v>780</v>
      </c>
      <c r="AL61" s="1" t="s">
        <v>780</v>
      </c>
      <c r="BB61" s="1" t="s">
        <v>780</v>
      </c>
      <c r="BC61" s="1" t="s">
        <v>780</v>
      </c>
      <c r="FR61" s="1" t="s">
        <v>780</v>
      </c>
      <c r="GB61" s="1" t="s">
        <v>780</v>
      </c>
      <c r="GC61" s="1" t="s">
        <v>780</v>
      </c>
      <c r="GD61" s="1" t="s">
        <v>780</v>
      </c>
      <c r="GE61" s="1" t="s">
        <v>780</v>
      </c>
      <c r="GF61" s="1" t="s">
        <v>780</v>
      </c>
      <c r="GG61" s="1" t="s">
        <v>780</v>
      </c>
      <c r="GH61" s="1" t="s">
        <v>780</v>
      </c>
      <c r="GI61" s="1" t="s">
        <v>780</v>
      </c>
      <c r="GJ61" s="1" t="s">
        <v>780</v>
      </c>
    </row>
    <row r="62" spans="1:198" ht="72.5" x14ac:dyDescent="0.35">
      <c r="A62" s="1" t="s">
        <v>778</v>
      </c>
      <c r="B62" s="1" t="s">
        <v>822</v>
      </c>
      <c r="C62" s="1" t="s">
        <v>839</v>
      </c>
      <c r="D62" s="1" t="s">
        <v>780</v>
      </c>
      <c r="E62" s="1" t="s">
        <v>780</v>
      </c>
      <c r="F62" s="1" t="s">
        <v>780</v>
      </c>
      <c r="G62" s="1" t="s">
        <v>780</v>
      </c>
      <c r="H62" s="1" t="s">
        <v>780</v>
      </c>
      <c r="FI62" s="1" t="s">
        <v>780</v>
      </c>
      <c r="FR62" s="1" t="s">
        <v>780</v>
      </c>
      <c r="GB62" s="1" t="s">
        <v>780</v>
      </c>
      <c r="GC62" s="1" t="s">
        <v>780</v>
      </c>
      <c r="GD62" s="1" t="s">
        <v>780</v>
      </c>
      <c r="GE62" s="1" t="s">
        <v>780</v>
      </c>
      <c r="GG62" s="1" t="s">
        <v>780</v>
      </c>
      <c r="GH62" s="1" t="s">
        <v>780</v>
      </c>
      <c r="GI62" s="1" t="s">
        <v>780</v>
      </c>
      <c r="GJ62" s="1" t="s">
        <v>780</v>
      </c>
    </row>
    <row r="63" spans="1:198" ht="116" x14ac:dyDescent="0.35">
      <c r="A63" s="1" t="s">
        <v>778</v>
      </c>
      <c r="B63" s="1" t="s">
        <v>822</v>
      </c>
      <c r="C63" s="1" t="s">
        <v>840</v>
      </c>
      <c r="D63" s="1" t="s">
        <v>780</v>
      </c>
      <c r="E63" s="1" t="s">
        <v>780</v>
      </c>
      <c r="F63" s="1" t="s">
        <v>780</v>
      </c>
      <c r="G63" s="1" t="s">
        <v>780</v>
      </c>
      <c r="H63" s="1" t="s">
        <v>780</v>
      </c>
      <c r="AH63" s="1" t="s">
        <v>780</v>
      </c>
      <c r="AK63" s="1" t="s">
        <v>780</v>
      </c>
      <c r="AZ63" s="1" t="s">
        <v>780</v>
      </c>
      <c r="DZ63" s="1" t="s">
        <v>780</v>
      </c>
      <c r="EA63" s="1" t="s">
        <v>780</v>
      </c>
      <c r="EB63" s="1" t="s">
        <v>780</v>
      </c>
      <c r="FI63" s="1" t="s">
        <v>780</v>
      </c>
      <c r="FJ63" s="1" t="s">
        <v>780</v>
      </c>
      <c r="FK63" s="1" t="s">
        <v>780</v>
      </c>
      <c r="FL63" s="1" t="s">
        <v>780</v>
      </c>
      <c r="FM63" s="1" t="s">
        <v>780</v>
      </c>
      <c r="FN63" s="1" t="s">
        <v>780</v>
      </c>
      <c r="FO63" s="1" t="s">
        <v>780</v>
      </c>
      <c r="FP63" s="1" t="s">
        <v>780</v>
      </c>
      <c r="FQ63" s="1" t="s">
        <v>780</v>
      </c>
    </row>
    <row r="64" spans="1:198" ht="101.5" x14ac:dyDescent="0.35">
      <c r="A64" s="1" t="s">
        <v>778</v>
      </c>
      <c r="B64" s="1" t="s">
        <v>822</v>
      </c>
      <c r="C64" s="1" t="s">
        <v>841</v>
      </c>
      <c r="D64" s="1" t="s">
        <v>780</v>
      </c>
      <c r="E64" s="1" t="s">
        <v>780</v>
      </c>
      <c r="F64" s="1" t="s">
        <v>780</v>
      </c>
      <c r="G64" s="1" t="s">
        <v>780</v>
      </c>
      <c r="H64" s="1" t="s">
        <v>780</v>
      </c>
      <c r="BO64" s="1" t="s">
        <v>780</v>
      </c>
      <c r="BP64" s="1" t="s">
        <v>780</v>
      </c>
      <c r="GK64" s="1" t="s">
        <v>780</v>
      </c>
      <c r="GL64" s="1" t="s">
        <v>780</v>
      </c>
      <c r="GM64" s="1" t="s">
        <v>780</v>
      </c>
      <c r="GN64" s="1" t="s">
        <v>780</v>
      </c>
      <c r="GO64" s="1" t="s">
        <v>780</v>
      </c>
      <c r="GP64" s="1" t="s">
        <v>780</v>
      </c>
    </row>
    <row r="65" spans="1:210" ht="101.5" x14ac:dyDescent="0.35">
      <c r="A65" s="1" t="s">
        <v>778</v>
      </c>
      <c r="B65" s="1" t="s">
        <v>822</v>
      </c>
      <c r="C65" s="1" t="s">
        <v>842</v>
      </c>
      <c r="D65" s="1" t="s">
        <v>780</v>
      </c>
      <c r="E65" s="1" t="s">
        <v>780</v>
      </c>
      <c r="F65" s="1" t="s">
        <v>780</v>
      </c>
      <c r="G65" s="1" t="s">
        <v>780</v>
      </c>
      <c r="H65" s="1" t="s">
        <v>780</v>
      </c>
      <c r="I65" s="1" t="s">
        <v>780</v>
      </c>
      <c r="J65" s="1" t="s">
        <v>780</v>
      </c>
      <c r="N65" s="1" t="s">
        <v>780</v>
      </c>
      <c r="O65" s="1" t="s">
        <v>780</v>
      </c>
      <c r="P65" s="1" t="s">
        <v>780</v>
      </c>
      <c r="Q65" s="1" t="s">
        <v>780</v>
      </c>
      <c r="Z65" s="1" t="s">
        <v>780</v>
      </c>
      <c r="AA65" s="1" t="s">
        <v>780</v>
      </c>
      <c r="AQ65" s="1" t="s">
        <v>780</v>
      </c>
      <c r="AR65" s="1" t="s">
        <v>780</v>
      </c>
      <c r="GQ65" s="1" t="s">
        <v>780</v>
      </c>
      <c r="GR65" s="1" t="s">
        <v>780</v>
      </c>
      <c r="GS65" s="1" t="s">
        <v>780</v>
      </c>
      <c r="GT65" s="1" t="s">
        <v>780</v>
      </c>
      <c r="GU65" s="1" t="s">
        <v>780</v>
      </c>
      <c r="GV65" s="1" t="s">
        <v>780</v>
      </c>
    </row>
    <row r="66" spans="1:210" ht="130.5" x14ac:dyDescent="0.35">
      <c r="A66" s="1" t="s">
        <v>778</v>
      </c>
      <c r="B66" s="1" t="s">
        <v>822</v>
      </c>
      <c r="C66" s="1" t="s">
        <v>843</v>
      </c>
      <c r="D66" s="1" t="s">
        <v>780</v>
      </c>
      <c r="E66" s="1" t="s">
        <v>780</v>
      </c>
      <c r="F66" s="1" t="s">
        <v>780</v>
      </c>
      <c r="G66" s="1" t="s">
        <v>780</v>
      </c>
      <c r="H66" s="1" t="s">
        <v>780</v>
      </c>
      <c r="I66" s="1" t="s">
        <v>780</v>
      </c>
      <c r="J66" s="1" t="s">
        <v>780</v>
      </c>
      <c r="N66" s="1" t="s">
        <v>780</v>
      </c>
      <c r="O66" s="1" t="s">
        <v>780</v>
      </c>
      <c r="T66" s="1" t="s">
        <v>780</v>
      </c>
      <c r="U66" s="1" t="s">
        <v>780</v>
      </c>
      <c r="AN66" s="1" t="s">
        <v>780</v>
      </c>
      <c r="AS66" s="1" t="s">
        <v>780</v>
      </c>
      <c r="BB66" s="1" t="s">
        <v>780</v>
      </c>
      <c r="GW66" s="1" t="s">
        <v>780</v>
      </c>
      <c r="GX66" s="1" t="s">
        <v>780</v>
      </c>
      <c r="GY66" s="1" t="s">
        <v>780</v>
      </c>
    </row>
    <row r="67" spans="1:210" ht="130.5" x14ac:dyDescent="0.35">
      <c r="A67" s="1" t="s">
        <v>778</v>
      </c>
      <c r="B67" s="1" t="s">
        <v>822</v>
      </c>
      <c r="C67" s="1" t="s">
        <v>844</v>
      </c>
      <c r="D67" s="1" t="s">
        <v>780</v>
      </c>
      <c r="E67" s="1" t="s">
        <v>780</v>
      </c>
      <c r="F67" s="1" t="s">
        <v>780</v>
      </c>
      <c r="G67" s="1" t="s">
        <v>780</v>
      </c>
      <c r="H67" s="1" t="s">
        <v>780</v>
      </c>
      <c r="I67" s="1" t="s">
        <v>780</v>
      </c>
      <c r="J67" s="1" t="s">
        <v>780</v>
      </c>
      <c r="N67" s="1" t="s">
        <v>780</v>
      </c>
      <c r="O67" s="1" t="s">
        <v>780</v>
      </c>
      <c r="T67" s="1" t="s">
        <v>780</v>
      </c>
      <c r="U67" s="1" t="s">
        <v>780</v>
      </c>
      <c r="AK67" s="1" t="s">
        <v>780</v>
      </c>
      <c r="AN67" s="1" t="s">
        <v>780</v>
      </c>
      <c r="BB67" s="1" t="s">
        <v>780</v>
      </c>
      <c r="FI67" s="1" t="s">
        <v>780</v>
      </c>
      <c r="FJ67" s="1" t="s">
        <v>780</v>
      </c>
      <c r="FK67" s="1" t="s">
        <v>780</v>
      </c>
      <c r="FL67" s="1" t="s">
        <v>780</v>
      </c>
      <c r="FM67" s="1" t="s">
        <v>780</v>
      </c>
      <c r="FN67" s="1" t="s">
        <v>780</v>
      </c>
      <c r="FO67" s="1" t="s">
        <v>780</v>
      </c>
      <c r="FP67" s="1" t="s">
        <v>780</v>
      </c>
      <c r="FQ67" s="1" t="s">
        <v>780</v>
      </c>
      <c r="FR67" s="1" t="s">
        <v>780</v>
      </c>
      <c r="FS67" s="1" t="s">
        <v>780</v>
      </c>
      <c r="FT67" s="1" t="s">
        <v>780</v>
      </c>
      <c r="FU67" s="1" t="s">
        <v>780</v>
      </c>
      <c r="FV67" s="1" t="s">
        <v>780</v>
      </c>
      <c r="FW67" s="1" t="s">
        <v>780</v>
      </c>
      <c r="FX67" s="1" t="s">
        <v>780</v>
      </c>
      <c r="FY67" s="1" t="s">
        <v>780</v>
      </c>
      <c r="FZ67" s="1" t="s">
        <v>780</v>
      </c>
    </row>
    <row r="68" spans="1:210" ht="87" x14ac:dyDescent="0.35">
      <c r="A68" s="1" t="s">
        <v>778</v>
      </c>
      <c r="B68" s="1" t="s">
        <v>822</v>
      </c>
      <c r="C68" s="1" t="s">
        <v>845</v>
      </c>
      <c r="D68" s="1" t="s">
        <v>780</v>
      </c>
      <c r="E68" s="1" t="s">
        <v>780</v>
      </c>
      <c r="F68" s="1" t="s">
        <v>780</v>
      </c>
      <c r="G68" s="1" t="s">
        <v>780</v>
      </c>
      <c r="H68" s="1" t="s">
        <v>780</v>
      </c>
      <c r="I68" s="1" t="s">
        <v>780</v>
      </c>
      <c r="J68" s="1" t="s">
        <v>780</v>
      </c>
      <c r="K68" s="1" t="s">
        <v>780</v>
      </c>
      <c r="L68" s="1" t="s">
        <v>780</v>
      </c>
      <c r="M68" s="1" t="s">
        <v>780</v>
      </c>
      <c r="N68" s="1" t="s">
        <v>780</v>
      </c>
      <c r="O68" s="1" t="s">
        <v>780</v>
      </c>
      <c r="P68" s="1" t="s">
        <v>780</v>
      </c>
      <c r="Q68" s="1" t="s">
        <v>780</v>
      </c>
      <c r="AI68" s="1" t="s">
        <v>780</v>
      </c>
      <c r="CD68" s="1" t="s">
        <v>780</v>
      </c>
      <c r="CF68" s="1" t="s">
        <v>780</v>
      </c>
      <c r="CJ68" s="1" t="s">
        <v>780</v>
      </c>
      <c r="CL68" s="1" t="s">
        <v>780</v>
      </c>
      <c r="CU68" s="1" t="s">
        <v>780</v>
      </c>
      <c r="CV68" s="1" t="s">
        <v>780</v>
      </c>
      <c r="GZ68" s="1" t="s">
        <v>780</v>
      </c>
      <c r="HA68" s="1" t="s">
        <v>780</v>
      </c>
    </row>
    <row r="69" spans="1:210" ht="72.5" x14ac:dyDescent="0.35">
      <c r="A69" s="1" t="s">
        <v>778</v>
      </c>
      <c r="B69" s="1" t="s">
        <v>822</v>
      </c>
      <c r="C69" s="1" t="s">
        <v>846</v>
      </c>
      <c r="D69" s="1" t="s">
        <v>780</v>
      </c>
      <c r="E69" s="1" t="s">
        <v>780</v>
      </c>
      <c r="F69" s="1" t="s">
        <v>780</v>
      </c>
      <c r="G69" s="1" t="s">
        <v>780</v>
      </c>
      <c r="H69" s="1" t="s">
        <v>780</v>
      </c>
      <c r="FI69" s="1" t="s">
        <v>780</v>
      </c>
      <c r="FJ69" s="1" t="s">
        <v>780</v>
      </c>
      <c r="FK69" s="1" t="s">
        <v>780</v>
      </c>
      <c r="FL69" s="1" t="s">
        <v>780</v>
      </c>
      <c r="FM69" s="1" t="s">
        <v>780</v>
      </c>
      <c r="FN69" s="1" t="s">
        <v>780</v>
      </c>
      <c r="FO69" s="1" t="s">
        <v>780</v>
      </c>
      <c r="FP69" s="1" t="s">
        <v>780</v>
      </c>
      <c r="FQ69" s="1" t="s">
        <v>780</v>
      </c>
    </row>
    <row r="70" spans="1:210" ht="101.5" x14ac:dyDescent="0.35">
      <c r="A70" s="1" t="s">
        <v>778</v>
      </c>
      <c r="B70" s="1" t="s">
        <v>822</v>
      </c>
      <c r="C70" s="1" t="s">
        <v>847</v>
      </c>
      <c r="D70" s="1" t="s">
        <v>780</v>
      </c>
      <c r="E70" s="1" t="s">
        <v>780</v>
      </c>
      <c r="F70" s="1" t="s">
        <v>780</v>
      </c>
      <c r="G70" s="1" t="s">
        <v>780</v>
      </c>
      <c r="H70" s="1" t="s">
        <v>780</v>
      </c>
      <c r="AB70" s="1" t="s">
        <v>780</v>
      </c>
      <c r="CU70" s="1" t="s">
        <v>780</v>
      </c>
      <c r="DY70" s="1" t="s">
        <v>780</v>
      </c>
      <c r="HB70" s="1" t="s">
        <v>780</v>
      </c>
    </row>
    <row r="71" spans="1:210" ht="101.5" x14ac:dyDescent="0.35">
      <c r="A71" s="1" t="s">
        <v>778</v>
      </c>
      <c r="B71" s="1" t="s">
        <v>822</v>
      </c>
      <c r="C71" s="1" t="s">
        <v>848</v>
      </c>
      <c r="D71" s="1" t="s">
        <v>780</v>
      </c>
      <c r="E71" s="1" t="s">
        <v>780</v>
      </c>
      <c r="F71" s="1" t="s">
        <v>780</v>
      </c>
      <c r="G71" s="1" t="s">
        <v>780</v>
      </c>
      <c r="H71" s="1" t="s">
        <v>780</v>
      </c>
      <c r="I71" s="1" t="s">
        <v>780</v>
      </c>
      <c r="AB71" s="1" t="s">
        <v>780</v>
      </c>
      <c r="CJ71" s="1" t="s">
        <v>780</v>
      </c>
      <c r="CP71" s="1" t="s">
        <v>780</v>
      </c>
      <c r="CU71" s="1" t="s">
        <v>780</v>
      </c>
      <c r="DA71" s="1" t="s">
        <v>780</v>
      </c>
      <c r="DY71" s="1" t="s">
        <v>780</v>
      </c>
      <c r="EB71" s="1" t="s">
        <v>780</v>
      </c>
    </row>
    <row r="72" spans="1:210" ht="130.5" x14ac:dyDescent="0.35">
      <c r="A72" s="1" t="s">
        <v>778</v>
      </c>
      <c r="B72" s="1" t="s">
        <v>822</v>
      </c>
      <c r="C72" s="1" t="s">
        <v>849</v>
      </c>
      <c r="D72" s="1" t="s">
        <v>780</v>
      </c>
      <c r="E72" s="1" t="s">
        <v>780</v>
      </c>
      <c r="F72" s="1" t="s">
        <v>780</v>
      </c>
      <c r="G72" s="1" t="s">
        <v>780</v>
      </c>
      <c r="H72" s="1" t="s">
        <v>780</v>
      </c>
      <c r="X72" s="1" t="s">
        <v>780</v>
      </c>
      <c r="AF72" s="1" t="s">
        <v>780</v>
      </c>
      <c r="DQ72" s="1" t="s">
        <v>780</v>
      </c>
      <c r="DR72" s="1" t="s">
        <v>780</v>
      </c>
      <c r="DS72" s="1" t="s">
        <v>780</v>
      </c>
      <c r="DW72" s="1" t="s">
        <v>780</v>
      </c>
    </row>
    <row r="73" spans="1:210" ht="174" x14ac:dyDescent="0.35">
      <c r="A73" s="1" t="s">
        <v>778</v>
      </c>
      <c r="B73" s="1" t="s">
        <v>822</v>
      </c>
      <c r="C73" s="1" t="s">
        <v>850</v>
      </c>
      <c r="D73" s="1" t="s">
        <v>780</v>
      </c>
      <c r="E73" s="1" t="s">
        <v>780</v>
      </c>
      <c r="F73" s="1" t="s">
        <v>780</v>
      </c>
      <c r="G73" s="1" t="s">
        <v>780</v>
      </c>
      <c r="H73" s="1" t="s">
        <v>780</v>
      </c>
      <c r="AH73" s="1" t="s">
        <v>780</v>
      </c>
      <c r="AK73" s="1" t="s">
        <v>780</v>
      </c>
      <c r="AW73" s="1" t="s">
        <v>780</v>
      </c>
      <c r="AX73" s="1" t="s">
        <v>780</v>
      </c>
      <c r="BA73" s="1" t="s">
        <v>780</v>
      </c>
      <c r="EB73" s="1" t="s">
        <v>780</v>
      </c>
      <c r="FI73" s="1" t="s">
        <v>780</v>
      </c>
      <c r="FJ73" s="1" t="s">
        <v>780</v>
      </c>
      <c r="FK73" s="1" t="s">
        <v>780</v>
      </c>
      <c r="FL73" s="1" t="s">
        <v>780</v>
      </c>
      <c r="FM73" s="1" t="s">
        <v>780</v>
      </c>
      <c r="FN73" s="1" t="s">
        <v>780</v>
      </c>
      <c r="FO73" s="1" t="s">
        <v>780</v>
      </c>
      <c r="FP73" s="1" t="s">
        <v>780</v>
      </c>
      <c r="FQ73" s="1" t="s">
        <v>780</v>
      </c>
      <c r="FR73" s="1" t="s">
        <v>780</v>
      </c>
      <c r="FS73" s="1" t="s">
        <v>780</v>
      </c>
      <c r="FT73" s="1" t="s">
        <v>780</v>
      </c>
      <c r="FU73" s="1" t="s">
        <v>780</v>
      </c>
      <c r="FV73" s="1" t="s">
        <v>780</v>
      </c>
      <c r="FW73" s="1" t="s">
        <v>780</v>
      </c>
      <c r="FX73" s="1" t="s">
        <v>780</v>
      </c>
      <c r="FY73" s="1" t="s">
        <v>780</v>
      </c>
      <c r="FZ73" s="1" t="s">
        <v>780</v>
      </c>
    </row>
    <row r="74" spans="1:210" ht="130.5" x14ac:dyDescent="0.35">
      <c r="A74" s="1" t="s">
        <v>778</v>
      </c>
      <c r="B74" s="1" t="s">
        <v>822</v>
      </c>
      <c r="C74" s="1" t="s">
        <v>851</v>
      </c>
      <c r="D74" s="1" t="s">
        <v>780</v>
      </c>
      <c r="E74" s="1" t="s">
        <v>780</v>
      </c>
      <c r="F74" s="1" t="s">
        <v>780</v>
      </c>
      <c r="G74" s="1" t="s">
        <v>780</v>
      </c>
      <c r="H74" s="1" t="s">
        <v>780</v>
      </c>
      <c r="AK74" s="1" t="s">
        <v>780</v>
      </c>
      <c r="AN74" s="1" t="s">
        <v>780</v>
      </c>
      <c r="AW74" s="1" t="s">
        <v>780</v>
      </c>
      <c r="BA74" s="1" t="s">
        <v>780</v>
      </c>
      <c r="BB74" s="1" t="s">
        <v>780</v>
      </c>
      <c r="BC74" s="1" t="s">
        <v>780</v>
      </c>
      <c r="EB74" s="1" t="s">
        <v>780</v>
      </c>
      <c r="FI74" s="1" t="s">
        <v>780</v>
      </c>
      <c r="FJ74" s="1" t="s">
        <v>780</v>
      </c>
      <c r="FK74" s="1" t="s">
        <v>780</v>
      </c>
      <c r="FL74" s="1" t="s">
        <v>780</v>
      </c>
      <c r="FM74" s="1" t="s">
        <v>780</v>
      </c>
      <c r="FN74" s="1" t="s">
        <v>780</v>
      </c>
      <c r="FO74" s="1" t="s">
        <v>780</v>
      </c>
      <c r="FP74" s="1" t="s">
        <v>780</v>
      </c>
      <c r="FQ74" s="1" t="s">
        <v>780</v>
      </c>
      <c r="FR74" s="1" t="s">
        <v>780</v>
      </c>
      <c r="FS74" s="1" t="s">
        <v>780</v>
      </c>
      <c r="FT74" s="1" t="s">
        <v>780</v>
      </c>
      <c r="FU74" s="1" t="s">
        <v>780</v>
      </c>
      <c r="FV74" s="1" t="s">
        <v>780</v>
      </c>
      <c r="FW74" s="1" t="s">
        <v>780</v>
      </c>
      <c r="FX74" s="1" t="s">
        <v>780</v>
      </c>
      <c r="FY74" s="1" t="s">
        <v>780</v>
      </c>
      <c r="FZ74" s="1" t="s">
        <v>780</v>
      </c>
    </row>
    <row r="75" spans="1:210" ht="130.5" x14ac:dyDescent="0.35">
      <c r="A75" s="1" t="s">
        <v>778</v>
      </c>
      <c r="B75" s="1" t="s">
        <v>822</v>
      </c>
      <c r="C75" s="1" t="s">
        <v>852</v>
      </c>
      <c r="D75" s="1" t="s">
        <v>780</v>
      </c>
      <c r="E75" s="1" t="s">
        <v>780</v>
      </c>
      <c r="F75" s="1" t="s">
        <v>780</v>
      </c>
      <c r="G75" s="1" t="s">
        <v>780</v>
      </c>
      <c r="H75" s="1" t="s">
        <v>780</v>
      </c>
      <c r="X75" s="1" t="s">
        <v>780</v>
      </c>
      <c r="AF75" s="1" t="s">
        <v>780</v>
      </c>
      <c r="DQ75" s="1" t="s">
        <v>780</v>
      </c>
      <c r="DR75" s="1" t="s">
        <v>780</v>
      </c>
      <c r="DS75" s="1" t="s">
        <v>780</v>
      </c>
      <c r="DW75" s="1" t="s">
        <v>780</v>
      </c>
    </row>
    <row r="76" spans="1:210" ht="101.5" x14ac:dyDescent="0.35">
      <c r="A76" s="1" t="s">
        <v>778</v>
      </c>
      <c r="B76" s="1" t="s">
        <v>822</v>
      </c>
      <c r="C76" s="1" t="s">
        <v>853</v>
      </c>
      <c r="D76" s="1" t="s">
        <v>780</v>
      </c>
      <c r="E76" s="1" t="s">
        <v>780</v>
      </c>
      <c r="F76" s="1" t="s">
        <v>780</v>
      </c>
      <c r="G76" s="1" t="s">
        <v>780</v>
      </c>
      <c r="H76" s="1" t="s">
        <v>780</v>
      </c>
      <c r="AB76" s="1" t="s">
        <v>780</v>
      </c>
      <c r="AS76" s="1" t="s">
        <v>780</v>
      </c>
      <c r="DB76" s="1" t="s">
        <v>780</v>
      </c>
      <c r="DZ76" s="1" t="s">
        <v>780</v>
      </c>
      <c r="EA76" s="1" t="s">
        <v>780</v>
      </c>
    </row>
    <row r="77" spans="1:210" ht="145" x14ac:dyDescent="0.35">
      <c r="A77" s="1" t="s">
        <v>778</v>
      </c>
      <c r="B77" s="1" t="s">
        <v>822</v>
      </c>
      <c r="C77" s="1" t="s">
        <v>854</v>
      </c>
      <c r="D77" s="1" t="s">
        <v>780</v>
      </c>
      <c r="E77" s="1" t="s">
        <v>780</v>
      </c>
      <c r="F77" s="1" t="s">
        <v>780</v>
      </c>
      <c r="G77" s="1" t="s">
        <v>780</v>
      </c>
      <c r="H77" s="1" t="s">
        <v>780</v>
      </c>
      <c r="DZ77" s="1" t="s">
        <v>780</v>
      </c>
      <c r="EA77" s="1" t="s">
        <v>780</v>
      </c>
      <c r="FI77" s="1" t="s">
        <v>780</v>
      </c>
      <c r="FJ77" s="1" t="s">
        <v>780</v>
      </c>
      <c r="FK77" s="1" t="s">
        <v>780</v>
      </c>
      <c r="FL77" s="1" t="s">
        <v>780</v>
      </c>
      <c r="FM77" s="1" t="s">
        <v>780</v>
      </c>
      <c r="FN77" s="1" t="s">
        <v>780</v>
      </c>
      <c r="FO77" s="1" t="s">
        <v>780</v>
      </c>
      <c r="FP77" s="1" t="s">
        <v>780</v>
      </c>
      <c r="FQ77" s="1" t="s">
        <v>780</v>
      </c>
      <c r="FR77" s="1" t="s">
        <v>780</v>
      </c>
      <c r="FS77" s="1" t="s">
        <v>780</v>
      </c>
      <c r="FT77" s="1" t="s">
        <v>780</v>
      </c>
      <c r="FU77" s="1" t="s">
        <v>780</v>
      </c>
      <c r="FV77" s="1" t="s">
        <v>780</v>
      </c>
      <c r="FW77" s="1" t="s">
        <v>780</v>
      </c>
      <c r="FX77" s="1" t="s">
        <v>780</v>
      </c>
      <c r="FY77" s="1" t="s">
        <v>780</v>
      </c>
      <c r="FZ77" s="1" t="s">
        <v>780</v>
      </c>
    </row>
    <row r="78" spans="1:210" ht="116" x14ac:dyDescent="0.35">
      <c r="A78" s="1" t="s">
        <v>778</v>
      </c>
      <c r="B78" s="1" t="s">
        <v>822</v>
      </c>
      <c r="C78" s="1" t="s">
        <v>855</v>
      </c>
      <c r="D78" s="1" t="s">
        <v>780</v>
      </c>
      <c r="E78" s="1" t="s">
        <v>780</v>
      </c>
      <c r="F78" s="1" t="s">
        <v>780</v>
      </c>
      <c r="G78" s="1" t="s">
        <v>780</v>
      </c>
      <c r="H78" s="1" t="s">
        <v>780</v>
      </c>
      <c r="AK78" s="1" t="s">
        <v>780</v>
      </c>
      <c r="AO78" s="1" t="s">
        <v>780</v>
      </c>
      <c r="AS78" s="1" t="s">
        <v>780</v>
      </c>
      <c r="AT78" s="1" t="s">
        <v>780</v>
      </c>
      <c r="DB78" s="1" t="s">
        <v>780</v>
      </c>
      <c r="GW78" s="1" t="s">
        <v>780</v>
      </c>
    </row>
    <row r="79" spans="1:210" ht="159.5" x14ac:dyDescent="0.35">
      <c r="A79" s="1" t="s">
        <v>778</v>
      </c>
      <c r="B79" s="1" t="s">
        <v>822</v>
      </c>
      <c r="C79" s="1" t="s">
        <v>856</v>
      </c>
      <c r="D79" s="1" t="s">
        <v>780</v>
      </c>
      <c r="E79" s="1" t="s">
        <v>780</v>
      </c>
      <c r="F79" s="1" t="s">
        <v>780</v>
      </c>
      <c r="G79" s="1" t="s">
        <v>780</v>
      </c>
      <c r="H79" s="1" t="s">
        <v>780</v>
      </c>
      <c r="AS79" s="1" t="s">
        <v>780</v>
      </c>
      <c r="CK79" s="1" t="s">
        <v>780</v>
      </c>
      <c r="CQ79" s="1" t="s">
        <v>780</v>
      </c>
      <c r="DC79" s="1" t="s">
        <v>780</v>
      </c>
      <c r="DD79" s="1" t="s">
        <v>780</v>
      </c>
    </row>
    <row r="80" spans="1:210" ht="188.5" x14ac:dyDescent="0.35">
      <c r="A80" s="1" t="s">
        <v>778</v>
      </c>
      <c r="B80" s="1" t="s">
        <v>822</v>
      </c>
      <c r="C80" s="1" t="s">
        <v>857</v>
      </c>
      <c r="D80" s="1" t="s">
        <v>780</v>
      </c>
      <c r="E80" s="1" t="s">
        <v>780</v>
      </c>
      <c r="F80" s="1" t="s">
        <v>780</v>
      </c>
      <c r="G80" s="1" t="s">
        <v>780</v>
      </c>
      <c r="H80" s="1" t="s">
        <v>780</v>
      </c>
      <c r="DH80" s="1" t="s">
        <v>780</v>
      </c>
      <c r="DI80" s="1" t="s">
        <v>780</v>
      </c>
      <c r="DJ80" s="1" t="s">
        <v>780</v>
      </c>
      <c r="DK80" s="1" t="s">
        <v>780</v>
      </c>
      <c r="EV80" s="1" t="s">
        <v>780</v>
      </c>
      <c r="EW80" s="1" t="s">
        <v>780</v>
      </c>
      <c r="EX80" s="1" t="s">
        <v>780</v>
      </c>
      <c r="EY80" s="1" t="s">
        <v>780</v>
      </c>
      <c r="EZ80" s="1" t="s">
        <v>780</v>
      </c>
      <c r="FA80" s="1" t="s">
        <v>780</v>
      </c>
      <c r="FB80" s="1" t="s">
        <v>780</v>
      </c>
    </row>
    <row r="81" spans="1:218" ht="43.5" x14ac:dyDescent="0.35">
      <c r="A81" s="1" t="s">
        <v>778</v>
      </c>
      <c r="B81" s="1" t="s">
        <v>822</v>
      </c>
      <c r="C81" s="1" t="s">
        <v>858</v>
      </c>
      <c r="D81" s="1" t="s">
        <v>780</v>
      </c>
      <c r="E81" s="1" t="s">
        <v>780</v>
      </c>
      <c r="F81" s="1" t="s">
        <v>780</v>
      </c>
      <c r="G81" s="1" t="s">
        <v>780</v>
      </c>
      <c r="H81" s="1" t="s">
        <v>780</v>
      </c>
      <c r="DT81" s="1" t="s">
        <v>780</v>
      </c>
      <c r="DU81" s="1" t="s">
        <v>780</v>
      </c>
      <c r="DV81" s="1" t="s">
        <v>780</v>
      </c>
    </row>
    <row r="82" spans="1:218" s="5" customFormat="1" ht="116" x14ac:dyDescent="0.35">
      <c r="A82" s="5" t="s">
        <v>778</v>
      </c>
      <c r="B82" s="5" t="s">
        <v>49</v>
      </c>
      <c r="C82" s="5" t="s">
        <v>859</v>
      </c>
      <c r="D82" s="5" t="s">
        <v>788</v>
      </c>
      <c r="E82" s="5" t="s">
        <v>788</v>
      </c>
      <c r="F82" s="5" t="s">
        <v>788</v>
      </c>
      <c r="G82" s="5" t="s">
        <v>788</v>
      </c>
      <c r="H82" s="5" t="s">
        <v>788</v>
      </c>
      <c r="EB82" s="5" t="s">
        <v>788</v>
      </c>
      <c r="HC82" s="5" t="s">
        <v>788</v>
      </c>
      <c r="HF82" s="5" t="s">
        <v>788</v>
      </c>
      <c r="HG82" s="5" t="s">
        <v>788</v>
      </c>
      <c r="HH82" s="5" t="s">
        <v>788</v>
      </c>
      <c r="HI82" s="5" t="s">
        <v>788</v>
      </c>
      <c r="HJ82" s="5">
        <f>SUM(D82:HI82)</f>
        <v>0</v>
      </c>
    </row>
    <row r="83" spans="1:218" ht="87" x14ac:dyDescent="0.35">
      <c r="A83" s="1" t="s">
        <v>778</v>
      </c>
      <c r="B83" s="5" t="s">
        <v>49</v>
      </c>
      <c r="C83" s="1" t="s">
        <v>860</v>
      </c>
      <c r="D83" s="1" t="s">
        <v>780</v>
      </c>
      <c r="E83" s="1" t="s">
        <v>780</v>
      </c>
      <c r="F83" s="1" t="s">
        <v>780</v>
      </c>
      <c r="G83" s="1" t="s">
        <v>780</v>
      </c>
      <c r="H83" s="1" t="s">
        <v>780</v>
      </c>
      <c r="AB83" s="1" t="s">
        <v>780</v>
      </c>
      <c r="AP83" s="1" t="s">
        <v>780</v>
      </c>
      <c r="BF83" s="1" t="s">
        <v>780</v>
      </c>
      <c r="EB83" s="1" t="s">
        <v>780</v>
      </c>
      <c r="HD83" s="1" t="s">
        <v>780</v>
      </c>
      <c r="HE83" s="1" t="s">
        <v>780</v>
      </c>
      <c r="HJ83" s="5">
        <f>SUM(D83:HI83)</f>
        <v>0</v>
      </c>
    </row>
    <row r="84" spans="1:218" x14ac:dyDescent="0.35">
      <c r="A84" s="1" t="s">
        <v>778</v>
      </c>
      <c r="D84" s="1">
        <f>IF(ISERROR(HLOOKUP(D2,[2]fe_skills_index_achievers_and_v!$A$1:$K$1,1,FALSE)),0,1)</f>
        <v>1</v>
      </c>
      <c r="E84" s="1">
        <f>IF(ISERROR(HLOOKUP(E2,[2]fe_skills_index_achievers_and_v!$A$1:$K$1,1,FALSE)),0,1)</f>
        <v>1</v>
      </c>
      <c r="F84" s="1">
        <f>IF(ISERROR(HLOOKUP(F2,[2]fe_skills_index_achievers_and_v!$A$1:$K$1,1,FALSE)),0,1)</f>
        <v>1</v>
      </c>
      <c r="G84" s="1">
        <f>IF(ISERROR(HLOOKUP(G2,[2]fe_skills_index_achievers_and_v!$A$1:$K$1,1,FALSE)),0,1)</f>
        <v>1</v>
      </c>
      <c r="H84" s="1">
        <f>IF(ISERROR(HLOOKUP(H2,[2]fe_skills_index_achievers_and_v!$A$1:$K$1,1,FALSE)),0,1)</f>
        <v>1</v>
      </c>
      <c r="I84" s="1">
        <f>IF(ISERROR(HLOOKUP(I2,[2]fe_skills_index_achievers_and_v!$A$1:$K$1,1,FALSE)),0,1)</f>
        <v>0</v>
      </c>
      <c r="J84" s="1">
        <f>IF(ISERROR(HLOOKUP(J2,[2]fe_skills_index_achievers_and_v!$A$1:$K$1,1,FALSE)),0,1)</f>
        <v>0</v>
      </c>
      <c r="K84" s="1">
        <f>IF(ISERROR(HLOOKUP(K2,[2]fe_skills_index_achievers_and_v!$A$1:$K$1,1,FALSE)),0,1)</f>
        <v>0</v>
      </c>
      <c r="L84" s="1">
        <f>IF(ISERROR(HLOOKUP(L2,[2]fe_skills_index_achievers_and_v!$A$1:$K$1,1,FALSE)),0,1)</f>
        <v>0</v>
      </c>
      <c r="M84" s="1">
        <f>IF(ISERROR(HLOOKUP(M2,[2]fe_skills_index_achievers_and_v!$A$1:$K$1,1,FALSE)),0,1)</f>
        <v>0</v>
      </c>
      <c r="N84" s="1">
        <f>IF(ISERROR(HLOOKUP(N2,[2]fe_skills_index_achievers_and_v!$A$1:$K$1,1,FALSE)),0,1)</f>
        <v>0</v>
      </c>
      <c r="O84" s="1">
        <f>IF(ISERROR(HLOOKUP(O2,[2]fe_skills_index_achievers_and_v!$A$1:$K$1,1,FALSE)),0,1)</f>
        <v>0</v>
      </c>
      <c r="P84" s="1">
        <f>IF(ISERROR(HLOOKUP(P2,[2]fe_skills_index_achievers_and_v!$A$1:$K$1,1,FALSE)),0,1)</f>
        <v>0</v>
      </c>
      <c r="Q84" s="1">
        <f>IF(ISERROR(HLOOKUP(Q2,[2]fe_skills_index_achievers_and_v!$A$1:$K$1,1,FALSE)),0,1)</f>
        <v>0</v>
      </c>
      <c r="R84" s="1">
        <f>IF(ISERROR(HLOOKUP(R2,[2]fe_skills_index_achievers_and_v!$A$1:$K$1,1,FALSE)),0,1)</f>
        <v>0</v>
      </c>
      <c r="S84" s="1">
        <f>IF(ISERROR(HLOOKUP(S2,[2]fe_skills_index_achievers_and_v!$A$1:$K$1,1,FALSE)),0,1)</f>
        <v>0</v>
      </c>
      <c r="T84" s="1">
        <f>IF(ISERROR(HLOOKUP(T2,[2]fe_skills_index_achievers_and_v!$A$1:$K$1,1,FALSE)),0,1)</f>
        <v>0</v>
      </c>
      <c r="U84" s="1">
        <f>IF(ISERROR(HLOOKUP(U2,[2]fe_skills_index_achievers_and_v!$A$1:$K$1,1,FALSE)),0,1)</f>
        <v>0</v>
      </c>
    </row>
    <row r="85" spans="1:218" x14ac:dyDescent="0.35">
      <c r="A85" s="1" t="s">
        <v>778</v>
      </c>
    </row>
  </sheetData>
  <autoFilter ref="A2:HJ2" xr:uid="{E9DFC744-80BE-4CEF-831E-184E59B672DF}"/>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topLeftCell="A52" zoomScale="102" zoomScaleNormal="70" workbookViewId="0">
      <selection activeCell="B259" sqref="B259"/>
    </sheetView>
  </sheetViews>
  <sheetFormatPr defaultRowHeight="14.5" x14ac:dyDescent="0.35"/>
  <cols>
    <col min="1" max="1" width="34.7265625" customWidth="1"/>
  </cols>
  <sheetData>
    <row r="1" spans="1:2" x14ac:dyDescent="0.35">
      <c r="A1" t="s">
        <v>1211</v>
      </c>
    </row>
    <row r="4" spans="1:2" x14ac:dyDescent="0.35">
      <c r="A4" t="s">
        <v>330</v>
      </c>
      <c r="B4" t="s">
        <v>1212</v>
      </c>
    </row>
    <row r="5" spans="1:2" x14ac:dyDescent="0.35">
      <c r="A5" t="s">
        <v>329</v>
      </c>
      <c r="B5" t="s">
        <v>1213</v>
      </c>
    </row>
    <row r="6" spans="1:2" x14ac:dyDescent="0.35">
      <c r="A6" t="s">
        <v>328</v>
      </c>
      <c r="B6" t="s">
        <v>1214</v>
      </c>
    </row>
    <row r="7" spans="1:2" x14ac:dyDescent="0.35">
      <c r="A7" t="s">
        <v>333</v>
      </c>
      <c r="B7" t="s">
        <v>1215</v>
      </c>
    </row>
    <row r="8" spans="1:2" x14ac:dyDescent="0.35">
      <c r="A8" t="s">
        <v>331</v>
      </c>
      <c r="B8" t="s">
        <v>1216</v>
      </c>
    </row>
    <row r="9" spans="1:2" x14ac:dyDescent="0.35">
      <c r="A9" t="s">
        <v>332</v>
      </c>
      <c r="B9" t="s">
        <v>1217</v>
      </c>
    </row>
    <row r="10" spans="1:2" x14ac:dyDescent="0.35">
      <c r="A10" t="s">
        <v>1218</v>
      </c>
      <c r="B10" t="s">
        <v>1219</v>
      </c>
    </row>
    <row r="11" spans="1:2" x14ac:dyDescent="0.35">
      <c r="A11" t="s">
        <v>1220</v>
      </c>
      <c r="B11" t="s">
        <v>1221</v>
      </c>
    </row>
    <row r="12" spans="1:2" x14ac:dyDescent="0.35">
      <c r="A12" t="s">
        <v>1222</v>
      </c>
      <c r="B12" t="s">
        <v>1223</v>
      </c>
    </row>
    <row r="13" spans="1:2" x14ac:dyDescent="0.35">
      <c r="A13" t="s">
        <v>1224</v>
      </c>
      <c r="B13" t="s">
        <v>1225</v>
      </c>
    </row>
    <row r="14" spans="1:2" x14ac:dyDescent="0.35">
      <c r="A14" t="s">
        <v>1226</v>
      </c>
      <c r="B14" t="s">
        <v>1227</v>
      </c>
    </row>
    <row r="15" spans="1:2" x14ac:dyDescent="0.35">
      <c r="A15" t="s">
        <v>1228</v>
      </c>
      <c r="B15" t="s">
        <v>1229</v>
      </c>
    </row>
    <row r="16" spans="1:2" x14ac:dyDescent="0.35">
      <c r="A16" t="s">
        <v>1230</v>
      </c>
      <c r="B16" t="s">
        <v>1231</v>
      </c>
    </row>
    <row r="17" spans="1:2" x14ac:dyDescent="0.35">
      <c r="A17" t="s">
        <v>1232</v>
      </c>
      <c r="B17" t="s">
        <v>1233</v>
      </c>
    </row>
    <row r="18" spans="1:2" x14ac:dyDescent="0.35">
      <c r="A18" t="s">
        <v>1234</v>
      </c>
      <c r="B18" t="s">
        <v>1235</v>
      </c>
    </row>
    <row r="19" spans="1:2" x14ac:dyDescent="0.35">
      <c r="A19" t="s">
        <v>171</v>
      </c>
      <c r="B19" t="s">
        <v>1236</v>
      </c>
    </row>
    <row r="20" spans="1:2" x14ac:dyDescent="0.35">
      <c r="A20" t="s">
        <v>359</v>
      </c>
      <c r="B20" t="s">
        <v>1237</v>
      </c>
    </row>
    <row r="21" spans="1:2" x14ac:dyDescent="0.35">
      <c r="A21" t="s">
        <v>359</v>
      </c>
      <c r="B21" t="s">
        <v>1238</v>
      </c>
    </row>
    <row r="22" spans="1:2" x14ac:dyDescent="0.35">
      <c r="A22" t="s">
        <v>358</v>
      </c>
      <c r="B22" t="s">
        <v>1239</v>
      </c>
    </row>
    <row r="23" spans="1:2" x14ac:dyDescent="0.35">
      <c r="A23" t="s">
        <v>358</v>
      </c>
      <c r="B23" t="s">
        <v>1240</v>
      </c>
    </row>
    <row r="24" spans="1:2" x14ac:dyDescent="0.35">
      <c r="A24" t="s">
        <v>374</v>
      </c>
      <c r="B24" t="s">
        <v>1241</v>
      </c>
    </row>
    <row r="25" spans="1:2" x14ac:dyDescent="0.35">
      <c r="A25" t="s">
        <v>1242</v>
      </c>
      <c r="B25" t="s">
        <v>1243</v>
      </c>
    </row>
    <row r="26" spans="1:2" x14ac:dyDescent="0.35">
      <c r="A26" t="s">
        <v>360</v>
      </c>
      <c r="B26" t="s">
        <v>1244</v>
      </c>
    </row>
    <row r="27" spans="1:2" x14ac:dyDescent="0.35">
      <c r="A27" t="s">
        <v>1245</v>
      </c>
      <c r="B27" t="s">
        <v>1246</v>
      </c>
    </row>
    <row r="28" spans="1:2" x14ac:dyDescent="0.35">
      <c r="A28" t="s">
        <v>1245</v>
      </c>
      <c r="B28" t="s">
        <v>1244</v>
      </c>
    </row>
    <row r="29" spans="1:2" x14ac:dyDescent="0.35">
      <c r="A29" t="s">
        <v>361</v>
      </c>
      <c r="B29" t="s">
        <v>1247</v>
      </c>
    </row>
    <row r="30" spans="1:2" x14ac:dyDescent="0.35">
      <c r="A30" t="s">
        <v>1248</v>
      </c>
      <c r="B30" t="s">
        <v>1249</v>
      </c>
    </row>
    <row r="31" spans="1:2" x14ac:dyDescent="0.35">
      <c r="A31" t="s">
        <v>362</v>
      </c>
      <c r="B31" t="s">
        <v>1250</v>
      </c>
    </row>
    <row r="32" spans="1:2" x14ac:dyDescent="0.35">
      <c r="A32" t="s">
        <v>362</v>
      </c>
      <c r="B32" t="s">
        <v>1251</v>
      </c>
    </row>
    <row r="33" spans="1:2" x14ac:dyDescent="0.35">
      <c r="A33" t="s">
        <v>363</v>
      </c>
      <c r="B33" t="s">
        <v>1252</v>
      </c>
    </row>
    <row r="34" spans="1:2" x14ac:dyDescent="0.35">
      <c r="A34" t="s">
        <v>363</v>
      </c>
      <c r="B34" t="s">
        <v>1253</v>
      </c>
    </row>
    <row r="35" spans="1:2" x14ac:dyDescent="0.35">
      <c r="A35" t="s">
        <v>364</v>
      </c>
      <c r="B35" t="s">
        <v>1254</v>
      </c>
    </row>
    <row r="36" spans="1:2" x14ac:dyDescent="0.35">
      <c r="A36" t="s">
        <v>373</v>
      </c>
      <c r="B36" t="s">
        <v>1255</v>
      </c>
    </row>
    <row r="37" spans="1:2" x14ac:dyDescent="0.35">
      <c r="A37" t="s">
        <v>1256</v>
      </c>
      <c r="B37" t="s">
        <v>1257</v>
      </c>
    </row>
    <row r="38" spans="1:2" x14ac:dyDescent="0.35">
      <c r="A38" t="s">
        <v>365</v>
      </c>
      <c r="B38" t="s">
        <v>1258</v>
      </c>
    </row>
    <row r="39" spans="1:2" x14ac:dyDescent="0.35">
      <c r="A39" t="s">
        <v>365</v>
      </c>
      <c r="B39" t="s">
        <v>1259</v>
      </c>
    </row>
    <row r="40" spans="1:2" x14ac:dyDescent="0.35">
      <c r="A40" t="s">
        <v>1260</v>
      </c>
      <c r="B40" t="s">
        <v>1261</v>
      </c>
    </row>
    <row r="41" spans="1:2" x14ac:dyDescent="0.35">
      <c r="A41" t="s">
        <v>372</v>
      </c>
      <c r="B41" t="s">
        <v>1262</v>
      </c>
    </row>
    <row r="42" spans="1:2" x14ac:dyDescent="0.35">
      <c r="A42" t="s">
        <v>357</v>
      </c>
      <c r="B42" t="s">
        <v>1263</v>
      </c>
    </row>
    <row r="43" spans="1:2" x14ac:dyDescent="0.35">
      <c r="A43" t="s">
        <v>1264</v>
      </c>
      <c r="B43" t="s">
        <v>1263</v>
      </c>
    </row>
    <row r="44" spans="1:2" x14ac:dyDescent="0.35">
      <c r="A44" t="s">
        <v>1265</v>
      </c>
      <c r="B44" t="s">
        <v>1266</v>
      </c>
    </row>
    <row r="45" spans="1:2" x14ac:dyDescent="0.35">
      <c r="A45" t="s">
        <v>1267</v>
      </c>
      <c r="B45" t="s">
        <v>1268</v>
      </c>
    </row>
    <row r="46" spans="1:2" x14ac:dyDescent="0.35">
      <c r="A46" t="s">
        <v>1269</v>
      </c>
      <c r="B46" t="s">
        <v>1270</v>
      </c>
    </row>
    <row r="47" spans="1:2" x14ac:dyDescent="0.35">
      <c r="A47" t="s">
        <v>1271</v>
      </c>
      <c r="B47" t="s">
        <v>1272</v>
      </c>
    </row>
    <row r="48" spans="1:2" x14ac:dyDescent="0.35">
      <c r="A48" t="s">
        <v>1273</v>
      </c>
      <c r="B48" t="s">
        <v>1274</v>
      </c>
    </row>
    <row r="49" spans="1:2" x14ac:dyDescent="0.35">
      <c r="A49" t="s">
        <v>1275</v>
      </c>
      <c r="B49" t="s">
        <v>1276</v>
      </c>
    </row>
    <row r="50" spans="1:2" x14ac:dyDescent="0.35">
      <c r="A50" t="s">
        <v>254</v>
      </c>
      <c r="B50" t="s">
        <v>1276</v>
      </c>
    </row>
    <row r="51" spans="1:2" x14ac:dyDescent="0.35">
      <c r="A51" t="s">
        <v>255</v>
      </c>
      <c r="B51" t="s">
        <v>1277</v>
      </c>
    </row>
    <row r="52" spans="1:2" x14ac:dyDescent="0.35">
      <c r="A52" t="s">
        <v>1278</v>
      </c>
      <c r="B52" t="s">
        <v>1279</v>
      </c>
    </row>
    <row r="53" spans="1:2" x14ac:dyDescent="0.35">
      <c r="A53" t="s">
        <v>1280</v>
      </c>
      <c r="B53" t="s">
        <v>1281</v>
      </c>
    </row>
    <row r="54" spans="1:2" x14ac:dyDescent="0.35">
      <c r="A54" t="s">
        <v>252</v>
      </c>
      <c r="B54" t="s">
        <v>1282</v>
      </c>
    </row>
    <row r="55" spans="1:2" x14ac:dyDescent="0.35">
      <c r="A55" t="s">
        <v>251</v>
      </c>
      <c r="B55" t="s">
        <v>1283</v>
      </c>
    </row>
    <row r="56" spans="1:2" x14ac:dyDescent="0.35">
      <c r="A56" t="s">
        <v>1284</v>
      </c>
      <c r="B56" t="s">
        <v>1285</v>
      </c>
    </row>
    <row r="57" spans="1:2" x14ac:dyDescent="0.35">
      <c r="A57" t="s">
        <v>248</v>
      </c>
      <c r="B57" t="s">
        <v>1286</v>
      </c>
    </row>
    <row r="58" spans="1:2" x14ac:dyDescent="0.35">
      <c r="A58" t="s">
        <v>1287</v>
      </c>
      <c r="B58" t="s">
        <v>1288</v>
      </c>
    </row>
    <row r="59" spans="1:2" x14ac:dyDescent="0.35">
      <c r="A59" t="s">
        <v>283</v>
      </c>
      <c r="B59" t="s">
        <v>1289</v>
      </c>
    </row>
    <row r="60" spans="1:2" x14ac:dyDescent="0.35">
      <c r="A60" t="s">
        <v>221</v>
      </c>
      <c r="B60" t="s">
        <v>1290</v>
      </c>
    </row>
    <row r="61" spans="1:2" x14ac:dyDescent="0.35">
      <c r="A61" t="s">
        <v>1291</v>
      </c>
      <c r="B61" t="s">
        <v>1292</v>
      </c>
    </row>
    <row r="62" spans="1:2" x14ac:dyDescent="0.35">
      <c r="A62" t="s">
        <v>180</v>
      </c>
      <c r="B62" t="s">
        <v>1293</v>
      </c>
    </row>
    <row r="63" spans="1:2" x14ac:dyDescent="0.35">
      <c r="A63" t="s">
        <v>185</v>
      </c>
      <c r="B63" t="s">
        <v>1293</v>
      </c>
    </row>
    <row r="64" spans="1:2" x14ac:dyDescent="0.35">
      <c r="A64" t="s">
        <v>184</v>
      </c>
      <c r="B64" t="s">
        <v>1294</v>
      </c>
    </row>
    <row r="65" spans="1:2" x14ac:dyDescent="0.35">
      <c r="A65" t="s">
        <v>182</v>
      </c>
      <c r="B65" t="s">
        <v>1293</v>
      </c>
    </row>
    <row r="66" spans="1:2" x14ac:dyDescent="0.35">
      <c r="A66" t="s">
        <v>1295</v>
      </c>
      <c r="B66" t="s">
        <v>1294</v>
      </c>
    </row>
    <row r="67" spans="1:2" x14ac:dyDescent="0.35">
      <c r="A67" t="s">
        <v>179</v>
      </c>
      <c r="B67" t="s">
        <v>1296</v>
      </c>
    </row>
    <row r="68" spans="1:2" x14ac:dyDescent="0.35">
      <c r="A68" t="s">
        <v>1297</v>
      </c>
      <c r="B68" t="s">
        <v>1298</v>
      </c>
    </row>
    <row r="69" spans="1:2" x14ac:dyDescent="0.35">
      <c r="A69" t="s">
        <v>267</v>
      </c>
      <c r="B69" t="s">
        <v>1299</v>
      </c>
    </row>
    <row r="70" spans="1:2" x14ac:dyDescent="0.35">
      <c r="A70" t="s">
        <v>278</v>
      </c>
      <c r="B70" t="s">
        <v>1300</v>
      </c>
    </row>
    <row r="71" spans="1:2" x14ac:dyDescent="0.35">
      <c r="A71" t="s">
        <v>318</v>
      </c>
      <c r="B71" t="s">
        <v>1301</v>
      </c>
    </row>
    <row r="72" spans="1:2" x14ac:dyDescent="0.35">
      <c r="A72" t="s">
        <v>279</v>
      </c>
      <c r="B72" t="s">
        <v>1302</v>
      </c>
    </row>
    <row r="73" spans="1:2" x14ac:dyDescent="0.35">
      <c r="A73" t="s">
        <v>277</v>
      </c>
      <c r="B73" t="s">
        <v>1303</v>
      </c>
    </row>
    <row r="74" spans="1:2" x14ac:dyDescent="0.35">
      <c r="A74" t="s">
        <v>315</v>
      </c>
      <c r="B74" t="s">
        <v>1304</v>
      </c>
    </row>
    <row r="75" spans="1:2" x14ac:dyDescent="0.35">
      <c r="A75" t="s">
        <v>321</v>
      </c>
      <c r="B75" t="s">
        <v>1305</v>
      </c>
    </row>
    <row r="76" spans="1:2" x14ac:dyDescent="0.35">
      <c r="A76" t="s">
        <v>312</v>
      </c>
      <c r="B76" t="s">
        <v>1306</v>
      </c>
    </row>
    <row r="77" spans="1:2" x14ac:dyDescent="0.35">
      <c r="A77" t="s">
        <v>230</v>
      </c>
      <c r="B77" t="s">
        <v>1307</v>
      </c>
    </row>
    <row r="78" spans="1:2" x14ac:dyDescent="0.35">
      <c r="A78" t="s">
        <v>392</v>
      </c>
      <c r="B78" t="s">
        <v>1308</v>
      </c>
    </row>
    <row r="79" spans="1:2" x14ac:dyDescent="0.35">
      <c r="A79" t="s">
        <v>276</v>
      </c>
      <c r="B79" t="s">
        <v>1309</v>
      </c>
    </row>
    <row r="80" spans="1:2" x14ac:dyDescent="0.35">
      <c r="A80" t="s">
        <v>346</v>
      </c>
      <c r="B80" t="s">
        <v>1310</v>
      </c>
    </row>
    <row r="81" spans="1:2" x14ac:dyDescent="0.35">
      <c r="A81" t="s">
        <v>281</v>
      </c>
      <c r="B81" t="s">
        <v>1311</v>
      </c>
    </row>
    <row r="82" spans="1:2" x14ac:dyDescent="0.35">
      <c r="A82" t="s">
        <v>274</v>
      </c>
      <c r="B82" t="s">
        <v>1312</v>
      </c>
    </row>
    <row r="83" spans="1:2" x14ac:dyDescent="0.35">
      <c r="A83" t="s">
        <v>274</v>
      </c>
      <c r="B83" t="s">
        <v>1313</v>
      </c>
    </row>
    <row r="84" spans="1:2" x14ac:dyDescent="0.35">
      <c r="A84" t="s">
        <v>275</v>
      </c>
      <c r="B84" t="s">
        <v>1314</v>
      </c>
    </row>
    <row r="85" spans="1:2" x14ac:dyDescent="0.35">
      <c r="A85" t="s">
        <v>345</v>
      </c>
      <c r="B85" t="s">
        <v>1315</v>
      </c>
    </row>
    <row r="86" spans="1:2" x14ac:dyDescent="0.35">
      <c r="A86" t="s">
        <v>237</v>
      </c>
      <c r="B86" t="s">
        <v>1316</v>
      </c>
    </row>
    <row r="87" spans="1:2" x14ac:dyDescent="0.35">
      <c r="A87" t="s">
        <v>305</v>
      </c>
      <c r="B87" t="s">
        <v>1317</v>
      </c>
    </row>
    <row r="88" spans="1:2" x14ac:dyDescent="0.35">
      <c r="A88" t="s">
        <v>166</v>
      </c>
      <c r="B88" t="s">
        <v>1318</v>
      </c>
    </row>
    <row r="89" spans="1:2" x14ac:dyDescent="0.35">
      <c r="A89" t="s">
        <v>168</v>
      </c>
      <c r="B89" t="s">
        <v>175</v>
      </c>
    </row>
    <row r="90" spans="1:2" x14ac:dyDescent="0.35">
      <c r="A90" t="s">
        <v>1273</v>
      </c>
      <c r="B90" t="s">
        <v>1274</v>
      </c>
    </row>
    <row r="91" spans="1:2" x14ac:dyDescent="0.35">
      <c r="A91" t="s">
        <v>1319</v>
      </c>
      <c r="B91" t="s">
        <v>1320</v>
      </c>
    </row>
    <row r="92" spans="1:2" x14ac:dyDescent="0.35">
      <c r="A92" t="s">
        <v>296</v>
      </c>
      <c r="B92" t="s">
        <v>1321</v>
      </c>
    </row>
    <row r="93" spans="1:2" x14ac:dyDescent="0.35">
      <c r="A93" t="s">
        <v>235</v>
      </c>
      <c r="B93" t="s">
        <v>791</v>
      </c>
    </row>
    <row r="94" spans="1:2" x14ac:dyDescent="0.35">
      <c r="A94" t="s">
        <v>1322</v>
      </c>
      <c r="B94" t="s">
        <v>1323</v>
      </c>
    </row>
    <row r="95" spans="1:2" x14ac:dyDescent="0.35">
      <c r="A95" t="s">
        <v>215</v>
      </c>
      <c r="B95" t="s">
        <v>1324</v>
      </c>
    </row>
    <row r="96" spans="1:2" x14ac:dyDescent="0.35">
      <c r="A96" t="s">
        <v>229</v>
      </c>
      <c r="B96" t="s">
        <v>1325</v>
      </c>
    </row>
    <row r="97" spans="1:2" x14ac:dyDescent="0.35">
      <c r="A97" t="s">
        <v>231</v>
      </c>
      <c r="B97" t="s">
        <v>1326</v>
      </c>
    </row>
    <row r="98" spans="1:2" x14ac:dyDescent="0.35">
      <c r="A98" t="s">
        <v>1327</v>
      </c>
      <c r="B98" t="s">
        <v>176</v>
      </c>
    </row>
    <row r="99" spans="1:2" x14ac:dyDescent="0.35">
      <c r="A99" t="s">
        <v>1328</v>
      </c>
      <c r="B99" t="s">
        <v>175</v>
      </c>
    </row>
    <row r="100" spans="1:2" x14ac:dyDescent="0.35">
      <c r="A100" t="s">
        <v>1329</v>
      </c>
      <c r="B100" t="s">
        <v>176</v>
      </c>
    </row>
    <row r="101" spans="1:2" x14ac:dyDescent="0.35">
      <c r="A101" t="s">
        <v>1330</v>
      </c>
      <c r="B101" t="s">
        <v>1314</v>
      </c>
    </row>
    <row r="102" spans="1:2" x14ac:dyDescent="0.35">
      <c r="A102" t="s">
        <v>391</v>
      </c>
      <c r="B102" t="s">
        <v>1331</v>
      </c>
    </row>
    <row r="103" spans="1:2" x14ac:dyDescent="0.35">
      <c r="A103" t="s">
        <v>390</v>
      </c>
      <c r="B103" t="s">
        <v>1332</v>
      </c>
    </row>
    <row r="104" spans="1:2" x14ac:dyDescent="0.35">
      <c r="A104" t="s">
        <v>317</v>
      </c>
      <c r="B104" t="s">
        <v>1333</v>
      </c>
    </row>
    <row r="105" spans="1:2" x14ac:dyDescent="0.35">
      <c r="A105" t="s">
        <v>314</v>
      </c>
      <c r="B105" t="s">
        <v>1334</v>
      </c>
    </row>
    <row r="106" spans="1:2" x14ac:dyDescent="0.35">
      <c r="A106" t="s">
        <v>311</v>
      </c>
      <c r="B106" t="s">
        <v>1335</v>
      </c>
    </row>
    <row r="107" spans="1:2" x14ac:dyDescent="0.35">
      <c r="A107" t="s">
        <v>320</v>
      </c>
      <c r="B107" t="s">
        <v>1336</v>
      </c>
    </row>
    <row r="108" spans="1:2" x14ac:dyDescent="0.35">
      <c r="A108" t="s">
        <v>384</v>
      </c>
      <c r="B108" t="s">
        <v>1337</v>
      </c>
    </row>
    <row r="109" spans="1:2" x14ac:dyDescent="0.35">
      <c r="A109" t="s">
        <v>1338</v>
      </c>
      <c r="B109" t="s">
        <v>1339</v>
      </c>
    </row>
    <row r="110" spans="1:2" x14ac:dyDescent="0.35">
      <c r="A110" t="s">
        <v>1338</v>
      </c>
      <c r="B110" t="s">
        <v>1298</v>
      </c>
    </row>
    <row r="111" spans="1:2" x14ac:dyDescent="0.35">
      <c r="A111" t="s">
        <v>378</v>
      </c>
      <c r="B111" t="s">
        <v>1340</v>
      </c>
    </row>
    <row r="112" spans="1:2" x14ac:dyDescent="0.35">
      <c r="A112" t="s">
        <v>380</v>
      </c>
      <c r="B112" t="s">
        <v>1341</v>
      </c>
    </row>
    <row r="113" spans="1:2" x14ac:dyDescent="0.35">
      <c r="A113" t="s">
        <v>379</v>
      </c>
      <c r="B113" t="s">
        <v>1342</v>
      </c>
    </row>
    <row r="114" spans="1:2" x14ac:dyDescent="0.35">
      <c r="A114" t="s">
        <v>1343</v>
      </c>
      <c r="B114" t="s">
        <v>1298</v>
      </c>
    </row>
    <row r="115" spans="1:2" x14ac:dyDescent="0.35">
      <c r="A115" t="s">
        <v>295</v>
      </c>
      <c r="B115" t="s">
        <v>1344</v>
      </c>
    </row>
    <row r="116" spans="1:2" x14ac:dyDescent="0.35">
      <c r="A116" t="s">
        <v>207</v>
      </c>
      <c r="B116" t="s">
        <v>1345</v>
      </c>
    </row>
    <row r="117" spans="1:2" x14ac:dyDescent="0.35">
      <c r="A117" t="s">
        <v>208</v>
      </c>
      <c r="B117" t="s">
        <v>1346</v>
      </c>
    </row>
    <row r="118" spans="1:2" x14ac:dyDescent="0.35">
      <c r="A118" t="s">
        <v>1347</v>
      </c>
      <c r="B118" t="s">
        <v>1346</v>
      </c>
    </row>
    <row r="119" spans="1:2" x14ac:dyDescent="0.35">
      <c r="A119" t="s">
        <v>369</v>
      </c>
      <c r="B119" t="s">
        <v>1348</v>
      </c>
    </row>
    <row r="120" spans="1:2" x14ac:dyDescent="0.35">
      <c r="A120" t="s">
        <v>294</v>
      </c>
      <c r="B120" t="s">
        <v>1349</v>
      </c>
    </row>
    <row r="121" spans="1:2" x14ac:dyDescent="0.35">
      <c r="A121" t="s">
        <v>1350</v>
      </c>
      <c r="B121" t="s">
        <v>1351</v>
      </c>
    </row>
    <row r="122" spans="1:2" x14ac:dyDescent="0.35">
      <c r="A122" t="s">
        <v>1352</v>
      </c>
      <c r="B122" t="s">
        <v>164</v>
      </c>
    </row>
    <row r="123" spans="1:2" x14ac:dyDescent="0.35">
      <c r="A123" t="s">
        <v>1353</v>
      </c>
      <c r="B123" t="s">
        <v>175</v>
      </c>
    </row>
    <row r="124" spans="1:2" x14ac:dyDescent="0.35">
      <c r="A124" t="s">
        <v>1354</v>
      </c>
      <c r="B124" t="s">
        <v>1355</v>
      </c>
    </row>
    <row r="125" spans="1:2" x14ac:dyDescent="0.35">
      <c r="A125" t="s">
        <v>376</v>
      </c>
      <c r="B125" t="s">
        <v>1356</v>
      </c>
    </row>
    <row r="126" spans="1:2" x14ac:dyDescent="0.35">
      <c r="A126" t="s">
        <v>282</v>
      </c>
      <c r="B126" t="s">
        <v>1357</v>
      </c>
    </row>
    <row r="127" spans="1:2" x14ac:dyDescent="0.35">
      <c r="A127" t="s">
        <v>233</v>
      </c>
      <c r="B127" t="s">
        <v>1358</v>
      </c>
    </row>
    <row r="128" spans="1:2" x14ac:dyDescent="0.35">
      <c r="A128" t="s">
        <v>170</v>
      </c>
      <c r="B128" t="s">
        <v>1359</v>
      </c>
    </row>
    <row r="129" spans="1:2" x14ac:dyDescent="0.35">
      <c r="A129" t="s">
        <v>170</v>
      </c>
      <c r="B129" t="s">
        <v>176</v>
      </c>
    </row>
    <row r="130" spans="1:2" x14ac:dyDescent="0.35">
      <c r="A130" t="s">
        <v>1360</v>
      </c>
      <c r="B130" t="s">
        <v>1361</v>
      </c>
    </row>
    <row r="131" spans="1:2" x14ac:dyDescent="0.35">
      <c r="A131" t="s">
        <v>1362</v>
      </c>
      <c r="B131" t="s">
        <v>1361</v>
      </c>
    </row>
    <row r="132" spans="1:2" x14ac:dyDescent="0.35">
      <c r="A132" t="s">
        <v>341</v>
      </c>
      <c r="B132" t="s">
        <v>1363</v>
      </c>
    </row>
    <row r="133" spans="1:2" x14ac:dyDescent="0.35">
      <c r="A133" t="s">
        <v>200</v>
      </c>
      <c r="B133" t="s">
        <v>1364</v>
      </c>
    </row>
    <row r="134" spans="1:2" x14ac:dyDescent="0.35">
      <c r="A134" t="s">
        <v>214</v>
      </c>
      <c r="B134" t="s">
        <v>1365</v>
      </c>
    </row>
    <row r="135" spans="1:2" x14ac:dyDescent="0.35">
      <c r="A135" t="s">
        <v>1366</v>
      </c>
      <c r="B135" t="s">
        <v>1367</v>
      </c>
    </row>
    <row r="136" spans="1:2" x14ac:dyDescent="0.35">
      <c r="A136" t="s">
        <v>1368</v>
      </c>
      <c r="B136" t="s">
        <v>1313</v>
      </c>
    </row>
    <row r="137" spans="1:2" x14ac:dyDescent="0.35">
      <c r="A137" t="s">
        <v>172</v>
      </c>
      <c r="B137" t="s">
        <v>1312</v>
      </c>
    </row>
    <row r="138" spans="1:2" x14ac:dyDescent="0.35">
      <c r="A138" t="s">
        <v>173</v>
      </c>
      <c r="B138" t="s">
        <v>1369</v>
      </c>
    </row>
    <row r="139" spans="1:2" x14ac:dyDescent="0.35">
      <c r="A139" t="s">
        <v>174</v>
      </c>
      <c r="B139" t="s">
        <v>1370</v>
      </c>
    </row>
    <row r="140" spans="1:2" x14ac:dyDescent="0.35">
      <c r="A140" t="s">
        <v>280</v>
      </c>
      <c r="B140" t="s">
        <v>1371</v>
      </c>
    </row>
    <row r="141" spans="1:2" x14ac:dyDescent="0.35">
      <c r="A141" t="s">
        <v>1372</v>
      </c>
      <c r="B141" t="s">
        <v>1373</v>
      </c>
    </row>
    <row r="142" spans="1:2" x14ac:dyDescent="0.35">
      <c r="A142" t="s">
        <v>198</v>
      </c>
      <c r="B142" t="s">
        <v>1374</v>
      </c>
    </row>
    <row r="143" spans="1:2" x14ac:dyDescent="0.35">
      <c r="A143" t="s">
        <v>1375</v>
      </c>
      <c r="B143" t="s">
        <v>1376</v>
      </c>
    </row>
    <row r="144" spans="1:2" x14ac:dyDescent="0.35">
      <c r="A144" t="s">
        <v>347</v>
      </c>
      <c r="B144" t="s">
        <v>1377</v>
      </c>
    </row>
    <row r="145" spans="1:2" x14ac:dyDescent="0.35">
      <c r="A145" t="s">
        <v>1378</v>
      </c>
      <c r="B145" t="s">
        <v>1379</v>
      </c>
    </row>
    <row r="146" spans="1:2" x14ac:dyDescent="0.35">
      <c r="A146" t="s">
        <v>220</v>
      </c>
      <c r="B146" t="s">
        <v>1380</v>
      </c>
    </row>
    <row r="147" spans="1:2" x14ac:dyDescent="0.35">
      <c r="A147" t="s">
        <v>368</v>
      </c>
      <c r="B147" t="s">
        <v>1381</v>
      </c>
    </row>
    <row r="148" spans="1:2" x14ac:dyDescent="0.35">
      <c r="A148" t="s">
        <v>389</v>
      </c>
      <c r="B148" t="s">
        <v>1382</v>
      </c>
    </row>
    <row r="149" spans="1:2" x14ac:dyDescent="0.35">
      <c r="A149" t="s">
        <v>381</v>
      </c>
      <c r="B149" t="s">
        <v>1383</v>
      </c>
    </row>
    <row r="150" spans="1:2" x14ac:dyDescent="0.35">
      <c r="A150" t="s">
        <v>350</v>
      </c>
      <c r="B150" t="s">
        <v>1384</v>
      </c>
    </row>
    <row r="151" spans="1:2" x14ac:dyDescent="0.35">
      <c r="A151" t="s">
        <v>1385</v>
      </c>
      <c r="B151" t="s">
        <v>1386</v>
      </c>
    </row>
    <row r="152" spans="1:2" x14ac:dyDescent="0.35">
      <c r="A152" t="s">
        <v>349</v>
      </c>
      <c r="B152" t="s">
        <v>1387</v>
      </c>
    </row>
    <row r="153" spans="1:2" x14ac:dyDescent="0.35">
      <c r="A153" t="s">
        <v>349</v>
      </c>
      <c r="B153" t="s">
        <v>1388</v>
      </c>
    </row>
    <row r="154" spans="1:2" x14ac:dyDescent="0.35">
      <c r="A154" t="s">
        <v>1389</v>
      </c>
      <c r="B154" t="s">
        <v>1390</v>
      </c>
    </row>
    <row r="155" spans="1:2" x14ac:dyDescent="0.35">
      <c r="A155" t="s">
        <v>351</v>
      </c>
      <c r="B155" t="s">
        <v>1391</v>
      </c>
    </row>
    <row r="156" spans="1:2" x14ac:dyDescent="0.35">
      <c r="A156" t="s">
        <v>352</v>
      </c>
      <c r="B156" t="s">
        <v>1392</v>
      </c>
    </row>
    <row r="157" spans="1:2" x14ac:dyDescent="0.35">
      <c r="A157" t="s">
        <v>1393</v>
      </c>
      <c r="B157" t="s">
        <v>1394</v>
      </c>
    </row>
    <row r="158" spans="1:2" x14ac:dyDescent="0.35">
      <c r="A158" t="s">
        <v>353</v>
      </c>
      <c r="B158" t="s">
        <v>1395</v>
      </c>
    </row>
    <row r="159" spans="1:2" x14ac:dyDescent="0.35">
      <c r="A159" t="s">
        <v>1396</v>
      </c>
      <c r="B159" t="s">
        <v>1397</v>
      </c>
    </row>
    <row r="160" spans="1:2" x14ac:dyDescent="0.35">
      <c r="A160" t="s">
        <v>355</v>
      </c>
      <c r="B160" t="s">
        <v>1398</v>
      </c>
    </row>
    <row r="161" spans="1:2" x14ac:dyDescent="0.35">
      <c r="A161" t="s">
        <v>1399</v>
      </c>
      <c r="B161" t="s">
        <v>1400</v>
      </c>
    </row>
    <row r="162" spans="1:2" x14ac:dyDescent="0.35">
      <c r="A162" t="s">
        <v>1401</v>
      </c>
      <c r="B162" t="s">
        <v>1402</v>
      </c>
    </row>
    <row r="163" spans="1:2" x14ac:dyDescent="0.35">
      <c r="A163" t="s">
        <v>1403</v>
      </c>
      <c r="B163" t="s">
        <v>1404</v>
      </c>
    </row>
    <row r="164" spans="1:2" x14ac:dyDescent="0.35">
      <c r="A164" t="s">
        <v>1405</v>
      </c>
      <c r="B164" t="s">
        <v>1406</v>
      </c>
    </row>
    <row r="165" spans="1:2" x14ac:dyDescent="0.35">
      <c r="A165" t="s">
        <v>1407</v>
      </c>
      <c r="B165" t="s">
        <v>1408</v>
      </c>
    </row>
    <row r="166" spans="1:2" x14ac:dyDescent="0.35">
      <c r="A166" t="s">
        <v>1409</v>
      </c>
      <c r="B166" t="s">
        <v>1410</v>
      </c>
    </row>
    <row r="167" spans="1:2" x14ac:dyDescent="0.35">
      <c r="A167" t="s">
        <v>1411</v>
      </c>
      <c r="B167" t="s">
        <v>1412</v>
      </c>
    </row>
    <row r="168" spans="1:2" x14ac:dyDescent="0.35">
      <c r="A168" t="s">
        <v>348</v>
      </c>
      <c r="B168" t="s">
        <v>1413</v>
      </c>
    </row>
    <row r="169" spans="1:2" x14ac:dyDescent="0.35">
      <c r="A169" t="s">
        <v>348</v>
      </c>
      <c r="B169" t="s">
        <v>1414</v>
      </c>
    </row>
    <row r="170" spans="1:2" x14ac:dyDescent="0.35">
      <c r="A170" t="s">
        <v>1415</v>
      </c>
      <c r="B170" t="s">
        <v>1416</v>
      </c>
    </row>
    <row r="171" spans="1:2" x14ac:dyDescent="0.35">
      <c r="A171" t="s">
        <v>257</v>
      </c>
      <c r="B171" t="s">
        <v>1417</v>
      </c>
    </row>
    <row r="172" spans="1:2" x14ac:dyDescent="0.35">
      <c r="A172" t="s">
        <v>264</v>
      </c>
      <c r="B172" t="s">
        <v>1418</v>
      </c>
    </row>
    <row r="173" spans="1:2" x14ac:dyDescent="0.35">
      <c r="A173" t="s">
        <v>265</v>
      </c>
      <c r="B173" t="s">
        <v>1419</v>
      </c>
    </row>
    <row r="174" spans="1:2" x14ac:dyDescent="0.35">
      <c r="A174" t="s">
        <v>1420</v>
      </c>
      <c r="B174" t="s">
        <v>1421</v>
      </c>
    </row>
    <row r="175" spans="1:2" x14ac:dyDescent="0.35">
      <c r="A175" t="s">
        <v>266</v>
      </c>
      <c r="B175" t="s">
        <v>1422</v>
      </c>
    </row>
    <row r="176" spans="1:2" x14ac:dyDescent="0.35">
      <c r="A176" t="s">
        <v>1423</v>
      </c>
      <c r="B176" t="s">
        <v>1424</v>
      </c>
    </row>
    <row r="177" spans="1:2" x14ac:dyDescent="0.35">
      <c r="A177" t="s">
        <v>1425</v>
      </c>
      <c r="B177" t="s">
        <v>1421</v>
      </c>
    </row>
    <row r="178" spans="1:2" x14ac:dyDescent="0.35">
      <c r="A178" t="s">
        <v>1426</v>
      </c>
      <c r="B178" t="s">
        <v>1427</v>
      </c>
    </row>
    <row r="179" spans="1:2" x14ac:dyDescent="0.35">
      <c r="A179" t="s">
        <v>1428</v>
      </c>
      <c r="B179" t="s">
        <v>1429</v>
      </c>
    </row>
    <row r="180" spans="1:2" x14ac:dyDescent="0.35">
      <c r="A180" t="s">
        <v>1430</v>
      </c>
      <c r="B180" t="s">
        <v>1431</v>
      </c>
    </row>
    <row r="181" spans="1:2" x14ac:dyDescent="0.35">
      <c r="A181" t="s">
        <v>319</v>
      </c>
      <c r="B181" t="s">
        <v>1432</v>
      </c>
    </row>
    <row r="182" spans="1:2" x14ac:dyDescent="0.35">
      <c r="A182" t="s">
        <v>316</v>
      </c>
      <c r="B182" t="s">
        <v>1433</v>
      </c>
    </row>
    <row r="183" spans="1:2" x14ac:dyDescent="0.35">
      <c r="A183" t="s">
        <v>313</v>
      </c>
      <c r="B183" t="s">
        <v>1434</v>
      </c>
    </row>
    <row r="184" spans="1:2" x14ac:dyDescent="0.35">
      <c r="A184" t="s">
        <v>322</v>
      </c>
      <c r="B184" t="s">
        <v>1435</v>
      </c>
    </row>
    <row r="185" spans="1:2" x14ac:dyDescent="0.35">
      <c r="A185" t="s">
        <v>306</v>
      </c>
      <c r="B185" t="s">
        <v>1436</v>
      </c>
    </row>
    <row r="186" spans="1:2" x14ac:dyDescent="0.35">
      <c r="A186" t="s">
        <v>394</v>
      </c>
      <c r="B186" t="s">
        <v>1437</v>
      </c>
    </row>
    <row r="187" spans="1:2" x14ac:dyDescent="0.35">
      <c r="A187" t="s">
        <v>249</v>
      </c>
      <c r="B187" t="s">
        <v>1281</v>
      </c>
    </row>
    <row r="188" spans="1:2" x14ac:dyDescent="0.35">
      <c r="A188" t="s">
        <v>1438</v>
      </c>
      <c r="B188" t="s">
        <v>1439</v>
      </c>
    </row>
    <row r="189" spans="1:2" x14ac:dyDescent="0.35">
      <c r="A189" t="s">
        <v>293</v>
      </c>
      <c r="B189" t="s">
        <v>1440</v>
      </c>
    </row>
    <row r="190" spans="1:2" x14ac:dyDescent="0.35">
      <c r="A190" t="s">
        <v>241</v>
      </c>
      <c r="B190" t="s">
        <v>1441</v>
      </c>
    </row>
    <row r="191" spans="1:2" x14ac:dyDescent="0.35">
      <c r="A191" t="s">
        <v>1442</v>
      </c>
      <c r="B191" t="s">
        <v>1443</v>
      </c>
    </row>
    <row r="192" spans="1:2" x14ac:dyDescent="0.35">
      <c r="A192" t="s">
        <v>1444</v>
      </c>
      <c r="B192" t="s">
        <v>1445</v>
      </c>
    </row>
    <row r="193" spans="1:2" x14ac:dyDescent="0.35">
      <c r="A193" t="s">
        <v>324</v>
      </c>
      <c r="B193" t="s">
        <v>1446</v>
      </c>
    </row>
    <row r="194" spans="1:2" x14ac:dyDescent="0.35">
      <c r="A194" t="s">
        <v>382</v>
      </c>
      <c r="B194" t="s">
        <v>1447</v>
      </c>
    </row>
    <row r="195" spans="1:2" x14ac:dyDescent="0.35">
      <c r="A195" t="s">
        <v>299</v>
      </c>
      <c r="B195" t="s">
        <v>1448</v>
      </c>
    </row>
    <row r="196" spans="1:2" x14ac:dyDescent="0.35">
      <c r="A196" t="s">
        <v>302</v>
      </c>
      <c r="B196" t="s">
        <v>1449</v>
      </c>
    </row>
    <row r="197" spans="1:2" x14ac:dyDescent="0.35">
      <c r="A197" t="s">
        <v>337</v>
      </c>
      <c r="B197" t="s">
        <v>1313</v>
      </c>
    </row>
    <row r="198" spans="1:2" x14ac:dyDescent="0.35">
      <c r="A198" t="s">
        <v>338</v>
      </c>
      <c r="B198" t="s">
        <v>1450</v>
      </c>
    </row>
    <row r="199" spans="1:2" x14ac:dyDescent="0.35">
      <c r="A199" t="s">
        <v>323</v>
      </c>
      <c r="B199" t="s">
        <v>1451</v>
      </c>
    </row>
    <row r="200" spans="1:2" x14ac:dyDescent="0.35">
      <c r="A200" t="s">
        <v>366</v>
      </c>
      <c r="B200" t="s">
        <v>1452</v>
      </c>
    </row>
    <row r="201" spans="1:2" x14ac:dyDescent="0.35">
      <c r="A201" t="s">
        <v>1453</v>
      </c>
      <c r="B201" t="s">
        <v>1454</v>
      </c>
    </row>
    <row r="202" spans="1:2" x14ac:dyDescent="0.35">
      <c r="A202" t="s">
        <v>1455</v>
      </c>
      <c r="B202" t="s">
        <v>1456</v>
      </c>
    </row>
    <row r="203" spans="1:2" x14ac:dyDescent="0.35">
      <c r="A203" t="s">
        <v>186</v>
      </c>
      <c r="B203" t="s">
        <v>1457</v>
      </c>
    </row>
    <row r="204" spans="1:2" x14ac:dyDescent="0.35">
      <c r="A204" t="s">
        <v>1458</v>
      </c>
      <c r="B204" t="s">
        <v>1456</v>
      </c>
    </row>
    <row r="205" spans="1:2" x14ac:dyDescent="0.35">
      <c r="A205" t="s">
        <v>193</v>
      </c>
      <c r="B205" t="s">
        <v>1456</v>
      </c>
    </row>
    <row r="206" spans="1:2" x14ac:dyDescent="0.35">
      <c r="A206" t="s">
        <v>1459</v>
      </c>
      <c r="B206" t="s">
        <v>1460</v>
      </c>
    </row>
    <row r="207" spans="1:2" x14ac:dyDescent="0.35">
      <c r="A207" t="s">
        <v>194</v>
      </c>
      <c r="B207" t="s">
        <v>1460</v>
      </c>
    </row>
    <row r="208" spans="1:2" x14ac:dyDescent="0.35">
      <c r="A208" t="s">
        <v>191</v>
      </c>
      <c r="B208" t="s">
        <v>1456</v>
      </c>
    </row>
    <row r="209" spans="1:2" x14ac:dyDescent="0.35">
      <c r="A209" t="s">
        <v>192</v>
      </c>
      <c r="B209" t="s">
        <v>1460</v>
      </c>
    </row>
    <row r="210" spans="1:2" x14ac:dyDescent="0.35">
      <c r="A210" t="s">
        <v>1461</v>
      </c>
      <c r="B210" t="s">
        <v>224</v>
      </c>
    </row>
    <row r="211" spans="1:2" x14ac:dyDescent="0.35">
      <c r="A211" t="s">
        <v>1462</v>
      </c>
      <c r="B211" t="s">
        <v>1463</v>
      </c>
    </row>
    <row r="212" spans="1:2" x14ac:dyDescent="0.35">
      <c r="A212" t="s">
        <v>225</v>
      </c>
      <c r="B212" t="s">
        <v>1464</v>
      </c>
    </row>
    <row r="213" spans="1:2" x14ac:dyDescent="0.35">
      <c r="A213" t="s">
        <v>240</v>
      </c>
      <c r="B213" t="s">
        <v>1465</v>
      </c>
    </row>
    <row r="214" spans="1:2" x14ac:dyDescent="0.35">
      <c r="A214" t="s">
        <v>1466</v>
      </c>
      <c r="B214" t="s">
        <v>1467</v>
      </c>
    </row>
    <row r="215" spans="1:2" x14ac:dyDescent="0.35">
      <c r="A215" t="s">
        <v>240</v>
      </c>
      <c r="B215" t="s">
        <v>1468</v>
      </c>
    </row>
    <row r="216" spans="1:2" x14ac:dyDescent="0.35">
      <c r="A216" t="s">
        <v>236</v>
      </c>
      <c r="B216" t="s">
        <v>1469</v>
      </c>
    </row>
    <row r="217" spans="1:2" x14ac:dyDescent="0.35">
      <c r="A217" t="s">
        <v>1470</v>
      </c>
      <c r="B217" t="s">
        <v>1441</v>
      </c>
    </row>
    <row r="218" spans="1:2" x14ac:dyDescent="0.35">
      <c r="A218" t="s">
        <v>1471</v>
      </c>
      <c r="B218" t="s">
        <v>1472</v>
      </c>
    </row>
    <row r="219" spans="1:2" x14ac:dyDescent="0.35">
      <c r="A219" t="s">
        <v>1473</v>
      </c>
      <c r="B219" t="s">
        <v>1474</v>
      </c>
    </row>
    <row r="220" spans="1:2" x14ac:dyDescent="0.35">
      <c r="A220" t="s">
        <v>1475</v>
      </c>
      <c r="B220" t="s">
        <v>1476</v>
      </c>
    </row>
    <row r="221" spans="1:2" x14ac:dyDescent="0.35">
      <c r="A221" t="s">
        <v>1477</v>
      </c>
      <c r="B221" t="s">
        <v>164</v>
      </c>
    </row>
    <row r="222" spans="1:2" x14ac:dyDescent="0.35">
      <c r="A222" t="s">
        <v>1478</v>
      </c>
      <c r="B222" t="s">
        <v>1479</v>
      </c>
    </row>
    <row r="223" spans="1:2" x14ac:dyDescent="0.35">
      <c r="A223" t="s">
        <v>187</v>
      </c>
      <c r="B223" t="s">
        <v>1480</v>
      </c>
    </row>
    <row r="224" spans="1:2" x14ac:dyDescent="0.35">
      <c r="A224" t="s">
        <v>304</v>
      </c>
      <c r="B224" t="s">
        <v>1481</v>
      </c>
    </row>
    <row r="225" spans="1:2" x14ac:dyDescent="0.35">
      <c r="A225" t="s">
        <v>1482</v>
      </c>
      <c r="B225" t="s">
        <v>1483</v>
      </c>
    </row>
    <row r="226" spans="1:2" x14ac:dyDescent="0.35">
      <c r="A226" t="s">
        <v>196</v>
      </c>
      <c r="B226" t="s">
        <v>1484</v>
      </c>
    </row>
    <row r="227" spans="1:2" x14ac:dyDescent="0.35">
      <c r="A227" t="s">
        <v>371</v>
      </c>
      <c r="B227" t="s">
        <v>1413</v>
      </c>
    </row>
    <row r="228" spans="1:2" x14ac:dyDescent="0.35">
      <c r="A228" t="s">
        <v>253</v>
      </c>
      <c r="B228" t="s">
        <v>1331</v>
      </c>
    </row>
    <row r="229" spans="1:2" x14ac:dyDescent="0.35">
      <c r="A229" t="s">
        <v>388</v>
      </c>
      <c r="B229" t="s">
        <v>1485</v>
      </c>
    </row>
    <row r="230" spans="1:2" x14ac:dyDescent="0.35">
      <c r="A230" t="s">
        <v>387</v>
      </c>
      <c r="B230" t="s">
        <v>1486</v>
      </c>
    </row>
    <row r="231" spans="1:2" x14ac:dyDescent="0.35">
      <c r="A231" t="s">
        <v>247</v>
      </c>
      <c r="B231" t="s">
        <v>1487</v>
      </c>
    </row>
    <row r="232" spans="1:2" x14ac:dyDescent="0.35">
      <c r="A232" t="s">
        <v>271</v>
      </c>
      <c r="B232" t="s">
        <v>1332</v>
      </c>
    </row>
    <row r="233" spans="1:2" x14ac:dyDescent="0.35">
      <c r="A233" t="s">
        <v>272</v>
      </c>
      <c r="B233" t="s">
        <v>1488</v>
      </c>
    </row>
    <row r="234" spans="1:2" x14ac:dyDescent="0.35">
      <c r="A234" t="s">
        <v>377</v>
      </c>
      <c r="B234" t="s">
        <v>1489</v>
      </c>
    </row>
    <row r="235" spans="1:2" x14ac:dyDescent="0.35">
      <c r="A235" t="s">
        <v>284</v>
      </c>
      <c r="B235" t="s">
        <v>1490</v>
      </c>
    </row>
    <row r="236" spans="1:2" x14ac:dyDescent="0.35">
      <c r="A236" t="s">
        <v>1491</v>
      </c>
      <c r="B236" t="s">
        <v>1492</v>
      </c>
    </row>
    <row r="237" spans="1:2" x14ac:dyDescent="0.35">
      <c r="A237" t="s">
        <v>285</v>
      </c>
      <c r="B237" t="s">
        <v>1493</v>
      </c>
    </row>
    <row r="238" spans="1:2" x14ac:dyDescent="0.35">
      <c r="A238" t="s">
        <v>1494</v>
      </c>
      <c r="B238" t="s">
        <v>1495</v>
      </c>
    </row>
    <row r="239" spans="1:2" x14ac:dyDescent="0.35">
      <c r="A239" t="s">
        <v>385</v>
      </c>
      <c r="B239" t="s">
        <v>1496</v>
      </c>
    </row>
    <row r="240" spans="1:2" x14ac:dyDescent="0.35">
      <c r="A240" t="s">
        <v>1497</v>
      </c>
      <c r="B240" t="s">
        <v>1465</v>
      </c>
    </row>
    <row r="241" spans="1:2" x14ac:dyDescent="0.35">
      <c r="A241" t="s">
        <v>1498</v>
      </c>
      <c r="B241" t="s">
        <v>1499</v>
      </c>
    </row>
    <row r="242" spans="1:2" x14ac:dyDescent="0.35">
      <c r="A242" t="s">
        <v>228</v>
      </c>
      <c r="B242" t="s">
        <v>1500</v>
      </c>
    </row>
    <row r="243" spans="1:2" x14ac:dyDescent="0.35">
      <c r="A243" t="s">
        <v>1501</v>
      </c>
      <c r="B243" t="s">
        <v>1502</v>
      </c>
    </row>
    <row r="244" spans="1:2" x14ac:dyDescent="0.35">
      <c r="A244" t="s">
        <v>227</v>
      </c>
      <c r="B244" t="s">
        <v>1465</v>
      </c>
    </row>
    <row r="245" spans="1:2" x14ac:dyDescent="0.35">
      <c r="A245" t="s">
        <v>222</v>
      </c>
      <c r="B245" t="s">
        <v>1503</v>
      </c>
    </row>
    <row r="246" spans="1:2" x14ac:dyDescent="0.35">
      <c r="A246" t="s">
        <v>1504</v>
      </c>
      <c r="B246" t="s">
        <v>1505</v>
      </c>
    </row>
    <row r="247" spans="1:2" x14ac:dyDescent="0.35">
      <c r="A247" t="s">
        <v>1506</v>
      </c>
      <c r="B247" t="s">
        <v>1507</v>
      </c>
    </row>
    <row r="248" spans="1:2" x14ac:dyDescent="0.35">
      <c r="A248" t="s">
        <v>1508</v>
      </c>
      <c r="B248" t="s">
        <v>1509</v>
      </c>
    </row>
    <row r="249" spans="1:2" x14ac:dyDescent="0.35">
      <c r="A249" t="s">
        <v>1510</v>
      </c>
      <c r="B249" t="s">
        <v>1511</v>
      </c>
    </row>
    <row r="250" spans="1:2" x14ac:dyDescent="0.35">
      <c r="A250" t="s">
        <v>1512</v>
      </c>
      <c r="B250" t="s">
        <v>1513</v>
      </c>
    </row>
    <row r="251" spans="1:2" x14ac:dyDescent="0.35">
      <c r="A251" t="s">
        <v>302</v>
      </c>
      <c r="B251" t="s">
        <v>1514</v>
      </c>
    </row>
    <row r="252" spans="1:2" x14ac:dyDescent="0.35">
      <c r="A252" t="s">
        <v>610</v>
      </c>
      <c r="B252" t="s">
        <v>1515</v>
      </c>
    </row>
    <row r="253" spans="1:2" x14ac:dyDescent="0.35">
      <c r="A253" t="s">
        <v>614</v>
      </c>
      <c r="B253" t="s">
        <v>1516</v>
      </c>
    </row>
    <row r="254" spans="1:2" x14ac:dyDescent="0.35">
      <c r="A254" t="s">
        <v>1517</v>
      </c>
      <c r="B254" t="s">
        <v>1518</v>
      </c>
    </row>
    <row r="255" spans="1:2" x14ac:dyDescent="0.35">
      <c r="A255" t="s">
        <v>172</v>
      </c>
      <c r="B255" t="s">
        <v>1519</v>
      </c>
    </row>
    <row r="256" spans="1:2" x14ac:dyDescent="0.35">
      <c r="A256" t="s">
        <v>1520</v>
      </c>
      <c r="B256" t="s">
        <v>1521</v>
      </c>
    </row>
    <row r="257" spans="1:2" x14ac:dyDescent="0.35">
      <c r="A257" t="s">
        <v>613</v>
      </c>
      <c r="B257" t="s">
        <v>1522</v>
      </c>
    </row>
    <row r="258" spans="1:2" x14ac:dyDescent="0.35">
      <c r="A258" t="s">
        <v>1523</v>
      </c>
      <c r="B258" t="s">
        <v>1524</v>
      </c>
    </row>
  </sheetData>
  <sortState xmlns:xlrd2="http://schemas.microsoft.com/office/spreadsheetml/2017/richdata2" ref="A3:B249">
    <sortCondition ref="A3:A249"/>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dimension ref="A1:JW47"/>
  <sheetViews>
    <sheetView zoomScale="67" zoomScaleNormal="70" workbookViewId="0">
      <pane xSplit="4" ySplit="1" topLeftCell="E22" activePane="bottomRight" state="frozen"/>
      <selection pane="topRight" activeCell="E1" sqref="E1"/>
      <selection pane="bottomLeft" activeCell="A2" sqref="A2"/>
      <selection pane="bottomRight" sqref="A1:XFD1"/>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140</v>
      </c>
      <c r="F1" s="1" t="s">
        <v>141</v>
      </c>
      <c r="G1" s="1" t="s">
        <v>142</v>
      </c>
      <c r="H1" s="1" t="s">
        <v>143</v>
      </c>
      <c r="I1" s="1" t="s">
        <v>144</v>
      </c>
      <c r="J1" s="1" t="s">
        <v>145</v>
      </c>
      <c r="K1" s="1" t="s">
        <v>146</v>
      </c>
      <c r="L1" s="1" t="s">
        <v>148</v>
      </c>
      <c r="M1" s="1" t="s">
        <v>147</v>
      </c>
      <c r="N1" s="1" t="s">
        <v>149</v>
      </c>
      <c r="O1" s="1" t="s">
        <v>152</v>
      </c>
      <c r="P1" s="1" t="s">
        <v>153</v>
      </c>
      <c r="Q1" s="1" t="s">
        <v>150</v>
      </c>
      <c r="R1" s="1" t="s">
        <v>151</v>
      </c>
      <c r="S1" s="1" t="s">
        <v>160</v>
      </c>
      <c r="T1" s="1" t="s">
        <v>161</v>
      </c>
      <c r="U1" s="1" t="s">
        <v>158</v>
      </c>
      <c r="V1" s="1" t="s">
        <v>159</v>
      </c>
      <c r="W1" s="1" t="s">
        <v>162</v>
      </c>
      <c r="X1" s="1" t="s">
        <v>163</v>
      </c>
      <c r="Y1" s="1" t="s">
        <v>301</v>
      </c>
      <c r="Z1" s="1" t="s">
        <v>300</v>
      </c>
      <c r="AA1" s="1" t="s">
        <v>1525</v>
      </c>
      <c r="AB1" s="1" t="s">
        <v>178</v>
      </c>
      <c r="AC1" s="1" t="s">
        <v>1526</v>
      </c>
      <c r="AD1" s="1" t="s">
        <v>1527</v>
      </c>
      <c r="AE1" s="1" t="s">
        <v>1528</v>
      </c>
      <c r="AF1" s="1" t="s">
        <v>1529</v>
      </c>
      <c r="AG1" s="1" t="s">
        <v>1530</v>
      </c>
      <c r="AH1" s="1" t="s">
        <v>1318</v>
      </c>
      <c r="AI1" s="1" t="s">
        <v>210</v>
      </c>
      <c r="AJ1" s="1" t="s">
        <v>1531</v>
      </c>
      <c r="AK1" s="1" t="s">
        <v>1532</v>
      </c>
      <c r="AL1" s="1" t="s">
        <v>211</v>
      </c>
      <c r="AM1" s="1" t="s">
        <v>395</v>
      </c>
      <c r="AN1" s="1" t="s">
        <v>396</v>
      </c>
      <c r="AO1" s="1" t="s">
        <v>397</v>
      </c>
      <c r="AP1" s="1" t="s">
        <v>407</v>
      </c>
      <c r="AQ1" s="1" t="s">
        <v>408</v>
      </c>
      <c r="AR1" s="1" t="s">
        <v>398</v>
      </c>
      <c r="AS1" s="1" t="s">
        <v>1533</v>
      </c>
      <c r="AT1" s="1" t="s">
        <v>1534</v>
      </c>
      <c r="AU1" s="1" t="s">
        <v>1535</v>
      </c>
      <c r="AV1" s="1" t="s">
        <v>399</v>
      </c>
      <c r="AW1" s="1" t="s">
        <v>400</v>
      </c>
      <c r="AX1" s="1" t="s">
        <v>401</v>
      </c>
      <c r="AY1" s="1" t="s">
        <v>402</v>
      </c>
      <c r="AZ1" s="1" t="s">
        <v>403</v>
      </c>
      <c r="BA1" s="1" t="s">
        <v>404</v>
      </c>
      <c r="BB1" s="1" t="s">
        <v>406</v>
      </c>
      <c r="BC1" s="1" t="s">
        <v>1536</v>
      </c>
      <c r="BD1" s="1" t="s">
        <v>1537</v>
      </c>
      <c r="BE1" s="1" t="s">
        <v>1538</v>
      </c>
      <c r="BF1" s="1" t="s">
        <v>1539</v>
      </c>
      <c r="BG1" s="1" t="s">
        <v>405</v>
      </c>
      <c r="BH1" s="1" t="s">
        <v>411</v>
      </c>
      <c r="BI1" s="1" t="s">
        <v>412</v>
      </c>
      <c r="BJ1" s="1" t="s">
        <v>413</v>
      </c>
      <c r="BK1" s="1" t="s">
        <v>409</v>
      </c>
      <c r="BL1" s="1" t="s">
        <v>410</v>
      </c>
      <c r="BM1" s="1" t="s">
        <v>414</v>
      </c>
      <c r="BN1" s="1" t="s">
        <v>335</v>
      </c>
      <c r="BO1" s="1" t="s">
        <v>339</v>
      </c>
      <c r="BP1" s="1" t="s">
        <v>336</v>
      </c>
      <c r="BQ1" s="1" t="s">
        <v>415</v>
      </c>
      <c r="BR1" s="1" t="s">
        <v>416</v>
      </c>
      <c r="BS1" s="1" t="s">
        <v>417</v>
      </c>
      <c r="BT1" s="1" t="s">
        <v>418</v>
      </c>
      <c r="BU1" s="1" t="s">
        <v>419</v>
      </c>
      <c r="BV1" s="1" t="s">
        <v>420</v>
      </c>
      <c r="BW1" s="1" t="s">
        <v>421</v>
      </c>
      <c r="BX1" s="1" t="s">
        <v>422</v>
      </c>
      <c r="BY1" s="1" t="s">
        <v>423</v>
      </c>
      <c r="BZ1" s="1" t="s">
        <v>424</v>
      </c>
      <c r="CA1" s="1" t="s">
        <v>425</v>
      </c>
      <c r="CB1" s="1" t="s">
        <v>426</v>
      </c>
      <c r="CC1" s="1" t="s">
        <v>427</v>
      </c>
      <c r="CD1" s="1" t="s">
        <v>428</v>
      </c>
      <c r="CE1" s="1" t="s">
        <v>429</v>
      </c>
      <c r="CF1" s="1" t="s">
        <v>430</v>
      </c>
      <c r="CG1" s="1" t="s">
        <v>431</v>
      </c>
      <c r="CH1" s="1" t="s">
        <v>432</v>
      </c>
      <c r="CI1" s="1" t="s">
        <v>433</v>
      </c>
      <c r="CJ1" s="1" t="s">
        <v>434</v>
      </c>
      <c r="CK1" s="1" t="s">
        <v>435</v>
      </c>
      <c r="CL1" s="1" t="s">
        <v>436</v>
      </c>
      <c r="CM1" s="1" t="s">
        <v>437</v>
      </c>
      <c r="CN1" s="1" t="s">
        <v>438</v>
      </c>
      <c r="CO1" s="1" t="s">
        <v>439</v>
      </c>
      <c r="CP1" s="1" t="s">
        <v>440</v>
      </c>
      <c r="CQ1" s="1" t="s">
        <v>441</v>
      </c>
      <c r="CR1" s="1" t="s">
        <v>442</v>
      </c>
      <c r="CS1" s="1" t="s">
        <v>443</v>
      </c>
      <c r="CT1" s="1" t="s">
        <v>444</v>
      </c>
      <c r="CU1" s="1" t="s">
        <v>445</v>
      </c>
      <c r="CV1" s="1" t="s">
        <v>446</v>
      </c>
      <c r="CW1" s="1" t="s">
        <v>447</v>
      </c>
      <c r="CX1" s="1" t="s">
        <v>448</v>
      </c>
      <c r="CY1" s="1" t="s">
        <v>449</v>
      </c>
      <c r="CZ1" s="1" t="s">
        <v>450</v>
      </c>
      <c r="DA1" s="1" t="s">
        <v>451</v>
      </c>
      <c r="DB1" s="1" t="s">
        <v>452</v>
      </c>
      <c r="DC1" s="1" t="s">
        <v>453</v>
      </c>
      <c r="DD1" s="1" t="s">
        <v>454</v>
      </c>
      <c r="DE1" s="1" t="s">
        <v>455</v>
      </c>
      <c r="DF1" s="1" t="s">
        <v>456</v>
      </c>
      <c r="DG1" s="1" t="s">
        <v>457</v>
      </c>
      <c r="DH1" s="1" t="s">
        <v>458</v>
      </c>
      <c r="DI1" s="1" t="s">
        <v>459</v>
      </c>
      <c r="DJ1" s="1" t="s">
        <v>460</v>
      </c>
      <c r="DK1" s="1" t="s">
        <v>461</v>
      </c>
      <c r="DL1" s="1" t="s">
        <v>462</v>
      </c>
      <c r="DM1" s="1" t="s">
        <v>463</v>
      </c>
      <c r="DN1" s="1" t="s">
        <v>464</v>
      </c>
      <c r="DO1" s="1" t="s">
        <v>465</v>
      </c>
      <c r="DP1" s="1" t="s">
        <v>466</v>
      </c>
      <c r="DQ1" s="1" t="s">
        <v>467</v>
      </c>
      <c r="DR1" s="1" t="s">
        <v>468</v>
      </c>
      <c r="DS1" s="1" t="s">
        <v>469</v>
      </c>
      <c r="DT1" s="1" t="s">
        <v>470</v>
      </c>
      <c r="DU1" s="1" t="s">
        <v>471</v>
      </c>
      <c r="DV1" s="1" t="s">
        <v>472</v>
      </c>
      <c r="DW1" s="1" t="s">
        <v>473</v>
      </c>
      <c r="DX1" s="1" t="s">
        <v>474</v>
      </c>
      <c r="DY1" s="1" t="s">
        <v>475</v>
      </c>
      <c r="DZ1" s="1" t="s">
        <v>476</v>
      </c>
      <c r="EA1" s="1" t="s">
        <v>477</v>
      </c>
      <c r="EB1" s="1" t="s">
        <v>478</v>
      </c>
      <c r="EC1" s="1" t="s">
        <v>479</v>
      </c>
      <c r="ED1" s="1" t="s">
        <v>480</v>
      </c>
      <c r="EE1" s="1" t="s">
        <v>481</v>
      </c>
      <c r="EF1" s="1" t="s">
        <v>482</v>
      </c>
      <c r="EG1" s="1" t="s">
        <v>483</v>
      </c>
      <c r="EH1" s="1" t="s">
        <v>484</v>
      </c>
      <c r="EI1" s="1" t="s">
        <v>485</v>
      </c>
      <c r="EJ1" s="1" t="s">
        <v>486</v>
      </c>
      <c r="EK1" s="1" t="s">
        <v>487</v>
      </c>
      <c r="EL1" s="1" t="s">
        <v>488</v>
      </c>
      <c r="EM1" s="1" t="s">
        <v>489</v>
      </c>
      <c r="EN1" s="1" t="s">
        <v>490</v>
      </c>
      <c r="EO1" s="1" t="s">
        <v>491</v>
      </c>
      <c r="EP1" s="1" t="s">
        <v>492</v>
      </c>
      <c r="EQ1" s="1" t="s">
        <v>493</v>
      </c>
      <c r="ER1" s="1" t="s">
        <v>494</v>
      </c>
      <c r="ES1" s="1" t="s">
        <v>495</v>
      </c>
      <c r="ET1" s="1" t="s">
        <v>496</v>
      </c>
      <c r="EU1" s="1" t="s">
        <v>497</v>
      </c>
      <c r="EV1" s="1" t="s">
        <v>498</v>
      </c>
      <c r="EW1" s="1" t="s">
        <v>499</v>
      </c>
      <c r="EX1" s="1" t="s">
        <v>500</v>
      </c>
      <c r="EY1" s="1" t="s">
        <v>501</v>
      </c>
      <c r="EZ1" s="1" t="s">
        <v>502</v>
      </c>
      <c r="FA1" s="1" t="s">
        <v>503</v>
      </c>
      <c r="FB1" s="1" t="s">
        <v>504</v>
      </c>
      <c r="FC1" s="1" t="s">
        <v>505</v>
      </c>
      <c r="FD1" s="1" t="s">
        <v>506</v>
      </c>
      <c r="FE1" s="1" t="s">
        <v>507</v>
      </c>
      <c r="FF1" s="1" t="s">
        <v>508</v>
      </c>
      <c r="FG1" s="1" t="s">
        <v>509</v>
      </c>
      <c r="FH1" s="1" t="s">
        <v>510</v>
      </c>
      <c r="FI1" s="1" t="s">
        <v>511</v>
      </c>
      <c r="FJ1" s="1" t="s">
        <v>1540</v>
      </c>
      <c r="FK1" s="1" t="s">
        <v>1541</v>
      </c>
      <c r="FL1" s="1" t="s">
        <v>291</v>
      </c>
      <c r="FM1" s="1" t="s">
        <v>292</v>
      </c>
      <c r="FN1" s="1" t="s">
        <v>290</v>
      </c>
      <c r="FO1" s="1" t="s">
        <v>343</v>
      </c>
      <c r="FP1" s="1" t="s">
        <v>327</v>
      </c>
      <c r="FQ1" s="1" t="s">
        <v>344</v>
      </c>
      <c r="FR1" s="1" t="s">
        <v>289</v>
      </c>
      <c r="FS1" s="1" t="s">
        <v>1542</v>
      </c>
      <c r="FT1" s="1" t="s">
        <v>203</v>
      </c>
      <c r="FU1" s="1" t="s">
        <v>1543</v>
      </c>
      <c r="FV1" s="1" t="s">
        <v>1544</v>
      </c>
      <c r="FW1" s="1" t="s">
        <v>1545</v>
      </c>
      <c r="FX1" s="1" t="s">
        <v>513</v>
      </c>
      <c r="FY1" s="1" t="s">
        <v>514</v>
      </c>
      <c r="FZ1" s="1" t="s">
        <v>512</v>
      </c>
      <c r="GA1" s="1" t="s">
        <v>516</v>
      </c>
      <c r="GB1" s="1" t="s">
        <v>517</v>
      </c>
      <c r="GC1" s="1" t="s">
        <v>518</v>
      </c>
      <c r="GD1" s="1" t="s">
        <v>519</v>
      </c>
      <c r="GE1" s="1" t="s">
        <v>307</v>
      </c>
      <c r="GF1" s="1" t="s">
        <v>309</v>
      </c>
      <c r="GG1" s="1" t="s">
        <v>308</v>
      </c>
      <c r="GH1" s="1" t="s">
        <v>310</v>
      </c>
      <c r="GI1" s="1" t="s">
        <v>287</v>
      </c>
      <c r="GJ1" s="1" t="s">
        <v>288</v>
      </c>
      <c r="GK1" s="1" t="s">
        <v>515</v>
      </c>
      <c r="GL1" s="1" t="s">
        <v>520</v>
      </c>
      <c r="GM1" s="1" t="s">
        <v>528</v>
      </c>
      <c r="GN1" s="1" t="s">
        <v>529</v>
      </c>
      <c r="GO1" s="1" t="s">
        <v>530</v>
      </c>
      <c r="GP1" s="1" t="s">
        <v>531</v>
      </c>
      <c r="GQ1" s="1" t="s">
        <v>532</v>
      </c>
      <c r="GR1" s="1" t="s">
        <v>533</v>
      </c>
      <c r="GS1" s="1" t="s">
        <v>534</v>
      </c>
      <c r="GT1" s="1" t="s">
        <v>521</v>
      </c>
      <c r="GU1" s="1" t="s">
        <v>522</v>
      </c>
      <c r="GV1" s="1" t="s">
        <v>523</v>
      </c>
      <c r="GW1" s="1" t="s">
        <v>524</v>
      </c>
      <c r="GX1" s="1" t="s">
        <v>525</v>
      </c>
      <c r="GY1" s="1" t="s">
        <v>526</v>
      </c>
      <c r="GZ1" s="1" t="s">
        <v>1546</v>
      </c>
      <c r="HA1" s="1" t="s">
        <v>527</v>
      </c>
      <c r="HB1" s="1" t="s">
        <v>535</v>
      </c>
      <c r="HC1" s="1" t="s">
        <v>536</v>
      </c>
      <c r="HD1" s="1" t="s">
        <v>537</v>
      </c>
      <c r="HE1" s="1" t="s">
        <v>538</v>
      </c>
      <c r="HF1" s="1" t="s">
        <v>539</v>
      </c>
      <c r="HG1" s="1" t="s">
        <v>540</v>
      </c>
      <c r="HH1" s="1" t="s">
        <v>541</v>
      </c>
      <c r="HI1" s="1" t="s">
        <v>542</v>
      </c>
      <c r="HJ1" s="1" t="s">
        <v>543</v>
      </c>
      <c r="HK1" s="1" t="s">
        <v>544</v>
      </c>
      <c r="HL1" s="1" t="s">
        <v>545</v>
      </c>
      <c r="HM1" s="1" t="s">
        <v>547</v>
      </c>
      <c r="HN1" s="1" t="s">
        <v>548</v>
      </c>
      <c r="HO1" s="1" t="s">
        <v>549</v>
      </c>
      <c r="HP1" s="1" t="s">
        <v>550</v>
      </c>
      <c r="HQ1" s="1" t="s">
        <v>551</v>
      </c>
      <c r="HR1" s="1" t="s">
        <v>554</v>
      </c>
      <c r="HS1" s="1" t="s">
        <v>552</v>
      </c>
      <c r="HT1" s="1" t="s">
        <v>555</v>
      </c>
      <c r="HU1" s="1" t="s">
        <v>556</v>
      </c>
      <c r="HV1" s="1" t="s">
        <v>557</v>
      </c>
      <c r="HW1" s="1" t="s">
        <v>553</v>
      </c>
      <c r="HX1" s="1" t="s">
        <v>558</v>
      </c>
      <c r="HY1" s="1" t="s">
        <v>561</v>
      </c>
      <c r="HZ1" s="1" t="s">
        <v>559</v>
      </c>
      <c r="IA1" s="1" t="s">
        <v>560</v>
      </c>
      <c r="IB1" s="1" t="s">
        <v>562</v>
      </c>
      <c r="IC1" s="1" t="s">
        <v>563</v>
      </c>
      <c r="ID1" s="1" t="s">
        <v>564</v>
      </c>
      <c r="IE1" s="1" t="s">
        <v>565</v>
      </c>
      <c r="IF1" s="1" t="s">
        <v>566</v>
      </c>
      <c r="IG1" s="1" t="s">
        <v>567</v>
      </c>
      <c r="IH1" s="1" t="s">
        <v>568</v>
      </c>
      <c r="II1" s="1" t="s">
        <v>569</v>
      </c>
      <c r="IJ1" s="1" t="s">
        <v>570</v>
      </c>
      <c r="IK1" s="1" t="s">
        <v>571</v>
      </c>
      <c r="IL1" s="1" t="s">
        <v>572</v>
      </c>
      <c r="IM1" s="1" t="s">
        <v>573</v>
      </c>
      <c r="IN1" s="1" t="s">
        <v>574</v>
      </c>
      <c r="IO1" s="1" t="s">
        <v>575</v>
      </c>
      <c r="IP1" s="1" t="s">
        <v>576</v>
      </c>
      <c r="IQ1" s="1" t="s">
        <v>577</v>
      </c>
      <c r="IR1" s="1" t="s">
        <v>578</v>
      </c>
      <c r="IS1" s="1" t="s">
        <v>579</v>
      </c>
      <c r="IT1" s="1" t="s">
        <v>580</v>
      </c>
      <c r="IU1" s="1" t="s">
        <v>581</v>
      </c>
      <c r="IV1" s="1" t="s">
        <v>582</v>
      </c>
      <c r="IW1" s="1" t="s">
        <v>583</v>
      </c>
      <c r="IX1" s="1" t="s">
        <v>584</v>
      </c>
      <c r="IY1" s="1" t="s">
        <v>585</v>
      </c>
      <c r="IZ1" s="1" t="s">
        <v>586</v>
      </c>
      <c r="JA1" s="1" t="s">
        <v>587</v>
      </c>
      <c r="JB1" s="1" t="s">
        <v>589</v>
      </c>
      <c r="JC1" s="1" t="s">
        <v>590</v>
      </c>
      <c r="JD1" s="1" t="s">
        <v>591</v>
      </c>
      <c r="JE1" s="1" t="s">
        <v>592</v>
      </c>
      <c r="JF1" s="1" t="s">
        <v>593</v>
      </c>
      <c r="JG1" s="1" t="s">
        <v>594</v>
      </c>
      <c r="JH1" s="1" t="s">
        <v>595</v>
      </c>
      <c r="JI1" s="1" t="s">
        <v>596</v>
      </c>
      <c r="JJ1" s="1" t="s">
        <v>597</v>
      </c>
      <c r="JK1" s="1" t="s">
        <v>598</v>
      </c>
      <c r="JL1" s="1" t="s">
        <v>599</v>
      </c>
      <c r="JM1" s="1" t="s">
        <v>600</v>
      </c>
      <c r="JN1" s="1" t="s">
        <v>601</v>
      </c>
      <c r="JO1" s="1" t="s">
        <v>602</v>
      </c>
      <c r="JP1" s="1" t="s">
        <v>603</v>
      </c>
      <c r="JQ1" s="1" t="s">
        <v>604</v>
      </c>
      <c r="JR1" s="1" t="s">
        <v>605</v>
      </c>
      <c r="JS1" s="1" t="s">
        <v>326</v>
      </c>
      <c r="JT1" s="1" t="s">
        <v>606</v>
      </c>
      <c r="JU1" s="1" t="s">
        <v>607</v>
      </c>
      <c r="JV1" s="1" t="s">
        <v>608</v>
      </c>
    </row>
    <row r="2" spans="2:282" s="1" customFormat="1" ht="101.5" x14ac:dyDescent="0.35">
      <c r="B2" s="1" t="s">
        <v>861</v>
      </c>
      <c r="C2" s="1" t="s">
        <v>862</v>
      </c>
      <c r="D2" s="1" t="s">
        <v>863</v>
      </c>
      <c r="E2" s="1" t="s">
        <v>780</v>
      </c>
      <c r="F2" s="1" t="s">
        <v>780</v>
      </c>
      <c r="G2" s="1" t="s">
        <v>780</v>
      </c>
      <c r="H2" s="1" t="s">
        <v>780</v>
      </c>
      <c r="I2" s="1" t="s">
        <v>780</v>
      </c>
      <c r="J2" s="1" t="s">
        <v>780</v>
      </c>
      <c r="K2" s="1" t="s">
        <v>780</v>
      </c>
      <c r="L2" s="1" t="s">
        <v>780</v>
      </c>
      <c r="M2" s="1" t="s">
        <v>780</v>
      </c>
      <c r="N2" s="1" t="s">
        <v>780</v>
      </c>
      <c r="AC2" s="1" t="s">
        <v>780</v>
      </c>
      <c r="AG2" s="1" t="s">
        <v>780</v>
      </c>
      <c r="AH2" s="1" t="s">
        <v>780</v>
      </c>
      <c r="AR2" s="1" t="s">
        <v>780</v>
      </c>
      <c r="AV2" s="1" t="s">
        <v>780</v>
      </c>
      <c r="AW2" s="1" t="s">
        <v>780</v>
      </c>
      <c r="AX2" s="1" t="s">
        <v>780</v>
      </c>
      <c r="AY2" s="1" t="s">
        <v>780</v>
      </c>
      <c r="AZ2" s="1" t="s">
        <v>780</v>
      </c>
      <c r="BA2" s="1" t="s">
        <v>780</v>
      </c>
      <c r="BB2" s="1" t="s">
        <v>780</v>
      </c>
    </row>
    <row r="3" spans="2:282" ht="130.5" x14ac:dyDescent="0.35">
      <c r="B3" s="1" t="s">
        <v>861</v>
      </c>
      <c r="C3" s="1" t="s">
        <v>862</v>
      </c>
      <c r="D3" s="1" t="s">
        <v>864</v>
      </c>
      <c r="E3" t="s">
        <v>780</v>
      </c>
      <c r="F3" s="1" t="s">
        <v>780</v>
      </c>
      <c r="G3" s="1" t="s">
        <v>780</v>
      </c>
      <c r="H3" s="1" t="s">
        <v>780</v>
      </c>
      <c r="I3" s="1" t="s">
        <v>780</v>
      </c>
      <c r="J3" s="1" t="s">
        <v>780</v>
      </c>
      <c r="K3" s="1" t="s">
        <v>780</v>
      </c>
      <c r="L3" s="1" t="s">
        <v>780</v>
      </c>
      <c r="M3" s="1" t="s">
        <v>780</v>
      </c>
      <c r="N3" s="1" t="s">
        <v>780</v>
      </c>
      <c r="O3" s="1"/>
      <c r="P3" s="1"/>
      <c r="Q3" s="1"/>
      <c r="R3" s="1"/>
      <c r="S3" s="1"/>
      <c r="T3" s="1"/>
      <c r="U3" s="1"/>
      <c r="V3" s="1"/>
      <c r="W3" s="1"/>
      <c r="X3" s="1"/>
      <c r="Y3" s="1"/>
      <c r="Z3" s="1"/>
      <c r="AA3" s="1"/>
      <c r="AB3" s="1"/>
      <c r="AC3" s="1" t="s">
        <v>780</v>
      </c>
      <c r="AD3" s="1"/>
      <c r="AE3" s="1"/>
      <c r="AF3" s="1"/>
      <c r="AG3" s="1" t="s">
        <v>780</v>
      </c>
      <c r="AH3" s="1" t="s">
        <v>780</v>
      </c>
      <c r="AI3" s="1"/>
      <c r="AJ3" s="1"/>
      <c r="AK3" s="1"/>
      <c r="AL3" s="1"/>
      <c r="AM3" s="1" t="s">
        <v>780</v>
      </c>
      <c r="AN3" s="1"/>
      <c r="AO3" s="1"/>
      <c r="AP3" s="1"/>
      <c r="AQ3" s="1"/>
      <c r="AS3" s="1" t="s">
        <v>780</v>
      </c>
      <c r="AT3" s="1" t="s">
        <v>780</v>
      </c>
      <c r="AU3" s="1" t="s">
        <v>780</v>
      </c>
    </row>
    <row r="4" spans="2:282" ht="116" x14ac:dyDescent="0.35">
      <c r="B4" s="1" t="s">
        <v>861</v>
      </c>
      <c r="C4" s="1" t="s">
        <v>862</v>
      </c>
      <c r="D4" s="1" t="s">
        <v>865</v>
      </c>
      <c r="E4" t="s">
        <v>780</v>
      </c>
      <c r="F4" s="1" t="s">
        <v>780</v>
      </c>
      <c r="G4" s="1" t="s">
        <v>780</v>
      </c>
      <c r="H4" s="1" t="s">
        <v>780</v>
      </c>
      <c r="I4" s="1" t="s">
        <v>780</v>
      </c>
      <c r="J4" s="1" t="s">
        <v>780</v>
      </c>
      <c r="K4" s="1" t="s">
        <v>780</v>
      </c>
      <c r="L4" s="1" t="s">
        <v>780</v>
      </c>
      <c r="M4" s="1" t="s">
        <v>780</v>
      </c>
      <c r="N4" s="1" t="s">
        <v>780</v>
      </c>
      <c r="O4" s="1"/>
      <c r="P4" s="1"/>
      <c r="Q4" s="1"/>
      <c r="R4" s="1"/>
      <c r="S4" s="1"/>
      <c r="T4" s="1"/>
      <c r="U4" s="1"/>
      <c r="V4" s="1"/>
      <c r="W4" s="1"/>
      <c r="X4" s="1"/>
      <c r="Y4" s="1"/>
      <c r="Z4" s="1"/>
      <c r="AA4" s="1"/>
      <c r="AB4" s="1"/>
      <c r="AU4" t="s">
        <v>780</v>
      </c>
      <c r="BC4" t="s">
        <v>780</v>
      </c>
      <c r="BD4" t="s">
        <v>780</v>
      </c>
      <c r="BE4" t="s">
        <v>780</v>
      </c>
      <c r="BF4" t="s">
        <v>780</v>
      </c>
    </row>
    <row r="5" spans="2:282" ht="87" x14ac:dyDescent="0.35">
      <c r="B5" s="1" t="s">
        <v>861</v>
      </c>
      <c r="C5" s="1" t="s">
        <v>862</v>
      </c>
      <c r="D5" s="1" t="s">
        <v>866</v>
      </c>
      <c r="E5" t="s">
        <v>780</v>
      </c>
      <c r="F5" s="1" t="s">
        <v>780</v>
      </c>
      <c r="G5" s="1" t="s">
        <v>780</v>
      </c>
      <c r="H5" s="1" t="s">
        <v>780</v>
      </c>
      <c r="I5" s="1" t="s">
        <v>780</v>
      </c>
      <c r="J5" s="1" t="s">
        <v>780</v>
      </c>
      <c r="K5" s="1" t="s">
        <v>780</v>
      </c>
      <c r="L5" s="1" t="s">
        <v>780</v>
      </c>
      <c r="M5" s="1" t="s">
        <v>780</v>
      </c>
      <c r="N5" s="1" t="s">
        <v>780</v>
      </c>
      <c r="O5" s="1"/>
      <c r="P5" s="1"/>
      <c r="Q5" s="1"/>
      <c r="R5" s="1"/>
      <c r="S5" s="1"/>
      <c r="T5" s="1"/>
      <c r="U5" s="1"/>
      <c r="V5" s="1"/>
      <c r="W5" s="1"/>
      <c r="X5" s="1"/>
      <c r="Y5" s="1"/>
      <c r="Z5" s="1"/>
      <c r="AA5" s="1"/>
      <c r="AB5" s="1"/>
      <c r="AC5" s="1" t="s">
        <v>780</v>
      </c>
      <c r="AD5" s="1"/>
      <c r="AE5" s="1"/>
      <c r="AF5" s="1"/>
    </row>
    <row r="6" spans="2:282" ht="116" x14ac:dyDescent="0.35">
      <c r="B6" s="1" t="s">
        <v>861</v>
      </c>
      <c r="C6" s="1" t="s">
        <v>867</v>
      </c>
      <c r="D6" s="1" t="s">
        <v>868</v>
      </c>
      <c r="E6" t="s">
        <v>780</v>
      </c>
      <c r="F6" s="1" t="s">
        <v>780</v>
      </c>
      <c r="G6" s="1" t="s">
        <v>780</v>
      </c>
      <c r="H6" s="1" t="s">
        <v>780</v>
      </c>
      <c r="I6" s="1" t="s">
        <v>780</v>
      </c>
      <c r="AC6" s="1" t="s">
        <v>780</v>
      </c>
      <c r="AD6" s="1"/>
      <c r="AE6" s="1"/>
      <c r="AF6" s="1" t="s">
        <v>780</v>
      </c>
      <c r="BE6" t="s">
        <v>780</v>
      </c>
      <c r="BF6" t="s">
        <v>780</v>
      </c>
      <c r="BG6" t="s">
        <v>780</v>
      </c>
      <c r="BH6" t="s">
        <v>780</v>
      </c>
      <c r="BI6" t="s">
        <v>780</v>
      </c>
      <c r="BJ6" t="s">
        <v>780</v>
      </c>
    </row>
    <row r="7" spans="2:282" ht="116" x14ac:dyDescent="0.35">
      <c r="B7" s="1" t="s">
        <v>861</v>
      </c>
      <c r="C7" s="1" t="s">
        <v>867</v>
      </c>
      <c r="D7" s="1" t="s">
        <v>869</v>
      </c>
      <c r="E7" t="s">
        <v>780</v>
      </c>
      <c r="F7" s="1" t="s">
        <v>780</v>
      </c>
      <c r="G7" s="1" t="s">
        <v>780</v>
      </c>
      <c r="H7" s="1" t="s">
        <v>780</v>
      </c>
      <c r="I7" s="1" t="s">
        <v>780</v>
      </c>
      <c r="AC7" s="1" t="s">
        <v>780</v>
      </c>
      <c r="AD7" s="1"/>
      <c r="AE7" s="1"/>
      <c r="AF7" t="s">
        <v>780</v>
      </c>
      <c r="BE7" t="s">
        <v>780</v>
      </c>
      <c r="BF7" t="s">
        <v>780</v>
      </c>
      <c r="BK7" t="s">
        <v>780</v>
      </c>
      <c r="BL7" t="s">
        <v>780</v>
      </c>
      <c r="BM7" t="s">
        <v>780</v>
      </c>
      <c r="BN7" t="s">
        <v>780</v>
      </c>
      <c r="BP7" t="s">
        <v>780</v>
      </c>
    </row>
    <row r="8" spans="2:282" ht="116" x14ac:dyDescent="0.35">
      <c r="B8" s="1" t="s">
        <v>861</v>
      </c>
      <c r="C8" s="1" t="s">
        <v>77</v>
      </c>
      <c r="D8" s="1" t="s">
        <v>870</v>
      </c>
      <c r="E8" t="s">
        <v>780</v>
      </c>
      <c r="F8" s="1" t="s">
        <v>780</v>
      </c>
      <c r="G8" s="1" t="s">
        <v>780</v>
      </c>
      <c r="H8" s="1" t="s">
        <v>780</v>
      </c>
      <c r="I8" s="1" t="s">
        <v>780</v>
      </c>
      <c r="J8" s="1" t="s">
        <v>780</v>
      </c>
      <c r="K8" s="1" t="s">
        <v>780</v>
      </c>
      <c r="AB8" t="s">
        <v>780</v>
      </c>
      <c r="AC8" s="1" t="s">
        <v>780</v>
      </c>
      <c r="AD8" s="1"/>
      <c r="AE8" s="1"/>
      <c r="AF8" t="s">
        <v>780</v>
      </c>
      <c r="AZ8" t="s">
        <v>780</v>
      </c>
      <c r="BQ8" t="s">
        <v>780</v>
      </c>
      <c r="BR8" t="s">
        <v>780</v>
      </c>
      <c r="BS8" t="s">
        <v>780</v>
      </c>
      <c r="BT8" t="s">
        <v>780</v>
      </c>
      <c r="BU8" t="s">
        <v>780</v>
      </c>
      <c r="BV8" t="s">
        <v>780</v>
      </c>
      <c r="BW8" t="s">
        <v>780</v>
      </c>
      <c r="BX8" t="s">
        <v>780</v>
      </c>
      <c r="BY8" t="s">
        <v>780</v>
      </c>
      <c r="BZ8" t="s">
        <v>780</v>
      </c>
      <c r="CA8" t="s">
        <v>780</v>
      </c>
      <c r="CB8" t="s">
        <v>780</v>
      </c>
      <c r="CC8" t="s">
        <v>780</v>
      </c>
      <c r="CD8" t="s">
        <v>780</v>
      </c>
      <c r="CE8" t="s">
        <v>780</v>
      </c>
      <c r="CF8" t="s">
        <v>780</v>
      </c>
      <c r="CG8" t="s">
        <v>780</v>
      </c>
      <c r="CH8" t="s">
        <v>780</v>
      </c>
      <c r="CI8" t="s">
        <v>780</v>
      </c>
      <c r="CJ8" t="s">
        <v>780</v>
      </c>
      <c r="CK8" t="s">
        <v>780</v>
      </c>
      <c r="CL8" t="s">
        <v>780</v>
      </c>
      <c r="CM8" t="s">
        <v>780</v>
      </c>
      <c r="CN8" t="s">
        <v>780</v>
      </c>
      <c r="CO8" t="s">
        <v>780</v>
      </c>
      <c r="CP8" t="s">
        <v>780</v>
      </c>
      <c r="CQ8" t="s">
        <v>780</v>
      </c>
      <c r="CR8" t="s">
        <v>780</v>
      </c>
      <c r="CS8" t="s">
        <v>780</v>
      </c>
      <c r="CT8" t="s">
        <v>780</v>
      </c>
      <c r="CU8" t="s">
        <v>780</v>
      </c>
      <c r="CV8" t="s">
        <v>780</v>
      </c>
      <c r="CW8" t="s">
        <v>780</v>
      </c>
      <c r="CX8" t="s">
        <v>780</v>
      </c>
      <c r="CY8" t="s">
        <v>780</v>
      </c>
      <c r="CZ8" t="s">
        <v>780</v>
      </c>
      <c r="DA8" t="s">
        <v>780</v>
      </c>
      <c r="DB8" t="s">
        <v>780</v>
      </c>
      <c r="DC8" t="s">
        <v>780</v>
      </c>
      <c r="DD8" t="s">
        <v>780</v>
      </c>
      <c r="DE8" t="s">
        <v>780</v>
      </c>
      <c r="DF8" t="s">
        <v>780</v>
      </c>
      <c r="DG8" t="s">
        <v>780</v>
      </c>
      <c r="DH8" t="s">
        <v>780</v>
      </c>
      <c r="DI8" t="s">
        <v>780</v>
      </c>
      <c r="DJ8" t="s">
        <v>780</v>
      </c>
      <c r="DK8" t="s">
        <v>780</v>
      </c>
      <c r="DL8" t="s">
        <v>780</v>
      </c>
      <c r="DM8" t="s">
        <v>780</v>
      </c>
      <c r="DN8" t="s">
        <v>780</v>
      </c>
      <c r="DO8" t="s">
        <v>780</v>
      </c>
      <c r="DP8" t="s">
        <v>780</v>
      </c>
      <c r="DQ8" t="s">
        <v>780</v>
      </c>
      <c r="DR8" t="s">
        <v>780</v>
      </c>
      <c r="DS8" t="s">
        <v>780</v>
      </c>
      <c r="DT8" t="s">
        <v>780</v>
      </c>
      <c r="DU8" t="s">
        <v>780</v>
      </c>
      <c r="DV8" t="s">
        <v>780</v>
      </c>
      <c r="DW8" t="s">
        <v>780</v>
      </c>
      <c r="DX8" t="s">
        <v>780</v>
      </c>
      <c r="DY8" t="s">
        <v>780</v>
      </c>
      <c r="DZ8" t="s">
        <v>780</v>
      </c>
      <c r="EA8" t="s">
        <v>780</v>
      </c>
      <c r="EB8" t="s">
        <v>780</v>
      </c>
      <c r="EC8" t="s">
        <v>780</v>
      </c>
      <c r="ED8" t="s">
        <v>780</v>
      </c>
      <c r="EE8" t="s">
        <v>780</v>
      </c>
      <c r="EF8" t="s">
        <v>780</v>
      </c>
      <c r="EG8" t="s">
        <v>780</v>
      </c>
      <c r="EH8" t="s">
        <v>780</v>
      </c>
      <c r="EI8" t="s">
        <v>780</v>
      </c>
      <c r="EJ8" t="s">
        <v>780</v>
      </c>
      <c r="EK8" t="s">
        <v>780</v>
      </c>
      <c r="EL8" t="s">
        <v>780</v>
      </c>
      <c r="EM8" t="s">
        <v>780</v>
      </c>
      <c r="EN8" t="s">
        <v>780</v>
      </c>
      <c r="EO8" t="s">
        <v>780</v>
      </c>
      <c r="EP8" t="s">
        <v>780</v>
      </c>
      <c r="EQ8" t="s">
        <v>780</v>
      </c>
      <c r="ER8" t="s">
        <v>780</v>
      </c>
      <c r="ES8" t="s">
        <v>780</v>
      </c>
    </row>
    <row r="9" spans="2:282" ht="29" x14ac:dyDescent="0.35">
      <c r="B9" s="1" t="s">
        <v>861</v>
      </c>
      <c r="C9" s="1" t="s">
        <v>77</v>
      </c>
      <c r="D9" s="1" t="s">
        <v>871</v>
      </c>
      <c r="E9" t="s">
        <v>780</v>
      </c>
      <c r="F9" s="1" t="s">
        <v>780</v>
      </c>
      <c r="G9" s="1" t="s">
        <v>780</v>
      </c>
      <c r="H9" s="1" t="s">
        <v>780</v>
      </c>
      <c r="I9" s="1" t="s">
        <v>780</v>
      </c>
      <c r="AB9" t="s">
        <v>780</v>
      </c>
      <c r="AC9" s="1" t="s">
        <v>780</v>
      </c>
      <c r="AD9" s="1"/>
      <c r="AE9" s="1"/>
      <c r="BR9" t="s">
        <v>780</v>
      </c>
      <c r="CC9" t="s">
        <v>780</v>
      </c>
      <c r="CE9" t="s">
        <v>780</v>
      </c>
      <c r="CF9" t="s">
        <v>780</v>
      </c>
      <c r="ET9" t="s">
        <v>780</v>
      </c>
      <c r="EU9" t="s">
        <v>780</v>
      </c>
    </row>
    <row r="10" spans="2:282" ht="87" x14ac:dyDescent="0.35">
      <c r="B10" s="1" t="s">
        <v>861</v>
      </c>
      <c r="C10" s="1" t="s">
        <v>77</v>
      </c>
      <c r="D10" s="1" t="s">
        <v>872</v>
      </c>
      <c r="E10" t="s">
        <v>780</v>
      </c>
      <c r="F10" s="1" t="s">
        <v>780</v>
      </c>
      <c r="G10" s="1" t="s">
        <v>780</v>
      </c>
      <c r="H10" s="1" t="s">
        <v>780</v>
      </c>
      <c r="I10" s="1" t="s">
        <v>780</v>
      </c>
      <c r="BQ10" t="s">
        <v>780</v>
      </c>
      <c r="EV10" t="s">
        <v>780</v>
      </c>
      <c r="EW10" t="s">
        <v>780</v>
      </c>
      <c r="EX10" t="s">
        <v>780</v>
      </c>
      <c r="EY10" t="s">
        <v>780</v>
      </c>
      <c r="EZ10" t="s">
        <v>780</v>
      </c>
      <c r="FA10" t="s">
        <v>780</v>
      </c>
      <c r="FB10" t="s">
        <v>780</v>
      </c>
      <c r="FC10" t="s">
        <v>780</v>
      </c>
      <c r="FD10" t="s">
        <v>780</v>
      </c>
      <c r="FE10" t="s">
        <v>780</v>
      </c>
      <c r="FF10" t="s">
        <v>780</v>
      </c>
      <c r="FG10" t="s">
        <v>780</v>
      </c>
    </row>
    <row r="11" spans="2:282" ht="101.5" x14ac:dyDescent="0.35">
      <c r="B11" s="1" t="s">
        <v>861</v>
      </c>
      <c r="C11" s="1" t="s">
        <v>64</v>
      </c>
      <c r="D11" s="1" t="s">
        <v>873</v>
      </c>
      <c r="E11" t="s">
        <v>780</v>
      </c>
      <c r="F11" s="1" t="s">
        <v>780</v>
      </c>
      <c r="G11" s="1" t="s">
        <v>780</v>
      </c>
      <c r="H11" s="1" t="s">
        <v>780</v>
      </c>
      <c r="I11" s="1" t="s">
        <v>780</v>
      </c>
      <c r="AG11" t="s">
        <v>780</v>
      </c>
      <c r="AH11" t="s">
        <v>780</v>
      </c>
      <c r="AM11" t="s">
        <v>780</v>
      </c>
      <c r="AP11" t="s">
        <v>780</v>
      </c>
      <c r="AQ11" t="s">
        <v>780</v>
      </c>
      <c r="FH11" t="s">
        <v>780</v>
      </c>
      <c r="FI11" t="s">
        <v>780</v>
      </c>
      <c r="FZ11" t="s">
        <v>780</v>
      </c>
      <c r="GA11" t="s">
        <v>780</v>
      </c>
      <c r="GL11" t="s">
        <v>780</v>
      </c>
      <c r="GT11" t="s">
        <v>780</v>
      </c>
      <c r="HB11" t="s">
        <v>780</v>
      </c>
      <c r="HC11" t="s">
        <v>780</v>
      </c>
      <c r="HE11" t="s">
        <v>780</v>
      </c>
      <c r="HF11" t="s">
        <v>780</v>
      </c>
      <c r="HG11" t="s">
        <v>780</v>
      </c>
      <c r="HH11" t="s">
        <v>780</v>
      </c>
      <c r="HJ11" t="s">
        <v>780</v>
      </c>
      <c r="HK11" t="s">
        <v>780</v>
      </c>
      <c r="HL11" t="s">
        <v>780</v>
      </c>
      <c r="HR11" t="s">
        <v>780</v>
      </c>
      <c r="HU11" t="s">
        <v>780</v>
      </c>
      <c r="HV11" t="s">
        <v>780</v>
      </c>
      <c r="IN11" t="s">
        <v>780</v>
      </c>
      <c r="IO11" t="s">
        <v>780</v>
      </c>
      <c r="IP11" t="s">
        <v>780</v>
      </c>
      <c r="IQ11" t="s">
        <v>780</v>
      </c>
      <c r="IR11" t="s">
        <v>780</v>
      </c>
      <c r="IS11" t="s">
        <v>780</v>
      </c>
      <c r="IT11" t="s">
        <v>780</v>
      </c>
      <c r="IU11" t="s">
        <v>780</v>
      </c>
    </row>
    <row r="12" spans="2:282" ht="72.5" x14ac:dyDescent="0.35">
      <c r="B12" s="1" t="s">
        <v>861</v>
      </c>
      <c r="C12" s="1" t="s">
        <v>64</v>
      </c>
      <c r="D12" s="1" t="s">
        <v>874</v>
      </c>
      <c r="E12" t="s">
        <v>780</v>
      </c>
      <c r="F12" s="1" t="s">
        <v>780</v>
      </c>
      <c r="G12" s="1" t="s">
        <v>780</v>
      </c>
      <c r="H12" s="1" t="s">
        <v>780</v>
      </c>
      <c r="I12" s="1" t="s">
        <v>780</v>
      </c>
      <c r="J12" s="1" t="s">
        <v>780</v>
      </c>
      <c r="K12" s="1" t="s">
        <v>780</v>
      </c>
      <c r="L12" s="1" t="s">
        <v>780</v>
      </c>
      <c r="M12" s="1" t="s">
        <v>780</v>
      </c>
      <c r="N12" s="1" t="s">
        <v>780</v>
      </c>
      <c r="O12" s="1" t="s">
        <v>780</v>
      </c>
      <c r="P12" s="1" t="s">
        <v>780</v>
      </c>
      <c r="Q12" s="1" t="s">
        <v>780</v>
      </c>
      <c r="R12" s="1" t="s">
        <v>780</v>
      </c>
      <c r="S12" s="1"/>
      <c r="T12" s="1"/>
      <c r="U12" s="1" t="s">
        <v>780</v>
      </c>
      <c r="V12" s="1" t="s">
        <v>780</v>
      </c>
      <c r="W12" s="1"/>
      <c r="X12" s="1"/>
      <c r="Y12" s="1"/>
      <c r="Z12" s="1"/>
      <c r="AA12" s="1"/>
      <c r="AG12" t="s">
        <v>780</v>
      </c>
      <c r="AH12" t="s">
        <v>780</v>
      </c>
      <c r="AM12" t="s">
        <v>780</v>
      </c>
      <c r="AP12" t="s">
        <v>780</v>
      </c>
      <c r="AQ12" t="s">
        <v>780</v>
      </c>
      <c r="FH12" t="s">
        <v>780</v>
      </c>
      <c r="FI12" t="s">
        <v>780</v>
      </c>
      <c r="GL12" t="s">
        <v>780</v>
      </c>
      <c r="GT12" t="s">
        <v>780</v>
      </c>
      <c r="HB12" t="s">
        <v>780</v>
      </c>
      <c r="HC12" t="s">
        <v>780</v>
      </c>
      <c r="HE12" t="s">
        <v>780</v>
      </c>
      <c r="HR12" t="s">
        <v>780</v>
      </c>
      <c r="HU12" t="s">
        <v>780</v>
      </c>
      <c r="HV12" t="s">
        <v>780</v>
      </c>
      <c r="IN12" t="s">
        <v>780</v>
      </c>
      <c r="IO12" t="s">
        <v>780</v>
      </c>
      <c r="IS12" t="s">
        <v>780</v>
      </c>
      <c r="IV12" t="s">
        <v>780</v>
      </c>
    </row>
    <row r="13" spans="2:282" ht="130.5" x14ac:dyDescent="0.35">
      <c r="B13" s="1" t="s">
        <v>861</v>
      </c>
      <c r="C13" s="1" t="s">
        <v>64</v>
      </c>
      <c r="D13" s="1" t="s">
        <v>875</v>
      </c>
      <c r="E13" t="s">
        <v>780</v>
      </c>
      <c r="F13" s="1" t="s">
        <v>780</v>
      </c>
      <c r="G13" s="1" t="s">
        <v>780</v>
      </c>
      <c r="H13" s="1" t="s">
        <v>780</v>
      </c>
      <c r="I13" s="1" t="s">
        <v>780</v>
      </c>
      <c r="AM13" t="s">
        <v>780</v>
      </c>
      <c r="FI13" t="s">
        <v>780</v>
      </c>
      <c r="FZ13" t="s">
        <v>780</v>
      </c>
      <c r="GA13" t="s">
        <v>780</v>
      </c>
      <c r="GL13" t="s">
        <v>780</v>
      </c>
      <c r="GT13" t="s">
        <v>780</v>
      </c>
      <c r="HB13" t="s">
        <v>780</v>
      </c>
      <c r="HC13" t="s">
        <v>780</v>
      </c>
      <c r="HE13" t="s">
        <v>780</v>
      </c>
      <c r="HF13" t="s">
        <v>780</v>
      </c>
      <c r="HG13" t="s">
        <v>780</v>
      </c>
      <c r="HH13" t="s">
        <v>780</v>
      </c>
      <c r="HJ13" t="s">
        <v>780</v>
      </c>
      <c r="HK13" t="s">
        <v>780</v>
      </c>
      <c r="HL13" t="s">
        <v>780</v>
      </c>
      <c r="HR13" t="s">
        <v>780</v>
      </c>
      <c r="HU13" t="s">
        <v>780</v>
      </c>
      <c r="HV13" t="s">
        <v>780</v>
      </c>
      <c r="IN13" t="s">
        <v>780</v>
      </c>
      <c r="IO13" t="s">
        <v>780</v>
      </c>
      <c r="IP13" t="s">
        <v>780</v>
      </c>
      <c r="IQ13" t="s">
        <v>780</v>
      </c>
      <c r="IR13" t="s">
        <v>780</v>
      </c>
      <c r="IS13" t="s">
        <v>780</v>
      </c>
      <c r="IT13" t="s">
        <v>780</v>
      </c>
      <c r="IU13" t="s">
        <v>780</v>
      </c>
    </row>
    <row r="14" spans="2:282" ht="101.5" x14ac:dyDescent="0.35">
      <c r="B14" s="1" t="s">
        <v>861</v>
      </c>
      <c r="C14" s="1" t="s">
        <v>21</v>
      </c>
      <c r="D14" s="1" t="s">
        <v>876</v>
      </c>
      <c r="E14" s="1" t="s">
        <v>780</v>
      </c>
      <c r="F14" s="1" t="s">
        <v>780</v>
      </c>
      <c r="G14" s="1" t="s">
        <v>780</v>
      </c>
      <c r="H14" s="1" t="s">
        <v>780</v>
      </c>
      <c r="I14" s="1" t="s">
        <v>780</v>
      </c>
      <c r="AG14" t="s">
        <v>780</v>
      </c>
      <c r="AH14" t="s">
        <v>780</v>
      </c>
      <c r="AM14" t="s">
        <v>780</v>
      </c>
      <c r="AN14" t="s">
        <v>780</v>
      </c>
      <c r="AO14" t="s">
        <v>780</v>
      </c>
      <c r="AP14" t="s">
        <v>780</v>
      </c>
      <c r="AQ14" t="s">
        <v>780</v>
      </c>
      <c r="FH14" t="s">
        <v>780</v>
      </c>
      <c r="FI14" t="s">
        <v>780</v>
      </c>
      <c r="FZ14" t="s">
        <v>780</v>
      </c>
      <c r="GA14" t="s">
        <v>780</v>
      </c>
      <c r="GL14" t="s">
        <v>780</v>
      </c>
      <c r="GT14" t="s">
        <v>780</v>
      </c>
      <c r="GU14" t="s">
        <v>780</v>
      </c>
      <c r="GV14" t="s">
        <v>780</v>
      </c>
      <c r="GW14" t="s">
        <v>780</v>
      </c>
      <c r="HB14" t="s">
        <v>780</v>
      </c>
      <c r="HC14" t="s">
        <v>780</v>
      </c>
      <c r="HE14" t="s">
        <v>780</v>
      </c>
      <c r="HF14" t="s">
        <v>780</v>
      </c>
      <c r="HI14" t="s">
        <v>780</v>
      </c>
      <c r="HK14" t="s">
        <v>780</v>
      </c>
      <c r="HL14" t="s">
        <v>780</v>
      </c>
      <c r="HR14" t="s">
        <v>780</v>
      </c>
      <c r="HT14" t="s">
        <v>780</v>
      </c>
      <c r="HU14" t="s">
        <v>780</v>
      </c>
      <c r="HV14" t="s">
        <v>780</v>
      </c>
      <c r="IN14" t="s">
        <v>780</v>
      </c>
      <c r="IO14" t="s">
        <v>780</v>
      </c>
      <c r="IP14" t="s">
        <v>780</v>
      </c>
      <c r="IQ14" t="s">
        <v>780</v>
      </c>
      <c r="IR14" t="s">
        <v>780</v>
      </c>
      <c r="IS14" t="s">
        <v>780</v>
      </c>
      <c r="IT14" t="s">
        <v>780</v>
      </c>
      <c r="IU14" t="s">
        <v>780</v>
      </c>
      <c r="IW14" t="s">
        <v>780</v>
      </c>
    </row>
    <row r="15" spans="2:282" ht="101.5" x14ac:dyDescent="0.35">
      <c r="B15" s="1" t="s">
        <v>861</v>
      </c>
      <c r="C15" s="1" t="s">
        <v>21</v>
      </c>
      <c r="D15" s="1" t="s">
        <v>877</v>
      </c>
      <c r="E15" t="s">
        <v>780</v>
      </c>
      <c r="F15" t="s">
        <v>780</v>
      </c>
      <c r="G15" t="s">
        <v>780</v>
      </c>
      <c r="H15" t="s">
        <v>780</v>
      </c>
      <c r="I15" t="s">
        <v>780</v>
      </c>
      <c r="J15" t="s">
        <v>780</v>
      </c>
      <c r="K15" t="s">
        <v>780</v>
      </c>
      <c r="L15" t="s">
        <v>780</v>
      </c>
      <c r="M15" t="s">
        <v>780</v>
      </c>
      <c r="N15" t="s">
        <v>780</v>
      </c>
      <c r="O15" t="s">
        <v>780</v>
      </c>
      <c r="P15" t="s">
        <v>780</v>
      </c>
      <c r="Q15" t="s">
        <v>780</v>
      </c>
      <c r="R15" t="s">
        <v>780</v>
      </c>
      <c r="U15" t="s">
        <v>780</v>
      </c>
      <c r="V15" t="s">
        <v>780</v>
      </c>
      <c r="AG15" t="s">
        <v>780</v>
      </c>
      <c r="AH15" t="s">
        <v>780</v>
      </c>
      <c r="AM15" t="s">
        <v>780</v>
      </c>
      <c r="AN15" t="s">
        <v>780</v>
      </c>
      <c r="AP15" t="s">
        <v>780</v>
      </c>
      <c r="AQ15" t="s">
        <v>780</v>
      </c>
      <c r="FH15" t="s">
        <v>780</v>
      </c>
      <c r="FI15" t="s">
        <v>780</v>
      </c>
      <c r="GA15" t="s">
        <v>780</v>
      </c>
      <c r="GL15" t="s">
        <v>780</v>
      </c>
      <c r="GT15" t="s">
        <v>780</v>
      </c>
      <c r="GU15" t="s">
        <v>780</v>
      </c>
      <c r="GV15" t="s">
        <v>780</v>
      </c>
      <c r="GW15" t="s">
        <v>780</v>
      </c>
      <c r="HE15" t="s">
        <v>780</v>
      </c>
      <c r="HL15" t="s">
        <v>780</v>
      </c>
      <c r="HR15" t="s">
        <v>780</v>
      </c>
      <c r="HT15" t="s">
        <v>780</v>
      </c>
      <c r="HU15" t="s">
        <v>780</v>
      </c>
      <c r="HV15" t="s">
        <v>780</v>
      </c>
      <c r="IN15" t="s">
        <v>780</v>
      </c>
      <c r="IO15" t="s">
        <v>780</v>
      </c>
      <c r="IS15" t="s">
        <v>780</v>
      </c>
      <c r="IV15" t="s">
        <v>780</v>
      </c>
    </row>
    <row r="16" spans="2:282" ht="116" x14ac:dyDescent="0.35">
      <c r="B16" s="1" t="s">
        <v>861</v>
      </c>
      <c r="C16" s="1" t="s">
        <v>21</v>
      </c>
      <c r="D16" s="1" t="s">
        <v>878</v>
      </c>
      <c r="E16" t="s">
        <v>780</v>
      </c>
      <c r="F16" t="s">
        <v>780</v>
      </c>
      <c r="G16" t="s">
        <v>780</v>
      </c>
      <c r="H16" t="s">
        <v>780</v>
      </c>
      <c r="I16" t="s">
        <v>780</v>
      </c>
      <c r="AM16" t="s">
        <v>780</v>
      </c>
      <c r="AQ16" t="s">
        <v>780</v>
      </c>
      <c r="FZ16" t="s">
        <v>780</v>
      </c>
      <c r="GA16" t="s">
        <v>780</v>
      </c>
      <c r="GL16" t="s">
        <v>780</v>
      </c>
      <c r="GT16" t="s">
        <v>780</v>
      </c>
      <c r="GU16" t="s">
        <v>780</v>
      </c>
      <c r="GV16" t="s">
        <v>780</v>
      </c>
      <c r="GW16" t="s">
        <v>780</v>
      </c>
      <c r="HB16" t="s">
        <v>780</v>
      </c>
      <c r="HC16" t="s">
        <v>780</v>
      </c>
      <c r="HE16" t="s">
        <v>780</v>
      </c>
      <c r="HF16" t="s">
        <v>780</v>
      </c>
      <c r="HI16" t="s">
        <v>780</v>
      </c>
      <c r="HK16" t="s">
        <v>780</v>
      </c>
      <c r="HL16" t="s">
        <v>780</v>
      </c>
      <c r="HR16" t="s">
        <v>780</v>
      </c>
      <c r="HT16" t="s">
        <v>780</v>
      </c>
      <c r="HU16" t="s">
        <v>780</v>
      </c>
      <c r="HV16" t="s">
        <v>780</v>
      </c>
      <c r="IN16" t="s">
        <v>780</v>
      </c>
      <c r="IO16" t="s">
        <v>780</v>
      </c>
      <c r="IP16" t="s">
        <v>780</v>
      </c>
      <c r="IQ16" t="s">
        <v>780</v>
      </c>
      <c r="IR16" t="s">
        <v>780</v>
      </c>
      <c r="IS16" t="s">
        <v>780</v>
      </c>
      <c r="IT16" t="s">
        <v>780</v>
      </c>
      <c r="IU16" t="s">
        <v>780</v>
      </c>
      <c r="IW16" t="s">
        <v>780</v>
      </c>
    </row>
    <row r="17" spans="2:258" ht="130.5" x14ac:dyDescent="0.35">
      <c r="B17" s="1" t="s">
        <v>861</v>
      </c>
      <c r="C17" s="1" t="s">
        <v>53</v>
      </c>
      <c r="D17" s="1" t="s">
        <v>879</v>
      </c>
      <c r="E17" s="1" t="s">
        <v>780</v>
      </c>
      <c r="F17" t="s">
        <v>780</v>
      </c>
      <c r="G17" t="s">
        <v>780</v>
      </c>
      <c r="H17" t="s">
        <v>780</v>
      </c>
      <c r="I17" t="s">
        <v>780</v>
      </c>
      <c r="AD17" t="s">
        <v>780</v>
      </c>
      <c r="AE17" t="s">
        <v>780</v>
      </c>
      <c r="AF17" t="s">
        <v>780</v>
      </c>
      <c r="AI17" t="s">
        <v>780</v>
      </c>
      <c r="AJ17" t="s">
        <v>780</v>
      </c>
      <c r="AK17" t="s">
        <v>780</v>
      </c>
      <c r="FJ17" t="s">
        <v>780</v>
      </c>
      <c r="FK17" t="s">
        <v>780</v>
      </c>
      <c r="FN17" t="s">
        <v>780</v>
      </c>
      <c r="FO17" t="s">
        <v>780</v>
      </c>
      <c r="FQ17" t="s">
        <v>780</v>
      </c>
      <c r="FS17" t="s">
        <v>780</v>
      </c>
      <c r="FT17" t="s">
        <v>780</v>
      </c>
      <c r="GE17" t="s">
        <v>780</v>
      </c>
      <c r="GF17" t="s">
        <v>780</v>
      </c>
      <c r="GG17" t="s">
        <v>780</v>
      </c>
      <c r="GH17" t="s">
        <v>780</v>
      </c>
      <c r="GI17" t="s">
        <v>780</v>
      </c>
      <c r="GJ17" t="s">
        <v>780</v>
      </c>
      <c r="GK17" t="s">
        <v>780</v>
      </c>
      <c r="GM17" t="s">
        <v>780</v>
      </c>
      <c r="GN17" t="s">
        <v>780</v>
      </c>
      <c r="GO17" t="s">
        <v>780</v>
      </c>
      <c r="GP17" t="s">
        <v>780</v>
      </c>
      <c r="GQ17" t="s">
        <v>780</v>
      </c>
      <c r="GR17" t="s">
        <v>780</v>
      </c>
      <c r="GS17" t="s">
        <v>780</v>
      </c>
      <c r="GY17" t="s">
        <v>780</v>
      </c>
      <c r="HA17" t="s">
        <v>780</v>
      </c>
      <c r="HP17" t="s">
        <v>780</v>
      </c>
      <c r="HS17" t="s">
        <v>780</v>
      </c>
      <c r="HW17" t="s">
        <v>780</v>
      </c>
      <c r="HX17" t="s">
        <v>780</v>
      </c>
      <c r="HY17" t="s">
        <v>780</v>
      </c>
      <c r="IB17" t="s">
        <v>780</v>
      </c>
      <c r="IC17" t="s">
        <v>780</v>
      </c>
      <c r="IE17" t="s">
        <v>780</v>
      </c>
      <c r="IF17" t="s">
        <v>780</v>
      </c>
      <c r="IG17" t="s">
        <v>780</v>
      </c>
      <c r="IH17" t="s">
        <v>780</v>
      </c>
      <c r="II17" t="s">
        <v>780</v>
      </c>
      <c r="IJ17" t="s">
        <v>780</v>
      </c>
      <c r="IK17" t="s">
        <v>780</v>
      </c>
      <c r="IL17" t="s">
        <v>780</v>
      </c>
      <c r="IM17" t="s">
        <v>780</v>
      </c>
    </row>
    <row r="18" spans="2:258" ht="72.5" x14ac:dyDescent="0.35">
      <c r="B18" s="1" t="s">
        <v>861</v>
      </c>
      <c r="C18" s="1" t="s">
        <v>53</v>
      </c>
      <c r="D18" s="1" t="s">
        <v>880</v>
      </c>
      <c r="E18" t="s">
        <v>780</v>
      </c>
      <c r="F18" t="s">
        <v>780</v>
      </c>
      <c r="G18" t="s">
        <v>780</v>
      </c>
      <c r="H18" t="s">
        <v>780</v>
      </c>
      <c r="I18" t="s">
        <v>780</v>
      </c>
      <c r="AE18" t="s">
        <v>780</v>
      </c>
      <c r="AF18" t="s">
        <v>780</v>
      </c>
      <c r="AI18" t="s">
        <v>780</v>
      </c>
      <c r="AJ18" t="s">
        <v>780</v>
      </c>
      <c r="AK18" t="s">
        <v>780</v>
      </c>
      <c r="FJ18" t="s">
        <v>780</v>
      </c>
      <c r="FK18" t="s">
        <v>780</v>
      </c>
      <c r="FN18" t="s">
        <v>780</v>
      </c>
      <c r="FS18" t="s">
        <v>780</v>
      </c>
      <c r="FT18" t="s">
        <v>780</v>
      </c>
      <c r="GE18" t="s">
        <v>780</v>
      </c>
      <c r="GF18" t="s">
        <v>780</v>
      </c>
      <c r="GG18" t="s">
        <v>780</v>
      </c>
      <c r="GH18" t="s">
        <v>780</v>
      </c>
      <c r="GI18" t="s">
        <v>780</v>
      </c>
      <c r="GJ18" t="s">
        <v>780</v>
      </c>
      <c r="GK18" t="s">
        <v>780</v>
      </c>
      <c r="GM18" t="s">
        <v>780</v>
      </c>
      <c r="GN18" t="s">
        <v>780</v>
      </c>
      <c r="GO18" t="s">
        <v>780</v>
      </c>
      <c r="GP18" t="s">
        <v>885</v>
      </c>
      <c r="GR18" t="s">
        <v>780</v>
      </c>
      <c r="GS18" t="s">
        <v>780</v>
      </c>
      <c r="GY18" t="s">
        <v>780</v>
      </c>
      <c r="HA18" t="s">
        <v>780</v>
      </c>
      <c r="HP18" t="s">
        <v>780</v>
      </c>
      <c r="HS18" t="s">
        <v>780</v>
      </c>
      <c r="HX18" t="s">
        <v>780</v>
      </c>
      <c r="HY18" t="s">
        <v>780</v>
      </c>
      <c r="IB18" t="s">
        <v>780</v>
      </c>
      <c r="IE18" t="s">
        <v>780</v>
      </c>
      <c r="IF18" t="s">
        <v>780</v>
      </c>
      <c r="IG18" t="s">
        <v>780</v>
      </c>
      <c r="IH18" t="s">
        <v>780</v>
      </c>
      <c r="II18" t="s">
        <v>780</v>
      </c>
    </row>
    <row r="19" spans="2:258" ht="130.5" x14ac:dyDescent="0.35">
      <c r="B19" s="1" t="s">
        <v>861</v>
      </c>
      <c r="C19" s="1" t="s">
        <v>53</v>
      </c>
      <c r="D19" s="1" t="s">
        <v>881</v>
      </c>
      <c r="E19" t="s">
        <v>780</v>
      </c>
      <c r="F19" t="s">
        <v>780</v>
      </c>
      <c r="G19" t="s">
        <v>780</v>
      </c>
      <c r="H19" t="s">
        <v>780</v>
      </c>
      <c r="I19" t="s">
        <v>780</v>
      </c>
      <c r="AE19" t="s">
        <v>780</v>
      </c>
      <c r="AF19" t="s">
        <v>780</v>
      </c>
      <c r="AI19" t="s">
        <v>780</v>
      </c>
      <c r="AJ19" t="s">
        <v>780</v>
      </c>
      <c r="AK19" t="s">
        <v>780</v>
      </c>
      <c r="AL19" t="s">
        <v>780</v>
      </c>
      <c r="FJ19" t="s">
        <v>780</v>
      </c>
      <c r="FK19" t="s">
        <v>780</v>
      </c>
      <c r="FM19" t="s">
        <v>780</v>
      </c>
      <c r="FO19" t="s">
        <v>780</v>
      </c>
      <c r="FP19" t="s">
        <v>780</v>
      </c>
      <c r="FQ19" t="s">
        <v>780</v>
      </c>
      <c r="FS19" t="s">
        <v>780</v>
      </c>
      <c r="FT19" t="s">
        <v>780</v>
      </c>
      <c r="GI19" t="s">
        <v>780</v>
      </c>
      <c r="GM19" t="s">
        <v>780</v>
      </c>
      <c r="GN19" t="s">
        <v>780</v>
      </c>
      <c r="GO19" t="s">
        <v>780</v>
      </c>
      <c r="GP19" t="s">
        <v>780</v>
      </c>
      <c r="GQ19" t="s">
        <v>780</v>
      </c>
      <c r="GR19" t="s">
        <v>780</v>
      </c>
      <c r="GS19" t="s">
        <v>780</v>
      </c>
      <c r="GY19" t="s">
        <v>780</v>
      </c>
      <c r="HA19" t="s">
        <v>780</v>
      </c>
      <c r="HP19" t="s">
        <v>780</v>
      </c>
      <c r="HX19" t="s">
        <v>780</v>
      </c>
      <c r="HZ19" t="s">
        <v>780</v>
      </c>
      <c r="IA19" t="s">
        <v>780</v>
      </c>
      <c r="IC19" t="s">
        <v>780</v>
      </c>
      <c r="ID19" t="s">
        <v>780</v>
      </c>
    </row>
    <row r="20" spans="2:258" ht="174" x14ac:dyDescent="0.35">
      <c r="B20" s="1" t="s">
        <v>861</v>
      </c>
      <c r="C20" s="1" t="s">
        <v>53</v>
      </c>
      <c r="D20" s="1" t="s">
        <v>1547</v>
      </c>
      <c r="E20" t="s">
        <v>780</v>
      </c>
      <c r="F20" t="s">
        <v>780</v>
      </c>
      <c r="G20" t="s">
        <v>780</v>
      </c>
      <c r="H20" t="s">
        <v>780</v>
      </c>
      <c r="I20" t="s">
        <v>780</v>
      </c>
      <c r="J20" t="s">
        <v>780</v>
      </c>
      <c r="K20" t="s">
        <v>780</v>
      </c>
      <c r="Y20" t="s">
        <v>780</v>
      </c>
      <c r="Z20" t="s">
        <v>780</v>
      </c>
      <c r="AA20" t="s">
        <v>780</v>
      </c>
      <c r="FJ20" t="s">
        <v>780</v>
      </c>
      <c r="FK20" t="s">
        <v>780</v>
      </c>
      <c r="FN20" t="s">
        <v>780</v>
      </c>
      <c r="FT20" t="s">
        <v>780</v>
      </c>
      <c r="GE20" t="s">
        <v>780</v>
      </c>
      <c r="GF20" t="s">
        <v>780</v>
      </c>
      <c r="GG20" t="s">
        <v>780</v>
      </c>
      <c r="GH20" t="s">
        <v>780</v>
      </c>
      <c r="GI20" t="s">
        <v>780</v>
      </c>
      <c r="GJ20" t="s">
        <v>780</v>
      </c>
      <c r="GK20" t="s">
        <v>780</v>
      </c>
      <c r="GM20" t="s">
        <v>780</v>
      </c>
      <c r="GN20" t="s">
        <v>780</v>
      </c>
      <c r="GO20" t="s">
        <v>780</v>
      </c>
      <c r="GP20" t="s">
        <v>780</v>
      </c>
      <c r="GQ20" t="s">
        <v>780</v>
      </c>
      <c r="GR20" t="s">
        <v>780</v>
      </c>
      <c r="GS20" t="s">
        <v>780</v>
      </c>
      <c r="GY20" t="s">
        <v>780</v>
      </c>
      <c r="HA20" t="s">
        <v>780</v>
      </c>
      <c r="HP20" t="s">
        <v>780</v>
      </c>
      <c r="HS20" t="s">
        <v>780</v>
      </c>
      <c r="HX20" t="s">
        <v>780</v>
      </c>
      <c r="HY20" t="s">
        <v>780</v>
      </c>
      <c r="IB20" t="s">
        <v>780</v>
      </c>
      <c r="IC20" t="s">
        <v>780</v>
      </c>
      <c r="IE20" t="s">
        <v>780</v>
      </c>
      <c r="IF20" t="s">
        <v>780</v>
      </c>
      <c r="IG20" t="s">
        <v>780</v>
      </c>
      <c r="IH20" t="s">
        <v>780</v>
      </c>
      <c r="II20" t="s">
        <v>780</v>
      </c>
    </row>
    <row r="21" spans="2:258" ht="130.5" x14ac:dyDescent="0.35">
      <c r="B21" s="1" t="s">
        <v>861</v>
      </c>
      <c r="C21" s="1" t="s">
        <v>53</v>
      </c>
      <c r="D21" s="1" t="s">
        <v>883</v>
      </c>
      <c r="E21" t="s">
        <v>780</v>
      </c>
      <c r="F21" t="s">
        <v>780</v>
      </c>
      <c r="G21" t="s">
        <v>780</v>
      </c>
      <c r="H21" t="s">
        <v>780</v>
      </c>
      <c r="I21" t="s">
        <v>780</v>
      </c>
      <c r="J21" t="s">
        <v>780</v>
      </c>
      <c r="K21" t="s">
        <v>780</v>
      </c>
      <c r="Y21" t="s">
        <v>780</v>
      </c>
      <c r="Z21" t="s">
        <v>780</v>
      </c>
      <c r="AA21" t="s">
        <v>780</v>
      </c>
      <c r="AD21" t="s">
        <v>780</v>
      </c>
      <c r="AE21" t="s">
        <v>780</v>
      </c>
      <c r="AF21" t="s">
        <v>780</v>
      </c>
      <c r="FJ21" t="s">
        <v>780</v>
      </c>
      <c r="FK21" t="s">
        <v>780</v>
      </c>
      <c r="FN21" t="s">
        <v>780</v>
      </c>
      <c r="FO21" t="s">
        <v>780</v>
      </c>
      <c r="FQ21" t="s">
        <v>780</v>
      </c>
      <c r="FS21" t="s">
        <v>780</v>
      </c>
      <c r="GE21" t="s">
        <v>780</v>
      </c>
      <c r="GF21" t="s">
        <v>780</v>
      </c>
      <c r="GG21" t="s">
        <v>780</v>
      </c>
      <c r="GH21" t="s">
        <v>780</v>
      </c>
      <c r="GI21" t="s">
        <v>780</v>
      </c>
      <c r="GJ21" t="s">
        <v>780</v>
      </c>
      <c r="GK21" t="s">
        <v>780</v>
      </c>
      <c r="GM21" t="s">
        <v>780</v>
      </c>
      <c r="GN21" t="s">
        <v>780</v>
      </c>
      <c r="GO21" t="s">
        <v>780</v>
      </c>
      <c r="GP21" t="s">
        <v>780</v>
      </c>
      <c r="GQ21" t="s">
        <v>780</v>
      </c>
      <c r="GR21" t="s">
        <v>780</v>
      </c>
      <c r="GS21" t="s">
        <v>780</v>
      </c>
      <c r="GY21" t="s">
        <v>780</v>
      </c>
      <c r="HA21" t="s">
        <v>780</v>
      </c>
      <c r="HP21" t="s">
        <v>780</v>
      </c>
      <c r="HS21" t="s">
        <v>780</v>
      </c>
      <c r="HX21" t="s">
        <v>780</v>
      </c>
      <c r="HY21" t="s">
        <v>780</v>
      </c>
      <c r="IB21" t="s">
        <v>780</v>
      </c>
      <c r="IC21" t="s">
        <v>780</v>
      </c>
      <c r="IE21" t="s">
        <v>780</v>
      </c>
      <c r="IF21" t="s">
        <v>780</v>
      </c>
      <c r="IG21" t="s">
        <v>780</v>
      </c>
      <c r="IH21" t="s">
        <v>780</v>
      </c>
      <c r="II21" t="s">
        <v>780</v>
      </c>
    </row>
    <row r="22" spans="2:258" ht="130.5" x14ac:dyDescent="0.35">
      <c r="B22" s="1" t="s">
        <v>861</v>
      </c>
      <c r="C22" s="1" t="s">
        <v>53</v>
      </c>
      <c r="D22" s="1" t="s">
        <v>884</v>
      </c>
      <c r="E22" t="s">
        <v>780</v>
      </c>
      <c r="F22" t="s">
        <v>780</v>
      </c>
      <c r="G22" t="s">
        <v>780</v>
      </c>
      <c r="H22" t="s">
        <v>780</v>
      </c>
      <c r="I22" t="s">
        <v>780</v>
      </c>
      <c r="J22" t="s">
        <v>780</v>
      </c>
      <c r="K22" t="s">
        <v>780</v>
      </c>
      <c r="Y22" t="s">
        <v>780</v>
      </c>
      <c r="Z22" t="s">
        <v>780</v>
      </c>
      <c r="AE22" t="s">
        <v>780</v>
      </c>
      <c r="FJ22" t="s">
        <v>780</v>
      </c>
      <c r="FK22" t="s">
        <v>780</v>
      </c>
      <c r="FN22" t="s">
        <v>780</v>
      </c>
      <c r="FT22" t="s">
        <v>780</v>
      </c>
      <c r="GE22" t="s">
        <v>780</v>
      </c>
      <c r="GF22" t="s">
        <v>780</v>
      </c>
      <c r="GH22" t="s">
        <v>780</v>
      </c>
      <c r="GI22" t="s">
        <v>780</v>
      </c>
      <c r="GJ22" t="s">
        <v>780</v>
      </c>
      <c r="GK22" t="s">
        <v>780</v>
      </c>
      <c r="GM22" t="s">
        <v>780</v>
      </c>
      <c r="GN22" t="s">
        <v>780</v>
      </c>
      <c r="GO22" t="s">
        <v>780</v>
      </c>
      <c r="GP22" t="s">
        <v>780</v>
      </c>
      <c r="GQ22" t="s">
        <v>780</v>
      </c>
      <c r="GR22" t="s">
        <v>780</v>
      </c>
      <c r="GS22" t="s">
        <v>780</v>
      </c>
      <c r="GY22" t="s">
        <v>780</v>
      </c>
      <c r="HA22" t="s">
        <v>780</v>
      </c>
      <c r="HP22" t="s">
        <v>780</v>
      </c>
      <c r="HS22" t="s">
        <v>780</v>
      </c>
      <c r="HX22" t="s">
        <v>780</v>
      </c>
      <c r="HY22" t="s">
        <v>780</v>
      </c>
      <c r="IB22" t="s">
        <v>780</v>
      </c>
      <c r="IE22" t="s">
        <v>780</v>
      </c>
      <c r="IF22" t="s">
        <v>780</v>
      </c>
      <c r="IG22" t="s">
        <v>780</v>
      </c>
      <c r="IH22" t="s">
        <v>780</v>
      </c>
      <c r="II22" t="s">
        <v>780</v>
      </c>
    </row>
    <row r="23" spans="2:258" ht="182.5" customHeight="1" x14ac:dyDescent="0.35">
      <c r="B23" s="1" t="s">
        <v>861</v>
      </c>
      <c r="C23" s="1" t="s">
        <v>53</v>
      </c>
      <c r="D23" s="1" t="s">
        <v>886</v>
      </c>
      <c r="E23" t="s">
        <v>780</v>
      </c>
      <c r="F23" t="s">
        <v>780</v>
      </c>
      <c r="G23" t="s">
        <v>780</v>
      </c>
      <c r="H23" t="s">
        <v>780</v>
      </c>
      <c r="I23" t="s">
        <v>780</v>
      </c>
      <c r="J23" t="s">
        <v>780</v>
      </c>
      <c r="K23" t="s">
        <v>780</v>
      </c>
      <c r="Y23" t="s">
        <v>780</v>
      </c>
      <c r="Z23" t="s">
        <v>780</v>
      </c>
      <c r="AA23" t="s">
        <v>780</v>
      </c>
      <c r="FJ23" t="s">
        <v>780</v>
      </c>
      <c r="FK23" t="s">
        <v>780</v>
      </c>
      <c r="FN23" t="s">
        <v>780</v>
      </c>
      <c r="FQ23" t="s">
        <v>780</v>
      </c>
      <c r="FU23" t="s">
        <v>780</v>
      </c>
      <c r="FV23" t="s">
        <v>780</v>
      </c>
      <c r="GE23" t="s">
        <v>780</v>
      </c>
      <c r="GF23" t="s">
        <v>780</v>
      </c>
      <c r="GG23" t="s">
        <v>780</v>
      </c>
      <c r="GH23" t="s">
        <v>780</v>
      </c>
      <c r="GI23" t="s">
        <v>780</v>
      </c>
      <c r="GJ23" t="s">
        <v>780</v>
      </c>
      <c r="GK23" t="s">
        <v>780</v>
      </c>
      <c r="GM23" t="s">
        <v>780</v>
      </c>
      <c r="GN23" t="s">
        <v>780</v>
      </c>
      <c r="GO23" t="s">
        <v>780</v>
      </c>
      <c r="GP23" t="s">
        <v>780</v>
      </c>
      <c r="GQ23" t="s">
        <v>780</v>
      </c>
      <c r="GR23" t="s">
        <v>780</v>
      </c>
      <c r="GS23" t="s">
        <v>780</v>
      </c>
      <c r="GY23" t="s">
        <v>780</v>
      </c>
      <c r="HA23" t="s">
        <v>780</v>
      </c>
      <c r="HP23" t="s">
        <v>780</v>
      </c>
      <c r="HS23" t="s">
        <v>780</v>
      </c>
      <c r="HX23" t="s">
        <v>780</v>
      </c>
      <c r="HY23" t="s">
        <v>780</v>
      </c>
      <c r="IB23" t="s">
        <v>780</v>
      </c>
      <c r="IC23" t="s">
        <v>780</v>
      </c>
      <c r="IE23" t="s">
        <v>780</v>
      </c>
      <c r="IF23" t="s">
        <v>780</v>
      </c>
      <c r="IG23" t="s">
        <v>780</v>
      </c>
      <c r="IH23" t="s">
        <v>780</v>
      </c>
      <c r="II23" t="s">
        <v>780</v>
      </c>
    </row>
    <row r="24" spans="2:258" ht="130.5" x14ac:dyDescent="0.35">
      <c r="B24" s="1" t="s">
        <v>861</v>
      </c>
      <c r="C24" s="1" t="s">
        <v>53</v>
      </c>
      <c r="D24" s="1" t="s">
        <v>887</v>
      </c>
      <c r="E24" t="s">
        <v>780</v>
      </c>
      <c r="F24" t="s">
        <v>780</v>
      </c>
      <c r="G24" t="s">
        <v>780</v>
      </c>
      <c r="H24" t="s">
        <v>780</v>
      </c>
      <c r="I24" t="s">
        <v>780</v>
      </c>
      <c r="J24" t="s">
        <v>780</v>
      </c>
      <c r="K24" t="s">
        <v>780</v>
      </c>
      <c r="Y24" t="s">
        <v>780</v>
      </c>
      <c r="Z24" t="s">
        <v>780</v>
      </c>
      <c r="AA24" t="s">
        <v>780</v>
      </c>
      <c r="AE24" t="s">
        <v>780</v>
      </c>
      <c r="FJ24" t="s">
        <v>780</v>
      </c>
      <c r="FK24" t="s">
        <v>780</v>
      </c>
      <c r="FL24" t="s">
        <v>780</v>
      </c>
      <c r="FM24" t="s">
        <v>780</v>
      </c>
      <c r="FO24" t="s">
        <v>780</v>
      </c>
      <c r="FQ24" t="s">
        <v>780</v>
      </c>
      <c r="FS24" t="s">
        <v>780</v>
      </c>
      <c r="FT24" t="s">
        <v>780</v>
      </c>
      <c r="GI24" t="s">
        <v>780</v>
      </c>
      <c r="GM24" t="s">
        <v>780</v>
      </c>
      <c r="GN24" t="s">
        <v>780</v>
      </c>
      <c r="GO24" t="s">
        <v>780</v>
      </c>
      <c r="GP24" t="s">
        <v>780</v>
      </c>
      <c r="GQ24" t="s">
        <v>780</v>
      </c>
      <c r="GR24" t="s">
        <v>780</v>
      </c>
      <c r="GS24" t="s">
        <v>780</v>
      </c>
      <c r="GY24" t="s">
        <v>780</v>
      </c>
      <c r="HA24" t="s">
        <v>780</v>
      </c>
      <c r="HP24" t="s">
        <v>780</v>
      </c>
      <c r="HX24" t="s">
        <v>780</v>
      </c>
      <c r="HZ24" t="s">
        <v>780</v>
      </c>
      <c r="IA24" t="s">
        <v>780</v>
      </c>
      <c r="IC24" t="s">
        <v>780</v>
      </c>
      <c r="ID24" t="s">
        <v>780</v>
      </c>
    </row>
    <row r="25" spans="2:258" ht="130.5" x14ac:dyDescent="0.35">
      <c r="B25" s="1" t="s">
        <v>861</v>
      </c>
      <c r="C25" s="1" t="s">
        <v>53</v>
      </c>
      <c r="D25" s="1" t="s">
        <v>882</v>
      </c>
      <c r="E25" t="s">
        <v>780</v>
      </c>
      <c r="F25" t="s">
        <v>780</v>
      </c>
      <c r="G25" t="s">
        <v>780</v>
      </c>
      <c r="H25" t="s">
        <v>780</v>
      </c>
      <c r="I25" t="s">
        <v>780</v>
      </c>
      <c r="AD25" t="s">
        <v>780</v>
      </c>
      <c r="AE25" t="s">
        <v>780</v>
      </c>
      <c r="BN25" t="s">
        <v>780</v>
      </c>
      <c r="FJ25" t="s">
        <v>780</v>
      </c>
      <c r="FK25" t="s">
        <v>780</v>
      </c>
      <c r="FN25" t="s">
        <v>780</v>
      </c>
      <c r="FO25" t="s">
        <v>780</v>
      </c>
      <c r="FQ25" t="s">
        <v>780</v>
      </c>
      <c r="FU25" t="s">
        <v>780</v>
      </c>
      <c r="FV25" t="s">
        <v>780</v>
      </c>
      <c r="GE25" t="s">
        <v>780</v>
      </c>
      <c r="GF25" t="s">
        <v>780</v>
      </c>
      <c r="GG25" t="s">
        <v>780</v>
      </c>
      <c r="GH25" t="s">
        <v>780</v>
      </c>
      <c r="GI25" t="s">
        <v>780</v>
      </c>
      <c r="GJ25" t="s">
        <v>780</v>
      </c>
      <c r="GK25" t="s">
        <v>780</v>
      </c>
      <c r="GM25" t="s">
        <v>780</v>
      </c>
      <c r="GN25" t="s">
        <v>780</v>
      </c>
      <c r="GO25" t="s">
        <v>780</v>
      </c>
      <c r="GP25" t="s">
        <v>780</v>
      </c>
      <c r="GQ25" t="s">
        <v>780</v>
      </c>
      <c r="GR25" t="s">
        <v>780</v>
      </c>
      <c r="GS25" t="s">
        <v>780</v>
      </c>
      <c r="GY25" t="s">
        <v>780</v>
      </c>
      <c r="HA25" t="s">
        <v>780</v>
      </c>
      <c r="HP25" t="s">
        <v>780</v>
      </c>
      <c r="HQ25" t="s">
        <v>780</v>
      </c>
      <c r="HS25" t="s">
        <v>780</v>
      </c>
      <c r="HW25" t="s">
        <v>780</v>
      </c>
      <c r="HX25" t="s">
        <v>780</v>
      </c>
      <c r="HY25" t="s">
        <v>780</v>
      </c>
      <c r="IB25" t="s">
        <v>780</v>
      </c>
      <c r="IC25" t="s">
        <v>780</v>
      </c>
      <c r="IE25" t="s">
        <v>780</v>
      </c>
      <c r="IF25" t="s">
        <v>780</v>
      </c>
      <c r="IG25" t="s">
        <v>780</v>
      </c>
      <c r="IH25" t="s">
        <v>780</v>
      </c>
      <c r="II25" t="s">
        <v>780</v>
      </c>
      <c r="IJ25" t="s">
        <v>780</v>
      </c>
      <c r="IK25" t="s">
        <v>780</v>
      </c>
      <c r="IL25" t="s">
        <v>780</v>
      </c>
      <c r="IM25" t="s">
        <v>780</v>
      </c>
    </row>
    <row r="26" spans="2:258" ht="130.5" x14ac:dyDescent="0.35">
      <c r="B26" s="1" t="s">
        <v>861</v>
      </c>
      <c r="C26" s="1" t="s">
        <v>53</v>
      </c>
      <c r="D26" s="1" t="s">
        <v>882</v>
      </c>
      <c r="E26" t="s">
        <v>780</v>
      </c>
      <c r="F26" t="s">
        <v>780</v>
      </c>
      <c r="G26" t="s">
        <v>780</v>
      </c>
      <c r="H26" t="s">
        <v>780</v>
      </c>
      <c r="I26" t="s">
        <v>780</v>
      </c>
      <c r="AD26" t="s">
        <v>780</v>
      </c>
      <c r="AE26" t="s">
        <v>780</v>
      </c>
      <c r="BO26" t="s">
        <v>780</v>
      </c>
      <c r="FJ26" t="s">
        <v>780</v>
      </c>
      <c r="FK26" t="s">
        <v>780</v>
      </c>
      <c r="FN26" t="s">
        <v>780</v>
      </c>
      <c r="FO26" t="s">
        <v>780</v>
      </c>
      <c r="FQ26" t="s">
        <v>780</v>
      </c>
      <c r="FU26" t="s">
        <v>780</v>
      </c>
      <c r="FV26" t="s">
        <v>780</v>
      </c>
      <c r="GE26" t="s">
        <v>780</v>
      </c>
      <c r="GF26" t="s">
        <v>780</v>
      </c>
      <c r="GG26" t="s">
        <v>780</v>
      </c>
      <c r="GH26" t="s">
        <v>780</v>
      </c>
      <c r="GI26" t="s">
        <v>780</v>
      </c>
      <c r="GJ26" t="s">
        <v>780</v>
      </c>
      <c r="GK26" t="s">
        <v>780</v>
      </c>
      <c r="GM26" t="s">
        <v>780</v>
      </c>
      <c r="GN26" t="s">
        <v>780</v>
      </c>
      <c r="GO26" t="s">
        <v>780</v>
      </c>
      <c r="GP26" t="s">
        <v>780</v>
      </c>
      <c r="GQ26" t="s">
        <v>780</v>
      </c>
      <c r="GR26" t="s">
        <v>780</v>
      </c>
      <c r="GS26" t="s">
        <v>780</v>
      </c>
      <c r="GY26" t="s">
        <v>780</v>
      </c>
      <c r="HA26" t="s">
        <v>780</v>
      </c>
      <c r="HP26" t="s">
        <v>780</v>
      </c>
      <c r="HQ26" t="s">
        <v>780</v>
      </c>
      <c r="HS26" t="s">
        <v>780</v>
      </c>
      <c r="HW26" t="s">
        <v>780</v>
      </c>
      <c r="HX26" t="s">
        <v>780</v>
      </c>
      <c r="HY26" t="s">
        <v>780</v>
      </c>
      <c r="IB26" t="s">
        <v>780</v>
      </c>
      <c r="IC26" t="s">
        <v>780</v>
      </c>
      <c r="IE26" t="s">
        <v>780</v>
      </c>
      <c r="IF26" t="s">
        <v>780</v>
      </c>
      <c r="IG26" t="s">
        <v>780</v>
      </c>
      <c r="IH26" t="s">
        <v>780</v>
      </c>
      <c r="II26" t="s">
        <v>780</v>
      </c>
      <c r="IJ26" t="s">
        <v>780</v>
      </c>
      <c r="IK26" t="s">
        <v>780</v>
      </c>
      <c r="IL26" t="s">
        <v>780</v>
      </c>
      <c r="IM26" t="s">
        <v>780</v>
      </c>
      <c r="IX26">
        <f t="shared" ref="IX26:IX32" si="0">SUM(E26:IW26)</f>
        <v>0</v>
      </c>
    </row>
    <row r="27" spans="2:258" ht="130.5" x14ac:dyDescent="0.35">
      <c r="B27" s="1" t="s">
        <v>861</v>
      </c>
      <c r="C27" s="1" t="s">
        <v>53</v>
      </c>
      <c r="D27" s="1" t="s">
        <v>887</v>
      </c>
      <c r="E27" t="s">
        <v>780</v>
      </c>
      <c r="F27" t="s">
        <v>780</v>
      </c>
      <c r="G27" t="s">
        <v>780</v>
      </c>
      <c r="H27" t="s">
        <v>780</v>
      </c>
      <c r="I27" t="s">
        <v>780</v>
      </c>
      <c r="AE27" t="s">
        <v>780</v>
      </c>
      <c r="AL27" t="s">
        <v>780</v>
      </c>
      <c r="BO27" t="s">
        <v>780</v>
      </c>
      <c r="FJ27" t="s">
        <v>780</v>
      </c>
      <c r="FK27" t="s">
        <v>780</v>
      </c>
      <c r="FM27" t="s">
        <v>780</v>
      </c>
      <c r="FO27" t="s">
        <v>780</v>
      </c>
      <c r="FP27" t="s">
        <v>780</v>
      </c>
      <c r="FQ27" t="s">
        <v>780</v>
      </c>
      <c r="FU27" t="s">
        <v>780</v>
      </c>
      <c r="FV27" t="s">
        <v>780</v>
      </c>
      <c r="GI27" t="s">
        <v>780</v>
      </c>
      <c r="GM27" t="s">
        <v>780</v>
      </c>
      <c r="GN27" t="s">
        <v>780</v>
      </c>
      <c r="GO27" t="s">
        <v>780</v>
      </c>
      <c r="GP27" t="s">
        <v>780</v>
      </c>
      <c r="GQ27" t="s">
        <v>780</v>
      </c>
      <c r="GR27" t="s">
        <v>780</v>
      </c>
      <c r="GS27" t="s">
        <v>780</v>
      </c>
      <c r="GZ27" t="s">
        <v>780</v>
      </c>
      <c r="HA27" t="s">
        <v>780</v>
      </c>
      <c r="HP27" t="s">
        <v>780</v>
      </c>
      <c r="HX27" t="s">
        <v>780</v>
      </c>
      <c r="HZ27" t="s">
        <v>780</v>
      </c>
      <c r="IA27" t="s">
        <v>780</v>
      </c>
      <c r="IC27" t="s">
        <v>780</v>
      </c>
      <c r="ID27" t="s">
        <v>780</v>
      </c>
      <c r="IX27">
        <f t="shared" si="0"/>
        <v>0</v>
      </c>
    </row>
    <row r="28" spans="2:258" ht="145" x14ac:dyDescent="0.35">
      <c r="B28" s="1" t="s">
        <v>861</v>
      </c>
      <c r="C28" s="1" t="s">
        <v>53</v>
      </c>
      <c r="D28" s="1" t="s">
        <v>1548</v>
      </c>
      <c r="E28" t="s">
        <v>780</v>
      </c>
      <c r="F28" t="s">
        <v>780</v>
      </c>
      <c r="G28" t="s">
        <v>780</v>
      </c>
      <c r="H28" t="s">
        <v>780</v>
      </c>
      <c r="I28" t="s">
        <v>780</v>
      </c>
      <c r="J28" t="s">
        <v>780</v>
      </c>
      <c r="K28" t="s">
        <v>780</v>
      </c>
      <c r="Q28" t="s">
        <v>780</v>
      </c>
      <c r="R28" t="s">
        <v>780</v>
      </c>
      <c r="AD28" t="s">
        <v>780</v>
      </c>
      <c r="AE28" t="s">
        <v>780</v>
      </c>
      <c r="AF28" t="s">
        <v>780</v>
      </c>
      <c r="FJ28" t="s">
        <v>780</v>
      </c>
      <c r="FK28" t="s">
        <v>780</v>
      </c>
      <c r="FN28" t="s">
        <v>780</v>
      </c>
      <c r="FO28" t="s">
        <v>780</v>
      </c>
      <c r="FQ28" t="s">
        <v>780</v>
      </c>
      <c r="FS28" t="s">
        <v>780</v>
      </c>
      <c r="GE28" t="s">
        <v>780</v>
      </c>
      <c r="GF28" t="s">
        <v>780</v>
      </c>
      <c r="GG28" t="s">
        <v>780</v>
      </c>
      <c r="GH28" t="s">
        <v>780</v>
      </c>
      <c r="GI28" t="s">
        <v>780</v>
      </c>
      <c r="GJ28" t="s">
        <v>780</v>
      </c>
      <c r="GK28" t="s">
        <v>780</v>
      </c>
      <c r="GM28" t="s">
        <v>780</v>
      </c>
      <c r="GN28" t="s">
        <v>780</v>
      </c>
      <c r="GO28" t="s">
        <v>780</v>
      </c>
      <c r="GP28" t="s">
        <v>780</v>
      </c>
      <c r="GQ28" t="s">
        <v>780</v>
      </c>
      <c r="GR28" t="s">
        <v>780</v>
      </c>
      <c r="GS28" t="s">
        <v>780</v>
      </c>
      <c r="GY28" t="s">
        <v>780</v>
      </c>
      <c r="HA28" t="s">
        <v>780</v>
      </c>
      <c r="HP28" t="s">
        <v>780</v>
      </c>
      <c r="HS28" t="s">
        <v>780</v>
      </c>
      <c r="HX28" t="s">
        <v>780</v>
      </c>
      <c r="HY28" t="s">
        <v>780</v>
      </c>
      <c r="IB28" t="s">
        <v>780</v>
      </c>
      <c r="IC28" t="s">
        <v>780</v>
      </c>
      <c r="IE28" t="s">
        <v>780</v>
      </c>
      <c r="IF28" t="s">
        <v>780</v>
      </c>
      <c r="IG28" t="s">
        <v>780</v>
      </c>
      <c r="IH28" t="s">
        <v>780</v>
      </c>
      <c r="II28" t="s">
        <v>780</v>
      </c>
      <c r="IJ28" t="s">
        <v>780</v>
      </c>
      <c r="IK28" t="s">
        <v>780</v>
      </c>
      <c r="IL28" t="s">
        <v>780</v>
      </c>
      <c r="IM28" t="s">
        <v>780</v>
      </c>
      <c r="IX28">
        <f t="shared" si="0"/>
        <v>0</v>
      </c>
    </row>
    <row r="29" spans="2:258" ht="145" x14ac:dyDescent="0.35">
      <c r="B29" s="1" t="s">
        <v>861</v>
      </c>
      <c r="C29" s="1" t="s">
        <v>53</v>
      </c>
      <c r="D29" s="1" t="s">
        <v>889</v>
      </c>
      <c r="E29">
        <f>IF(ISERROR(HLOOKUP(E1,[3]lad01_1314_1516!$A$1:$AW$1,1,FALSE)),0,1)</f>
        <v>1</v>
      </c>
      <c r="F29">
        <f>IF(ISERROR(HLOOKUP(F1,[3]lad01_1314_1516!$A$1:$AW$1,1,FALSE)),0,1)</f>
        <v>1</v>
      </c>
      <c r="G29">
        <f>IF(ISERROR(HLOOKUP(G1,[3]lad01_1314_1516!$A$1:$AW$1,1,FALSE)),0,1)</f>
        <v>1</v>
      </c>
      <c r="H29">
        <f>IF(ISERROR(HLOOKUP(H1,[3]lad01_1314_1516!$A$1:$AW$1,1,FALSE)),0,1)</f>
        <v>1</v>
      </c>
      <c r="I29">
        <f>IF(ISERROR(HLOOKUP(I1,[3]lad01_1314_1516!$A$1:$AW$1,1,FALSE)),0,1)</f>
        <v>1</v>
      </c>
      <c r="J29">
        <f>IF(ISERROR(HLOOKUP(J1,[3]lad01_1314_1516!$A$1:$AW$1,1,FALSE)),0,1)</f>
        <v>1</v>
      </c>
      <c r="K29">
        <f>IF(ISERROR(HLOOKUP(K1,[3]lad01_1314_1516!$A$1:$AW$1,1,FALSE)),0,1)</f>
        <v>1</v>
      </c>
      <c r="L29">
        <f>IF(ISERROR(HLOOKUP(L1,[3]lad01_1314_1516!$A$1:$AW$1,1,FALSE)),0,1)</f>
        <v>0</v>
      </c>
      <c r="M29">
        <f>IF(ISERROR(HLOOKUP(M1,[3]lad01_1314_1516!$A$1:$AW$1,1,FALSE)),0,1)</f>
        <v>0</v>
      </c>
      <c r="N29">
        <f>IF(ISERROR(HLOOKUP(N1,[3]lad01_1314_1516!$A$1:$AW$1,1,FALSE)),0,1)</f>
        <v>0</v>
      </c>
      <c r="O29">
        <f>IF(ISERROR(HLOOKUP(O1,[3]lad01_1314_1516!$A$1:$AW$1,1,FALSE)),0,1)</f>
        <v>0</v>
      </c>
      <c r="P29">
        <f>IF(ISERROR(HLOOKUP(P1,[3]lad01_1314_1516!$A$1:$AW$1,1,FALSE)),0,1)</f>
        <v>0</v>
      </c>
      <c r="Q29">
        <f>IF(ISERROR(HLOOKUP(Q1,[3]lad01_1314_1516!$A$1:$AW$1,1,FALSE)),0,1)</f>
        <v>1</v>
      </c>
      <c r="R29">
        <f>IF(ISERROR(HLOOKUP(R1,[3]lad01_1314_1516!$A$1:$AW$1,1,FALSE)),0,1)</f>
        <v>1</v>
      </c>
      <c r="U29">
        <f>IF(ISERROR(HLOOKUP(U1,[3]lad01_1314_1516!$A$1:$AW$1,1,FALSE)),0,1)</f>
        <v>0</v>
      </c>
      <c r="V29">
        <f>IF(ISERROR(HLOOKUP(V1,[3]lad01_1314_1516!$A$1:$AW$1,1,FALSE)),0,1)</f>
        <v>0</v>
      </c>
      <c r="Y29">
        <f>IF(ISERROR(HLOOKUP(Y1,[3]lad01_1314_1516!$A$1:$AW$1,1,FALSE)),0,1)</f>
        <v>0</v>
      </c>
      <c r="Z29">
        <f>IF(ISERROR(HLOOKUP(Z1,[3]lad01_1314_1516!$A$1:$AW$1,1,FALSE)),0,1)</f>
        <v>0</v>
      </c>
      <c r="AA29">
        <f>IF(ISERROR(HLOOKUP(AA1,[3]lad01_1314_1516!$A$1:$AW$1,1,FALSE)),0,1)</f>
        <v>0</v>
      </c>
      <c r="AB29">
        <f>IF(ISERROR(HLOOKUP(AB1,[3]lad01_1314_1516!$A$1:$AW$1,1,FALSE)),0,1)</f>
        <v>0</v>
      </c>
      <c r="AC29">
        <f>IF(ISERROR(HLOOKUP(AC1,[3]lad01_1314_1516!$A$1:$AW$1,1,FALSE)),0,1)</f>
        <v>0</v>
      </c>
      <c r="AD29">
        <f>IF(ISERROR(HLOOKUP(AD1,[3]lad01_1314_1516!$A$1:$AW$1,1,FALSE)),0,1)</f>
        <v>1</v>
      </c>
      <c r="AE29">
        <f>IF(ISERROR(HLOOKUP(AE1,[3]lad01_1314_1516!$A$1:$AW$1,1,FALSE)),0,1)</f>
        <v>1</v>
      </c>
      <c r="AF29">
        <f>IF(ISERROR(HLOOKUP(AF1,[3]lad01_1314_1516!$A$1:$AW$1,1,FALSE)),0,1)</f>
        <v>0</v>
      </c>
      <c r="AG29">
        <f>IF(ISERROR(HLOOKUP(AG1,[3]lad01_1314_1516!$A$1:$AW$1,1,FALSE)),0,1)</f>
        <v>0</v>
      </c>
      <c r="AH29">
        <f>IF(ISERROR(HLOOKUP(AH1,[3]lad01_1314_1516!$A$1:$AW$1,1,FALSE)),0,1)</f>
        <v>0</v>
      </c>
      <c r="AI29">
        <f>IF(ISERROR(HLOOKUP(AI1,[3]lad01_1314_1516!$A$1:$AW$1,1,FALSE)),0,1)</f>
        <v>0</v>
      </c>
      <c r="AJ29">
        <f>IF(ISERROR(HLOOKUP(AJ1,[3]lad01_1314_1516!$A$1:$AW$1,1,FALSE)),0,1)</f>
        <v>0</v>
      </c>
      <c r="AK29">
        <f>IF(ISERROR(HLOOKUP(AK1,[3]lad01_1314_1516!$A$1:$AW$1,1,FALSE)),0,1)</f>
        <v>0</v>
      </c>
      <c r="AL29">
        <f>IF(ISERROR(HLOOKUP(AL1,[3]lad01_1314_1516!$A$1:$AW$1,1,FALSE)),0,1)</f>
        <v>0</v>
      </c>
      <c r="AM29">
        <f>IF(ISERROR(HLOOKUP(AM1,[3]lad01_1314_1516!$A$1:$AW$1,1,FALSE)),0,1)</f>
        <v>0</v>
      </c>
      <c r="AN29">
        <f>IF(ISERROR(HLOOKUP(AN1,[3]lad01_1314_1516!$A$1:$AW$1,1,FALSE)),0,1)</f>
        <v>0</v>
      </c>
      <c r="AO29">
        <f>IF(ISERROR(HLOOKUP(AO1,[3]lad01_1314_1516!$A$1:$AW$1,1,FALSE)),0,1)</f>
        <v>0</v>
      </c>
      <c r="AP29">
        <f>IF(ISERROR(HLOOKUP(AP1,[3]lad01_1314_1516!$A$1:$AW$1,1,FALSE)),0,1)</f>
        <v>0</v>
      </c>
      <c r="AQ29">
        <f>IF(ISERROR(HLOOKUP(AQ1,[3]lad01_1314_1516!$A$1:$AW$1,1,FALSE)),0,1)</f>
        <v>0</v>
      </c>
      <c r="AR29">
        <f>IF(ISERROR(HLOOKUP(AR1,[3]lad01_1314_1516!$A$1:$AW$1,1,FALSE)),0,1)</f>
        <v>0</v>
      </c>
      <c r="AS29">
        <f>IF(ISERROR(HLOOKUP(AS1,[3]lad01_1314_1516!$A$1:$AW$1,1,FALSE)),0,1)</f>
        <v>0</v>
      </c>
      <c r="AT29">
        <f>IF(ISERROR(HLOOKUP(AT1,[3]lad01_1314_1516!$A$1:$AW$1,1,FALSE)),0,1)</f>
        <v>0</v>
      </c>
      <c r="AU29">
        <f>IF(ISERROR(HLOOKUP(AU1,[3]lad01_1314_1516!$A$1:$AW$1,1,FALSE)),0,1)</f>
        <v>0</v>
      </c>
      <c r="AV29">
        <f>IF(ISERROR(HLOOKUP(AV1,[3]lad01_1314_1516!$A$1:$AW$1,1,FALSE)),0,1)</f>
        <v>0</v>
      </c>
      <c r="AW29">
        <f>IF(ISERROR(HLOOKUP(AW1,[3]lad01_1314_1516!$A$1:$AW$1,1,FALSE)),0,1)</f>
        <v>0</v>
      </c>
      <c r="AX29">
        <f>IF(ISERROR(HLOOKUP(AX1,[3]lad01_1314_1516!$A$1:$AW$1,1,FALSE)),0,1)</f>
        <v>0</v>
      </c>
      <c r="AY29">
        <f>IF(ISERROR(HLOOKUP(AY1,[3]lad01_1314_1516!$A$1:$AW$1,1,FALSE)),0,1)</f>
        <v>0</v>
      </c>
      <c r="AZ29">
        <f>IF(ISERROR(HLOOKUP(AZ1,[3]lad01_1314_1516!$A$1:$AW$1,1,FALSE)),0,1)</f>
        <v>0</v>
      </c>
      <c r="BA29">
        <f>IF(ISERROR(HLOOKUP(BA1,[3]lad01_1314_1516!$A$1:$AW$1,1,FALSE)),0,1)</f>
        <v>0</v>
      </c>
      <c r="BB29">
        <f>IF(ISERROR(HLOOKUP(BB1,[3]lad01_1314_1516!$A$1:$AW$1,1,FALSE)),0,1)</f>
        <v>0</v>
      </c>
      <c r="BC29">
        <f>IF(ISERROR(HLOOKUP(BC1,[3]lad01_1314_1516!$A$1:$AW$1,1,FALSE)),0,1)</f>
        <v>0</v>
      </c>
      <c r="BD29">
        <f>IF(ISERROR(HLOOKUP(BD1,[3]lad01_1314_1516!$A$1:$AW$1,1,FALSE)),0,1)</f>
        <v>0</v>
      </c>
      <c r="BE29">
        <f>IF(ISERROR(HLOOKUP(BE1,[3]lad01_1314_1516!$A$1:$AW$1,1,FALSE)),0,1)</f>
        <v>0</v>
      </c>
      <c r="BF29">
        <f>IF(ISERROR(HLOOKUP(BF1,[3]lad01_1314_1516!$A$1:$AW$1,1,FALSE)),0,1)</f>
        <v>0</v>
      </c>
      <c r="BG29">
        <f>IF(ISERROR(HLOOKUP(BG1,[3]lad01_1314_1516!$A$1:$AW$1,1,FALSE)),0,1)</f>
        <v>0</v>
      </c>
      <c r="BH29">
        <f>IF(ISERROR(HLOOKUP(BH1,[3]lad01_1314_1516!$A$1:$AW$1,1,FALSE)),0,1)</f>
        <v>0</v>
      </c>
      <c r="BI29">
        <f>IF(ISERROR(HLOOKUP(BI1,[3]lad01_1314_1516!$A$1:$AW$1,1,FALSE)),0,1)</f>
        <v>0</v>
      </c>
      <c r="BJ29">
        <f>IF(ISERROR(HLOOKUP(BJ1,[3]lad01_1314_1516!$A$1:$AW$1,1,FALSE)),0,1)</f>
        <v>0</v>
      </c>
      <c r="BK29">
        <f>IF(ISERROR(HLOOKUP(BK1,[3]lad01_1314_1516!$A$1:$AW$1,1,FALSE)),0,1)</f>
        <v>0</v>
      </c>
      <c r="BL29">
        <f>IF(ISERROR(HLOOKUP(BL1,[3]lad01_1314_1516!$A$1:$AW$1,1,FALSE)),0,1)</f>
        <v>0</v>
      </c>
      <c r="BM29">
        <f>IF(ISERROR(HLOOKUP(BM1,[3]lad01_1314_1516!$A$1:$AW$1,1,FALSE)),0,1)</f>
        <v>0</v>
      </c>
      <c r="BN29">
        <f>IF(ISERROR(HLOOKUP(BN1,[3]lad01_1314_1516!$A$1:$AW$1,1,FALSE)),0,1)</f>
        <v>0</v>
      </c>
      <c r="BO29">
        <f>IF(ISERROR(HLOOKUP(BO1,[3]lad01_1314_1516!$A$1:$AW$1,1,FALSE)),0,1)</f>
        <v>0</v>
      </c>
      <c r="BP29">
        <f>IF(ISERROR(HLOOKUP(BP1,[3]lad01_1314_1516!$A$1:$AW$1,1,FALSE)),0,1)</f>
        <v>0</v>
      </c>
      <c r="BQ29">
        <f>IF(ISERROR(HLOOKUP(BQ1,[3]lad01_1314_1516!$A$1:$AW$1,1,FALSE)),0,1)</f>
        <v>0</v>
      </c>
      <c r="BR29">
        <f>IF(ISERROR(HLOOKUP(BR1,[3]lad01_1314_1516!$A$1:$AW$1,1,FALSE)),0,1)</f>
        <v>0</v>
      </c>
      <c r="BS29">
        <f>IF(ISERROR(HLOOKUP(BS1,[3]lad01_1314_1516!$A$1:$AW$1,1,FALSE)),0,1)</f>
        <v>0</v>
      </c>
      <c r="BT29">
        <f>IF(ISERROR(HLOOKUP(BT1,[3]lad01_1314_1516!$A$1:$AW$1,1,FALSE)),0,1)</f>
        <v>0</v>
      </c>
      <c r="BU29">
        <f>IF(ISERROR(HLOOKUP(BU1,[3]lad01_1314_1516!$A$1:$AW$1,1,FALSE)),0,1)</f>
        <v>0</v>
      </c>
      <c r="BV29">
        <f>IF(ISERROR(HLOOKUP(BV1,[3]lad01_1314_1516!$A$1:$AW$1,1,FALSE)),0,1)</f>
        <v>0</v>
      </c>
      <c r="BW29">
        <f>IF(ISERROR(HLOOKUP(BW1,[3]lad01_1314_1516!$A$1:$AW$1,1,FALSE)),0,1)</f>
        <v>0</v>
      </c>
      <c r="BX29">
        <f>IF(ISERROR(HLOOKUP(BX1,[3]lad01_1314_1516!$A$1:$AW$1,1,FALSE)),0,1)</f>
        <v>0</v>
      </c>
      <c r="BY29">
        <f>IF(ISERROR(HLOOKUP(BY1,[3]lad01_1314_1516!$A$1:$AW$1,1,FALSE)),0,1)</f>
        <v>0</v>
      </c>
      <c r="BZ29">
        <f>IF(ISERROR(HLOOKUP(BZ1,[3]lad01_1314_1516!$A$1:$AW$1,1,FALSE)),0,1)</f>
        <v>0</v>
      </c>
      <c r="CA29">
        <f>IF(ISERROR(HLOOKUP(CA1,[3]lad01_1314_1516!$A$1:$AW$1,1,FALSE)),0,1)</f>
        <v>0</v>
      </c>
      <c r="CB29">
        <f>IF(ISERROR(HLOOKUP(CB1,[3]lad01_1314_1516!$A$1:$AW$1,1,FALSE)),0,1)</f>
        <v>0</v>
      </c>
      <c r="CC29">
        <f>IF(ISERROR(HLOOKUP(CC1,[3]lad01_1314_1516!$A$1:$AW$1,1,FALSE)),0,1)</f>
        <v>0</v>
      </c>
      <c r="CD29">
        <f>IF(ISERROR(HLOOKUP(CD1,[3]lad01_1314_1516!$A$1:$AW$1,1,FALSE)),0,1)</f>
        <v>0</v>
      </c>
      <c r="CE29">
        <f>IF(ISERROR(HLOOKUP(CE1,[3]lad01_1314_1516!$A$1:$AW$1,1,FALSE)),0,1)</f>
        <v>0</v>
      </c>
      <c r="CF29">
        <f>IF(ISERROR(HLOOKUP(CF1,[3]lad01_1314_1516!$A$1:$AW$1,1,FALSE)),0,1)</f>
        <v>0</v>
      </c>
      <c r="CG29">
        <f>IF(ISERROR(HLOOKUP(CG1,[3]lad01_1314_1516!$A$1:$AW$1,1,FALSE)),0,1)</f>
        <v>0</v>
      </c>
      <c r="CH29">
        <f>IF(ISERROR(HLOOKUP(CH1,[3]lad01_1314_1516!$A$1:$AW$1,1,FALSE)),0,1)</f>
        <v>0</v>
      </c>
      <c r="CI29">
        <f>IF(ISERROR(HLOOKUP(CI1,[3]lad01_1314_1516!$A$1:$AW$1,1,FALSE)),0,1)</f>
        <v>0</v>
      </c>
      <c r="CJ29">
        <f>IF(ISERROR(HLOOKUP(CJ1,[3]lad01_1314_1516!$A$1:$AW$1,1,FALSE)),0,1)</f>
        <v>0</v>
      </c>
      <c r="CK29">
        <f>IF(ISERROR(HLOOKUP(CK1,[3]lad01_1314_1516!$A$1:$AW$1,1,FALSE)),0,1)</f>
        <v>0</v>
      </c>
      <c r="CL29">
        <f>IF(ISERROR(HLOOKUP(CL1,[3]lad01_1314_1516!$A$1:$AW$1,1,FALSE)),0,1)</f>
        <v>0</v>
      </c>
      <c r="CM29">
        <f>IF(ISERROR(HLOOKUP(CM1,[3]lad01_1314_1516!$A$1:$AW$1,1,FALSE)),0,1)</f>
        <v>0</v>
      </c>
      <c r="CN29">
        <f>IF(ISERROR(HLOOKUP(CN1,[3]lad01_1314_1516!$A$1:$AW$1,1,FALSE)),0,1)</f>
        <v>0</v>
      </c>
      <c r="CO29">
        <f>IF(ISERROR(HLOOKUP(CO1,[3]lad01_1314_1516!$A$1:$AW$1,1,FALSE)),0,1)</f>
        <v>0</v>
      </c>
      <c r="CP29">
        <f>IF(ISERROR(HLOOKUP(CP1,[3]lad01_1314_1516!$A$1:$AW$1,1,FALSE)),0,1)</f>
        <v>0</v>
      </c>
      <c r="CQ29">
        <f>IF(ISERROR(HLOOKUP(CQ1,[3]lad01_1314_1516!$A$1:$AW$1,1,FALSE)),0,1)</f>
        <v>0</v>
      </c>
      <c r="CR29">
        <f>IF(ISERROR(HLOOKUP(CR1,[3]lad01_1314_1516!$A$1:$AW$1,1,FALSE)),0,1)</f>
        <v>0</v>
      </c>
      <c r="CS29">
        <f>IF(ISERROR(HLOOKUP(CS1,[3]lad01_1314_1516!$A$1:$AW$1,1,FALSE)),0,1)</f>
        <v>0</v>
      </c>
      <c r="CT29">
        <f>IF(ISERROR(HLOOKUP(CT1,[3]lad01_1314_1516!$A$1:$AW$1,1,FALSE)),0,1)</f>
        <v>0</v>
      </c>
      <c r="CU29">
        <f>IF(ISERROR(HLOOKUP(CU1,[3]lad01_1314_1516!$A$1:$AW$1,1,FALSE)),0,1)</f>
        <v>0</v>
      </c>
      <c r="CV29">
        <f>IF(ISERROR(HLOOKUP(CV1,[3]lad01_1314_1516!$A$1:$AW$1,1,FALSE)),0,1)</f>
        <v>0</v>
      </c>
      <c r="CW29">
        <f>IF(ISERROR(HLOOKUP(CW1,[3]lad01_1314_1516!$A$1:$AW$1,1,FALSE)),0,1)</f>
        <v>0</v>
      </c>
      <c r="CX29">
        <f>IF(ISERROR(HLOOKUP(CX1,[3]lad01_1314_1516!$A$1:$AW$1,1,FALSE)),0,1)</f>
        <v>0</v>
      </c>
      <c r="CY29">
        <f>IF(ISERROR(HLOOKUP(CY1,[3]lad01_1314_1516!$A$1:$AW$1,1,FALSE)),0,1)</f>
        <v>0</v>
      </c>
      <c r="CZ29">
        <f>IF(ISERROR(HLOOKUP(CZ1,[3]lad01_1314_1516!$A$1:$AW$1,1,FALSE)),0,1)</f>
        <v>0</v>
      </c>
      <c r="DA29">
        <f>IF(ISERROR(HLOOKUP(DA1,[3]lad01_1314_1516!$A$1:$AW$1,1,FALSE)),0,1)</f>
        <v>0</v>
      </c>
      <c r="DB29">
        <f>IF(ISERROR(HLOOKUP(DB1,[3]lad01_1314_1516!$A$1:$AW$1,1,FALSE)),0,1)</f>
        <v>0</v>
      </c>
      <c r="DC29">
        <f>IF(ISERROR(HLOOKUP(DC1,[3]lad01_1314_1516!$A$1:$AW$1,1,FALSE)),0,1)</f>
        <v>0</v>
      </c>
      <c r="DD29">
        <f>IF(ISERROR(HLOOKUP(DD1,[3]lad01_1314_1516!$A$1:$AW$1,1,FALSE)),0,1)</f>
        <v>0</v>
      </c>
      <c r="DE29">
        <f>IF(ISERROR(HLOOKUP(DE1,[3]lad01_1314_1516!$A$1:$AW$1,1,FALSE)),0,1)</f>
        <v>0</v>
      </c>
      <c r="DF29">
        <f>IF(ISERROR(HLOOKUP(DF1,[3]lad01_1314_1516!$A$1:$AW$1,1,FALSE)),0,1)</f>
        <v>0</v>
      </c>
      <c r="DG29">
        <f>IF(ISERROR(HLOOKUP(DG1,[3]lad01_1314_1516!$A$1:$AW$1,1,FALSE)),0,1)</f>
        <v>0</v>
      </c>
      <c r="DH29">
        <f>IF(ISERROR(HLOOKUP(DH1,[3]lad01_1314_1516!$A$1:$AW$1,1,FALSE)),0,1)</f>
        <v>0</v>
      </c>
      <c r="DI29">
        <f>IF(ISERROR(HLOOKUP(DI1,[3]lad01_1314_1516!$A$1:$AW$1,1,FALSE)),0,1)</f>
        <v>0</v>
      </c>
      <c r="DJ29">
        <f>IF(ISERROR(HLOOKUP(DJ1,[3]lad01_1314_1516!$A$1:$AW$1,1,FALSE)),0,1)</f>
        <v>0</v>
      </c>
      <c r="DK29">
        <f>IF(ISERROR(HLOOKUP(DK1,[3]lad01_1314_1516!$A$1:$AW$1,1,FALSE)),0,1)</f>
        <v>0</v>
      </c>
      <c r="DL29">
        <f>IF(ISERROR(HLOOKUP(DL1,[3]lad01_1314_1516!$A$1:$AW$1,1,FALSE)),0,1)</f>
        <v>0</v>
      </c>
      <c r="DM29">
        <f>IF(ISERROR(HLOOKUP(DM1,[3]lad01_1314_1516!$A$1:$AW$1,1,FALSE)),0,1)</f>
        <v>0</v>
      </c>
      <c r="DN29">
        <f>IF(ISERROR(HLOOKUP(DN1,[3]lad01_1314_1516!$A$1:$AW$1,1,FALSE)),0,1)</f>
        <v>0</v>
      </c>
      <c r="DO29">
        <f>IF(ISERROR(HLOOKUP(DO1,[3]lad01_1314_1516!$A$1:$AW$1,1,FALSE)),0,1)</f>
        <v>0</v>
      </c>
      <c r="DP29">
        <f>IF(ISERROR(HLOOKUP(DP1,[3]lad01_1314_1516!$A$1:$AW$1,1,FALSE)),0,1)</f>
        <v>0</v>
      </c>
      <c r="DQ29">
        <f>IF(ISERROR(HLOOKUP(DQ1,[3]lad01_1314_1516!$A$1:$AW$1,1,FALSE)),0,1)</f>
        <v>0</v>
      </c>
      <c r="DR29">
        <f>IF(ISERROR(HLOOKUP(DR1,[3]lad01_1314_1516!$A$1:$AW$1,1,FALSE)),0,1)</f>
        <v>0</v>
      </c>
      <c r="DS29">
        <f>IF(ISERROR(HLOOKUP(DS1,[3]lad01_1314_1516!$A$1:$AW$1,1,FALSE)),0,1)</f>
        <v>0</v>
      </c>
      <c r="DT29">
        <f>IF(ISERROR(HLOOKUP(DT1,[3]lad01_1314_1516!$A$1:$AW$1,1,FALSE)),0,1)</f>
        <v>0</v>
      </c>
      <c r="DU29">
        <f>IF(ISERROR(HLOOKUP(DU1,[3]lad01_1314_1516!$A$1:$AW$1,1,FALSE)),0,1)</f>
        <v>0</v>
      </c>
      <c r="DV29">
        <f>IF(ISERROR(HLOOKUP(DV1,[3]lad01_1314_1516!$A$1:$AW$1,1,FALSE)),0,1)</f>
        <v>0</v>
      </c>
      <c r="DW29">
        <f>IF(ISERROR(HLOOKUP(DW1,[3]lad01_1314_1516!$A$1:$AW$1,1,FALSE)),0,1)</f>
        <v>0</v>
      </c>
      <c r="DX29">
        <f>IF(ISERROR(HLOOKUP(DX1,[3]lad01_1314_1516!$A$1:$AW$1,1,FALSE)),0,1)</f>
        <v>0</v>
      </c>
      <c r="DY29">
        <f>IF(ISERROR(HLOOKUP(DY1,[3]lad01_1314_1516!$A$1:$AW$1,1,FALSE)),0,1)</f>
        <v>0</v>
      </c>
      <c r="DZ29">
        <f>IF(ISERROR(HLOOKUP(DZ1,[3]lad01_1314_1516!$A$1:$AW$1,1,FALSE)),0,1)</f>
        <v>0</v>
      </c>
      <c r="EA29">
        <f>IF(ISERROR(HLOOKUP(EA1,[3]lad01_1314_1516!$A$1:$AW$1,1,FALSE)),0,1)</f>
        <v>0</v>
      </c>
      <c r="EB29">
        <f>IF(ISERROR(HLOOKUP(EB1,[3]lad01_1314_1516!$A$1:$AW$1,1,FALSE)),0,1)</f>
        <v>0</v>
      </c>
      <c r="EC29">
        <f>IF(ISERROR(HLOOKUP(EC1,[3]lad01_1314_1516!$A$1:$AW$1,1,FALSE)),0,1)</f>
        <v>0</v>
      </c>
      <c r="ED29">
        <f>IF(ISERROR(HLOOKUP(ED1,[3]lad01_1314_1516!$A$1:$AW$1,1,FALSE)),0,1)</f>
        <v>0</v>
      </c>
      <c r="EE29">
        <f>IF(ISERROR(HLOOKUP(EE1,[3]lad01_1314_1516!$A$1:$AW$1,1,FALSE)),0,1)</f>
        <v>0</v>
      </c>
      <c r="EF29">
        <f>IF(ISERROR(HLOOKUP(EF1,[3]lad01_1314_1516!$A$1:$AW$1,1,FALSE)),0,1)</f>
        <v>0</v>
      </c>
      <c r="EG29">
        <f>IF(ISERROR(HLOOKUP(EG1,[3]lad01_1314_1516!$A$1:$AW$1,1,FALSE)),0,1)</f>
        <v>0</v>
      </c>
      <c r="EH29">
        <f>IF(ISERROR(HLOOKUP(EH1,[3]lad01_1314_1516!$A$1:$AW$1,1,FALSE)),0,1)</f>
        <v>0</v>
      </c>
      <c r="EI29">
        <f>IF(ISERROR(HLOOKUP(EI1,[3]lad01_1314_1516!$A$1:$AW$1,1,FALSE)),0,1)</f>
        <v>0</v>
      </c>
      <c r="EJ29">
        <f>IF(ISERROR(HLOOKUP(EJ1,[3]lad01_1314_1516!$A$1:$AW$1,1,FALSE)),0,1)</f>
        <v>0</v>
      </c>
      <c r="EK29">
        <f>IF(ISERROR(HLOOKUP(EK1,[3]lad01_1314_1516!$A$1:$AW$1,1,FALSE)),0,1)</f>
        <v>0</v>
      </c>
      <c r="EL29">
        <f>IF(ISERROR(HLOOKUP(EL1,[3]lad01_1314_1516!$A$1:$AW$1,1,FALSE)),0,1)</f>
        <v>0</v>
      </c>
      <c r="EM29">
        <f>IF(ISERROR(HLOOKUP(EM1,[3]lad01_1314_1516!$A$1:$AW$1,1,FALSE)),0,1)</f>
        <v>0</v>
      </c>
      <c r="EN29">
        <f>IF(ISERROR(HLOOKUP(EN1,[3]lad01_1314_1516!$A$1:$AW$1,1,FALSE)),0,1)</f>
        <v>0</v>
      </c>
      <c r="EO29">
        <f>IF(ISERROR(HLOOKUP(EO1,[3]lad01_1314_1516!$A$1:$AW$1,1,FALSE)),0,1)</f>
        <v>0</v>
      </c>
      <c r="EP29">
        <f>IF(ISERROR(HLOOKUP(EP1,[3]lad01_1314_1516!$A$1:$AW$1,1,FALSE)),0,1)</f>
        <v>0</v>
      </c>
      <c r="EQ29">
        <f>IF(ISERROR(HLOOKUP(EQ1,[3]lad01_1314_1516!$A$1:$AW$1,1,FALSE)),0,1)</f>
        <v>0</v>
      </c>
      <c r="ER29">
        <f>IF(ISERROR(HLOOKUP(ER1,[3]lad01_1314_1516!$A$1:$AW$1,1,FALSE)),0,1)</f>
        <v>0</v>
      </c>
      <c r="ES29">
        <f>IF(ISERROR(HLOOKUP(ES1,[3]lad01_1314_1516!$A$1:$AW$1,1,FALSE)),0,1)</f>
        <v>0</v>
      </c>
      <c r="ET29">
        <f>IF(ISERROR(HLOOKUP(ET1,[3]lad01_1314_1516!$A$1:$AW$1,1,FALSE)),0,1)</f>
        <v>0</v>
      </c>
      <c r="EU29">
        <f>IF(ISERROR(HLOOKUP(EU1,[3]lad01_1314_1516!$A$1:$AW$1,1,FALSE)),0,1)</f>
        <v>0</v>
      </c>
      <c r="EV29">
        <f>IF(ISERROR(HLOOKUP(EV1,[3]lad01_1314_1516!$A$1:$AW$1,1,FALSE)),0,1)</f>
        <v>0</v>
      </c>
      <c r="EW29">
        <f>IF(ISERROR(HLOOKUP(EW1,[3]lad01_1314_1516!$A$1:$AW$1,1,FALSE)),0,1)</f>
        <v>0</v>
      </c>
      <c r="EX29">
        <f>IF(ISERROR(HLOOKUP(EX1,[3]lad01_1314_1516!$A$1:$AW$1,1,FALSE)),0,1)</f>
        <v>0</v>
      </c>
      <c r="EY29">
        <f>IF(ISERROR(HLOOKUP(EY1,[3]lad01_1314_1516!$A$1:$AW$1,1,FALSE)),0,1)</f>
        <v>0</v>
      </c>
      <c r="EZ29">
        <f>IF(ISERROR(HLOOKUP(EZ1,[3]lad01_1314_1516!$A$1:$AW$1,1,FALSE)),0,1)</f>
        <v>0</v>
      </c>
      <c r="FA29">
        <f>IF(ISERROR(HLOOKUP(FA1,[3]lad01_1314_1516!$A$1:$AW$1,1,FALSE)),0,1)</f>
        <v>0</v>
      </c>
      <c r="FB29">
        <f>IF(ISERROR(HLOOKUP(FB1,[3]lad01_1314_1516!$A$1:$AW$1,1,FALSE)),0,1)</f>
        <v>0</v>
      </c>
      <c r="FC29">
        <f>IF(ISERROR(HLOOKUP(FC1,[3]lad01_1314_1516!$A$1:$AW$1,1,FALSE)),0,1)</f>
        <v>0</v>
      </c>
      <c r="FD29">
        <f>IF(ISERROR(HLOOKUP(FD1,[3]lad01_1314_1516!$A$1:$AW$1,1,FALSE)),0,1)</f>
        <v>0</v>
      </c>
      <c r="FE29">
        <f>IF(ISERROR(HLOOKUP(FE1,[3]lad01_1314_1516!$A$1:$AW$1,1,FALSE)),0,1)</f>
        <v>0</v>
      </c>
      <c r="FF29">
        <f>IF(ISERROR(HLOOKUP(FF1,[3]lad01_1314_1516!$A$1:$AW$1,1,FALSE)),0,1)</f>
        <v>0</v>
      </c>
      <c r="FG29">
        <f>IF(ISERROR(HLOOKUP(FG1,[3]lad01_1314_1516!$A$1:$AW$1,1,FALSE)),0,1)</f>
        <v>0</v>
      </c>
      <c r="FH29">
        <f>IF(ISERROR(HLOOKUP(FH1,[3]lad01_1314_1516!$A$1:$AW$1,1,FALSE)),0,1)</f>
        <v>0</v>
      </c>
      <c r="FI29">
        <f>IF(ISERROR(HLOOKUP(FI1,[3]lad01_1314_1516!$A$1:$AW$1,1,FALSE)),0,1)</f>
        <v>0</v>
      </c>
      <c r="FJ29">
        <f>IF(ISERROR(HLOOKUP(FJ1,[3]lad01_1314_1516!$A$1:$AW$1,1,FALSE)),0,1)</f>
        <v>1</v>
      </c>
      <c r="FK29">
        <f>IF(ISERROR(HLOOKUP(FK1,[3]lad01_1314_1516!$A$1:$AW$1,1,FALSE)),0,1)</f>
        <v>0</v>
      </c>
      <c r="FL29">
        <f>IF(ISERROR(HLOOKUP(FL1,[3]lad01_1314_1516!$A$1:$AW$1,1,FALSE)),0,1)</f>
        <v>0</v>
      </c>
      <c r="FM29">
        <f>IF(ISERROR(HLOOKUP(FM1,[3]lad01_1314_1516!$A$1:$AW$1,1,FALSE)),0,1)</f>
        <v>0</v>
      </c>
      <c r="FN29">
        <f>IF(ISERROR(HLOOKUP(FN1,[3]lad01_1314_1516!$A$1:$AW$1,1,FALSE)),0,1)</f>
        <v>1</v>
      </c>
      <c r="FO29">
        <f>IF(ISERROR(HLOOKUP(FO1,[3]lad01_1314_1516!$A$1:$AW$1,1,FALSE)),0,1)</f>
        <v>1</v>
      </c>
      <c r="FP29">
        <f>IF(ISERROR(HLOOKUP(FP1,[3]lad01_1314_1516!$A$1:$AW$1,1,FALSE)),0,1)</f>
        <v>0</v>
      </c>
      <c r="FQ29">
        <f>IF(ISERROR(HLOOKUP(FQ1,[3]lad01_1314_1516!$A$1:$AW$1,1,FALSE)),0,1)</f>
        <v>1</v>
      </c>
      <c r="FS29">
        <f>IF(ISERROR(HLOOKUP(FS1,[3]lad01_1314_1516!$A$1:$AW$1,1,FALSE)),0,1)</f>
        <v>1</v>
      </c>
      <c r="FT29">
        <f>IF(ISERROR(HLOOKUP(FT1,[3]lad01_1314_1516!$A$1:$AW$1,1,FALSE)),0,1)</f>
        <v>0</v>
      </c>
      <c r="FU29">
        <f>IF(ISERROR(HLOOKUP(FU1,[3]lad01_1314_1516!$A$1:$AW$1,1,FALSE)),0,1)</f>
        <v>0</v>
      </c>
      <c r="FV29">
        <f>IF(ISERROR(HLOOKUP(FV1,[3]lad01_1314_1516!$A$1:$AW$1,1,FALSE)),0,1)</f>
        <v>0</v>
      </c>
      <c r="FZ29">
        <f>IF(ISERROR(HLOOKUP(FZ1,[3]lad01_1314_1516!$A$1:$AW$1,1,FALSE)),0,1)</f>
        <v>0</v>
      </c>
      <c r="GA29">
        <f>IF(ISERROR(HLOOKUP(GA1,[3]lad01_1314_1516!$A$1:$AW$1,1,FALSE)),0,1)</f>
        <v>0</v>
      </c>
      <c r="GE29">
        <f>IF(ISERROR(HLOOKUP(GE1,[3]lad01_1314_1516!$A$1:$AW$1,1,FALSE)),0,1)</f>
        <v>1</v>
      </c>
      <c r="GF29">
        <f>IF(ISERROR(HLOOKUP(GF1,[3]lad01_1314_1516!$A$1:$AW$1,1,FALSE)),0,1)</f>
        <v>1</v>
      </c>
      <c r="GG29">
        <f>IF(ISERROR(HLOOKUP(GG1,[3]lad01_1314_1516!$A$1:$AW$1,1,FALSE)),0,1)</f>
        <v>1</v>
      </c>
      <c r="GH29">
        <f>IF(ISERROR(HLOOKUP(GH1,[3]lad01_1314_1516!$A$1:$AW$1,1,FALSE)),0,1)</f>
        <v>1</v>
      </c>
      <c r="GI29">
        <f>IF(ISERROR(HLOOKUP(GI1,[3]lad01_1314_1516!$A$1:$AW$1,1,FALSE)),0,1)</f>
        <v>1</v>
      </c>
      <c r="GJ29">
        <f>IF(ISERROR(HLOOKUP(GJ1,[3]lad01_1314_1516!$A$1:$AW$1,1,FALSE)),0,1)</f>
        <v>1</v>
      </c>
      <c r="GK29">
        <f>IF(ISERROR(HLOOKUP(GK1,[3]lad01_1314_1516!$A$1:$AW$1,1,FALSE)),0,1)</f>
        <v>1</v>
      </c>
      <c r="GL29">
        <f>IF(ISERROR(HLOOKUP(GL1,[3]lad01_1314_1516!$A$1:$AW$1,1,FALSE)),0,1)</f>
        <v>0</v>
      </c>
      <c r="GM29">
        <f>IF(ISERROR(HLOOKUP(GM1,[3]lad01_1314_1516!$A$1:$AW$1,1,FALSE)),0,1)</f>
        <v>1</v>
      </c>
      <c r="GN29">
        <f>IF(ISERROR(HLOOKUP(GN1,[3]lad01_1314_1516!$A$1:$AW$1,1,FALSE)),0,1)</f>
        <v>1</v>
      </c>
      <c r="GO29">
        <f>IF(ISERROR(HLOOKUP(GO1,[3]lad01_1314_1516!$A$1:$AW$1,1,FALSE)),0,1)</f>
        <v>1</v>
      </c>
      <c r="GP29">
        <f>IF(ISERROR(HLOOKUP(GP1,[3]lad01_1314_1516!$A$1:$AW$1,1,FALSE)),0,1)</f>
        <v>1</v>
      </c>
      <c r="GQ29">
        <f>IF(ISERROR(HLOOKUP(GQ1,[3]lad01_1314_1516!$A$1:$AW$1,1,FALSE)),0,1)</f>
        <v>1</v>
      </c>
      <c r="GR29">
        <f>IF(ISERROR(HLOOKUP(GR1,[3]lad01_1314_1516!$A$1:$AW$1,1,FALSE)),0,1)</f>
        <v>1</v>
      </c>
      <c r="GS29">
        <f>IF(ISERROR(HLOOKUP(GS1,[3]lad01_1314_1516!$A$1:$AW$1,1,FALSE)),0,1)</f>
        <v>1</v>
      </c>
      <c r="GT29">
        <f>IF(ISERROR(HLOOKUP(GT1,[3]lad01_1314_1516!$A$1:$AW$1,1,FALSE)),0,1)</f>
        <v>0</v>
      </c>
      <c r="GU29">
        <f>IF(ISERROR(HLOOKUP(GU1,[3]lad01_1314_1516!$A$1:$AW$1,1,FALSE)),0,1)</f>
        <v>0</v>
      </c>
      <c r="GV29">
        <f>IF(ISERROR(HLOOKUP(GV1,[3]lad01_1314_1516!$A$1:$AW$1,1,FALSE)),0,1)</f>
        <v>0</v>
      </c>
      <c r="GW29">
        <f>IF(ISERROR(HLOOKUP(GW1,[3]lad01_1314_1516!$A$1:$AW$1,1,FALSE)),0,1)</f>
        <v>0</v>
      </c>
      <c r="GY29">
        <f>IF(ISERROR(HLOOKUP(GY1,[3]lad01_1314_1516!$A$1:$AW$1,1,FALSE)),0,1)</f>
        <v>1</v>
      </c>
      <c r="GZ29">
        <f>IF(ISERROR(HLOOKUP(GZ1,[3]lad01_1314_1516!$A$1:$AW$1,1,FALSE)),0,1)</f>
        <v>0</v>
      </c>
      <c r="HA29">
        <f>IF(ISERROR(HLOOKUP(HA1,[3]lad01_1314_1516!$A$1:$AW$1,1,FALSE)),0,1)</f>
        <v>1</v>
      </c>
      <c r="HB29">
        <f>IF(ISERROR(HLOOKUP(HB1,[3]lad01_1314_1516!$A$1:$AW$1,1,FALSE)),0,1)</f>
        <v>0</v>
      </c>
      <c r="HC29">
        <f>IF(ISERROR(HLOOKUP(HC1,[3]lad01_1314_1516!$A$1:$AW$1,1,FALSE)),0,1)</f>
        <v>0</v>
      </c>
      <c r="HE29">
        <f>IF(ISERROR(HLOOKUP(HE1,[3]lad01_1314_1516!$A$1:$AW$1,1,FALSE)),0,1)</f>
        <v>0</v>
      </c>
      <c r="HF29">
        <f>IF(ISERROR(HLOOKUP(HF1,[3]lad01_1314_1516!$A$1:$AW$1,1,FALSE)),0,1)</f>
        <v>0</v>
      </c>
      <c r="HG29">
        <f>IF(ISERROR(HLOOKUP(HG1,[3]lad01_1314_1516!$A$1:$AW$1,1,FALSE)),0,1)</f>
        <v>0</v>
      </c>
      <c r="HH29">
        <f>IF(ISERROR(HLOOKUP(HH1,[3]lad01_1314_1516!$A$1:$AW$1,1,FALSE)),0,1)</f>
        <v>0</v>
      </c>
      <c r="HI29">
        <f>IF(ISERROR(HLOOKUP(HI1,[3]lad01_1314_1516!$A$1:$AW$1,1,FALSE)),0,1)</f>
        <v>0</v>
      </c>
      <c r="HJ29">
        <f>IF(ISERROR(HLOOKUP(HJ1,[3]lad01_1314_1516!$A$1:$AW$1,1,FALSE)),0,1)</f>
        <v>0</v>
      </c>
      <c r="HK29">
        <f>IF(ISERROR(HLOOKUP(HK1,[3]lad01_1314_1516!$A$1:$AW$1,1,FALSE)),0,1)</f>
        <v>0</v>
      </c>
      <c r="HL29">
        <f>IF(ISERROR(HLOOKUP(HL1,[3]lad01_1314_1516!$A$1:$AW$1,1,FALSE)),0,1)</f>
        <v>0</v>
      </c>
      <c r="HP29">
        <f>IF(ISERROR(HLOOKUP(HP1,[3]lad01_1314_1516!$A$1:$AW$1,1,FALSE)),0,1)</f>
        <v>1</v>
      </c>
      <c r="HQ29">
        <f>IF(ISERROR(HLOOKUP(HQ1,[3]lad01_1314_1516!$A$1:$AW$1,1,FALSE)),0,1)</f>
        <v>0</v>
      </c>
      <c r="HR29">
        <f>IF(ISERROR(HLOOKUP(HR1,[3]lad01_1314_1516!$A$1:$AW$1,1,FALSE)),0,1)</f>
        <v>0</v>
      </c>
      <c r="HS29">
        <f>IF(ISERROR(HLOOKUP(HS1,[3]lad01_1314_1516!$A$1:$AW$1,1,FALSE)),0,1)</f>
        <v>1</v>
      </c>
      <c r="HT29">
        <f>IF(ISERROR(HLOOKUP(HT1,[3]lad01_1314_1516!$A$1:$AW$1,1,FALSE)),0,1)</f>
        <v>0</v>
      </c>
      <c r="HU29">
        <f>IF(ISERROR(HLOOKUP(HU1,[3]lad01_1314_1516!$A$1:$AW$1,1,FALSE)),0,1)</f>
        <v>0</v>
      </c>
      <c r="HV29">
        <f>IF(ISERROR(HLOOKUP(HV1,[3]lad01_1314_1516!$A$1:$AW$1,1,FALSE)),0,1)</f>
        <v>0</v>
      </c>
      <c r="HW29">
        <f>IF(ISERROR(HLOOKUP(HW1,[3]lad01_1314_1516!$A$1:$AW$1,1,FALSE)),0,1)</f>
        <v>0</v>
      </c>
      <c r="HX29">
        <f>IF(ISERROR(HLOOKUP(HX1,[3]lad01_1314_1516!$A$1:$AW$1,1,FALSE)),0,1)</f>
        <v>1</v>
      </c>
      <c r="HY29">
        <f>IF(ISERROR(HLOOKUP(HY1,[3]lad01_1314_1516!$A$1:$AW$1,1,FALSE)),0,1)</f>
        <v>1</v>
      </c>
      <c r="HZ29">
        <f>IF(ISERROR(HLOOKUP(HZ1,[3]lad01_1314_1516!$A$1:$AW$1,1,FALSE)),0,1)</f>
        <v>0</v>
      </c>
      <c r="IA29">
        <f>IF(ISERROR(HLOOKUP(IA1,[3]lad01_1314_1516!$A$1:$AW$1,1,FALSE)),0,1)</f>
        <v>0</v>
      </c>
      <c r="IB29">
        <f>IF(ISERROR(HLOOKUP(IB1,[3]lad01_1314_1516!$A$1:$AW$1,1,FALSE)),0,1)</f>
        <v>1</v>
      </c>
      <c r="IC29">
        <f>IF(ISERROR(HLOOKUP(IC1,[3]lad01_1314_1516!$A$1:$AW$1,1,FALSE)),0,1)</f>
        <v>1</v>
      </c>
      <c r="ID29">
        <f>IF(ISERROR(HLOOKUP(ID1,[3]lad01_1314_1516!$A$1:$AW$1,1,FALSE)),0,1)</f>
        <v>0</v>
      </c>
      <c r="IE29">
        <f>IF(ISERROR(HLOOKUP(IE1,[3]lad01_1314_1516!$A$1:$AW$1,1,FALSE)),0,1)</f>
        <v>1</v>
      </c>
      <c r="IF29">
        <f>IF(ISERROR(HLOOKUP(IF1,[3]lad01_1314_1516!$A$1:$AW$1,1,FALSE)),0,1)</f>
        <v>1</v>
      </c>
      <c r="IG29">
        <f>IF(ISERROR(HLOOKUP(IG1,[3]lad01_1314_1516!$A$1:$AW$1,1,FALSE)),0,1)</f>
        <v>1</v>
      </c>
      <c r="IH29">
        <f>IF(ISERROR(HLOOKUP(IH1,[3]lad01_1314_1516!$A$1:$AW$1,1,FALSE)),0,1)</f>
        <v>1</v>
      </c>
      <c r="II29">
        <f>IF(ISERROR(HLOOKUP(II1,[3]lad01_1314_1516!$A$1:$AW$1,1,FALSE)),0,1)</f>
        <v>1</v>
      </c>
      <c r="IJ29">
        <f>IF(ISERROR(HLOOKUP(IJ1,[3]lad01_1314_1516!$A$1:$AW$1,1,FALSE)),0,1)</f>
        <v>1</v>
      </c>
      <c r="IK29">
        <f>IF(ISERROR(HLOOKUP(IK1,[3]lad01_1314_1516!$A$1:$AW$1,1,FALSE)),0,1)</f>
        <v>1</v>
      </c>
      <c r="IL29">
        <f>IF(ISERROR(HLOOKUP(IL1,[3]lad01_1314_1516!$A$1:$AW$1,1,FALSE)),0,1)</f>
        <v>1</v>
      </c>
      <c r="IM29">
        <f>IF(ISERROR(HLOOKUP(IM1,[3]lad01_1314_1516!$A$1:$AW$1,1,FALSE)),0,1)</f>
        <v>1</v>
      </c>
      <c r="IN29">
        <f>IF(ISERROR(HLOOKUP(IN1,[3]lad01_1314_1516!$A$1:$AW$1,1,FALSE)),0,1)</f>
        <v>0</v>
      </c>
      <c r="IO29">
        <f>IF(ISERROR(HLOOKUP(IO1,[3]lad01_1314_1516!$A$1:$AW$1,1,FALSE)),0,1)</f>
        <v>0</v>
      </c>
      <c r="IP29">
        <f>IF(ISERROR(HLOOKUP(IP1,[3]lad01_1314_1516!$A$1:$AW$1,1,FALSE)),0,1)</f>
        <v>0</v>
      </c>
      <c r="IQ29">
        <f>IF(ISERROR(HLOOKUP(IQ1,[3]lad01_1314_1516!$A$1:$AW$1,1,FALSE)),0,1)</f>
        <v>0</v>
      </c>
      <c r="IR29">
        <f>IF(ISERROR(HLOOKUP(IR1,[3]lad01_1314_1516!$A$1:$AW$1,1,FALSE)),0,1)</f>
        <v>0</v>
      </c>
      <c r="IS29">
        <f>IF(ISERROR(HLOOKUP(IS1,[3]lad01_1314_1516!$A$1:$AW$1,1,FALSE)),0,1)</f>
        <v>0</v>
      </c>
      <c r="IT29">
        <f>IF(ISERROR(HLOOKUP(IT1,[3]lad01_1314_1516!$A$1:$AW$1,1,FALSE)),0,1)</f>
        <v>0</v>
      </c>
      <c r="IU29">
        <f>IF(ISERROR(HLOOKUP(IU1,[3]lad01_1314_1516!$A$1:$AW$1,1,FALSE)),0,1)</f>
        <v>0</v>
      </c>
      <c r="IV29">
        <f>IF(ISERROR(HLOOKUP(IV1,[3]lad01_1314_1516!$A$1:$AW$1,1,FALSE)),0,1)</f>
        <v>0</v>
      </c>
      <c r="IW29">
        <f>IF(ISERROR(HLOOKUP(IW1,[3]lad01_1314_1516!$A$1:$AW$1,1,FALSE)),0,1)</f>
        <v>0</v>
      </c>
      <c r="IX29">
        <f t="shared" si="0"/>
        <v>47</v>
      </c>
    </row>
    <row r="30" spans="2:258" ht="217.5" x14ac:dyDescent="0.35">
      <c r="B30" s="1" t="s">
        <v>861</v>
      </c>
      <c r="C30" s="1" t="s">
        <v>53</v>
      </c>
      <c r="D30" s="1" t="s">
        <v>1549</v>
      </c>
      <c r="E30" t="s">
        <v>780</v>
      </c>
      <c r="F30" t="s">
        <v>780</v>
      </c>
      <c r="G30" t="s">
        <v>780</v>
      </c>
      <c r="H30" t="s">
        <v>780</v>
      </c>
      <c r="I30" t="s">
        <v>780</v>
      </c>
      <c r="J30" t="s">
        <v>780</v>
      </c>
      <c r="K30" t="s">
        <v>780</v>
      </c>
      <c r="Q30" t="s">
        <v>780</v>
      </c>
      <c r="R30" t="s">
        <v>780</v>
      </c>
      <c r="FJ30" t="s">
        <v>780</v>
      </c>
      <c r="FK30" t="s">
        <v>780</v>
      </c>
      <c r="FN30" t="s">
        <v>780</v>
      </c>
      <c r="FO30" t="s">
        <v>780</v>
      </c>
      <c r="FQ30" t="s">
        <v>780</v>
      </c>
      <c r="FU30" t="s">
        <v>780</v>
      </c>
      <c r="FV30" t="s">
        <v>780</v>
      </c>
      <c r="GE30" t="s">
        <v>780</v>
      </c>
      <c r="GF30" t="s">
        <v>780</v>
      </c>
      <c r="GG30" t="s">
        <v>780</v>
      </c>
      <c r="GH30" t="s">
        <v>780</v>
      </c>
      <c r="GI30" t="s">
        <v>780</v>
      </c>
      <c r="GJ30" t="s">
        <v>780</v>
      </c>
      <c r="GK30" t="s">
        <v>780</v>
      </c>
      <c r="GM30" t="s">
        <v>780</v>
      </c>
      <c r="GN30" t="s">
        <v>780</v>
      </c>
      <c r="GO30" t="s">
        <v>780</v>
      </c>
      <c r="GP30" t="s">
        <v>780</v>
      </c>
      <c r="GQ30" t="s">
        <v>780</v>
      </c>
      <c r="GR30" t="s">
        <v>780</v>
      </c>
      <c r="GS30" t="s">
        <v>780</v>
      </c>
      <c r="GY30" t="s">
        <v>780</v>
      </c>
      <c r="HA30" t="s">
        <v>780</v>
      </c>
      <c r="HP30" t="s">
        <v>780</v>
      </c>
      <c r="HS30" t="s">
        <v>780</v>
      </c>
      <c r="HX30" t="s">
        <v>780</v>
      </c>
      <c r="HY30" t="s">
        <v>780</v>
      </c>
      <c r="IB30" t="s">
        <v>780</v>
      </c>
      <c r="IC30" t="s">
        <v>780</v>
      </c>
      <c r="IE30" t="s">
        <v>780</v>
      </c>
      <c r="IF30" t="s">
        <v>780</v>
      </c>
      <c r="IG30" t="s">
        <v>780</v>
      </c>
      <c r="IH30" t="s">
        <v>780</v>
      </c>
      <c r="II30" t="s">
        <v>780</v>
      </c>
      <c r="IJ30" t="s">
        <v>780</v>
      </c>
      <c r="IK30" t="s">
        <v>780</v>
      </c>
      <c r="IL30" t="s">
        <v>780</v>
      </c>
      <c r="IM30" t="s">
        <v>780</v>
      </c>
      <c r="IX30">
        <f t="shared" si="0"/>
        <v>0</v>
      </c>
    </row>
    <row r="31" spans="2:258" ht="188.5" x14ac:dyDescent="0.35">
      <c r="B31" s="1" t="s">
        <v>861</v>
      </c>
      <c r="C31" s="1" t="s">
        <v>53</v>
      </c>
      <c r="D31" s="1" t="s">
        <v>891</v>
      </c>
      <c r="E31" t="s">
        <v>780</v>
      </c>
      <c r="F31" t="s">
        <v>780</v>
      </c>
      <c r="G31" t="s">
        <v>780</v>
      </c>
      <c r="H31" t="s">
        <v>780</v>
      </c>
      <c r="I31" t="s">
        <v>780</v>
      </c>
      <c r="J31" t="s">
        <v>780</v>
      </c>
      <c r="K31" t="s">
        <v>780</v>
      </c>
      <c r="L31" t="s">
        <v>780</v>
      </c>
      <c r="M31" t="s">
        <v>780</v>
      </c>
      <c r="N31" t="s">
        <v>780</v>
      </c>
      <c r="AD31" t="s">
        <v>780</v>
      </c>
      <c r="AE31" t="s">
        <v>780</v>
      </c>
      <c r="AF31" t="s">
        <v>780</v>
      </c>
      <c r="FJ31" t="s">
        <v>780</v>
      </c>
      <c r="FK31" t="s">
        <v>780</v>
      </c>
      <c r="FN31" t="s">
        <v>780</v>
      </c>
      <c r="FO31" t="s">
        <v>780</v>
      </c>
      <c r="FQ31" t="s">
        <v>780</v>
      </c>
      <c r="FS31" t="s">
        <v>780</v>
      </c>
      <c r="GE31" t="s">
        <v>780</v>
      </c>
      <c r="GF31" t="s">
        <v>780</v>
      </c>
      <c r="GG31" t="s">
        <v>780</v>
      </c>
      <c r="GH31" t="s">
        <v>780</v>
      </c>
      <c r="GI31" t="s">
        <v>780</v>
      </c>
      <c r="GJ31" t="s">
        <v>780</v>
      </c>
      <c r="GK31" t="s">
        <v>780</v>
      </c>
      <c r="GM31" t="s">
        <v>780</v>
      </c>
      <c r="GN31" t="s">
        <v>780</v>
      </c>
      <c r="GO31" t="s">
        <v>780</v>
      </c>
      <c r="GP31" t="s">
        <v>780</v>
      </c>
      <c r="GQ31" t="s">
        <v>780</v>
      </c>
      <c r="GR31" t="s">
        <v>780</v>
      </c>
      <c r="GS31" t="s">
        <v>780</v>
      </c>
      <c r="GY31" t="s">
        <v>780</v>
      </c>
      <c r="HA31" t="s">
        <v>780</v>
      </c>
      <c r="HP31" t="s">
        <v>780</v>
      </c>
      <c r="HS31" t="s">
        <v>780</v>
      </c>
      <c r="HX31" t="s">
        <v>780</v>
      </c>
      <c r="HY31" t="s">
        <v>780</v>
      </c>
      <c r="IB31" t="s">
        <v>780</v>
      </c>
      <c r="IC31" t="s">
        <v>780</v>
      </c>
      <c r="IE31" t="s">
        <v>780</v>
      </c>
      <c r="IF31" t="s">
        <v>780</v>
      </c>
      <c r="IG31" t="s">
        <v>780</v>
      </c>
      <c r="IH31" t="s">
        <v>780</v>
      </c>
      <c r="II31" t="s">
        <v>780</v>
      </c>
      <c r="IJ31" t="s">
        <v>780</v>
      </c>
      <c r="IK31" t="s">
        <v>780</v>
      </c>
      <c r="IL31" t="s">
        <v>780</v>
      </c>
      <c r="IM31" t="s">
        <v>780</v>
      </c>
      <c r="IX31">
        <f t="shared" si="0"/>
        <v>0</v>
      </c>
    </row>
    <row r="32" spans="2:258" ht="203" x14ac:dyDescent="0.35">
      <c r="B32" s="1" t="s">
        <v>861</v>
      </c>
      <c r="C32" s="1" t="s">
        <v>53</v>
      </c>
      <c r="D32" s="1" t="s">
        <v>892</v>
      </c>
      <c r="E32" t="s">
        <v>780</v>
      </c>
      <c r="F32" t="s">
        <v>780</v>
      </c>
      <c r="G32" t="s">
        <v>780</v>
      </c>
      <c r="H32" t="s">
        <v>780</v>
      </c>
      <c r="I32" t="s">
        <v>780</v>
      </c>
      <c r="J32" t="s">
        <v>780</v>
      </c>
      <c r="K32" t="s">
        <v>780</v>
      </c>
      <c r="L32" t="s">
        <v>780</v>
      </c>
      <c r="M32" t="s">
        <v>780</v>
      </c>
      <c r="N32" t="s">
        <v>780</v>
      </c>
      <c r="FJ32" t="s">
        <v>780</v>
      </c>
      <c r="FK32" t="s">
        <v>780</v>
      </c>
      <c r="FN32" t="s">
        <v>780</v>
      </c>
      <c r="FO32" t="s">
        <v>780</v>
      </c>
      <c r="FQ32" t="s">
        <v>780</v>
      </c>
      <c r="FU32" t="s">
        <v>780</v>
      </c>
      <c r="FV32" t="s">
        <v>780</v>
      </c>
      <c r="GE32" t="s">
        <v>780</v>
      </c>
      <c r="GF32" t="s">
        <v>780</v>
      </c>
      <c r="GG32" t="s">
        <v>780</v>
      </c>
      <c r="GH32" t="s">
        <v>780</v>
      </c>
      <c r="GI32" t="s">
        <v>780</v>
      </c>
      <c r="GJ32" t="s">
        <v>780</v>
      </c>
      <c r="GK32" t="s">
        <v>780</v>
      </c>
      <c r="GM32" t="s">
        <v>780</v>
      </c>
      <c r="GN32" t="s">
        <v>780</v>
      </c>
      <c r="GO32" t="s">
        <v>780</v>
      </c>
      <c r="GP32" t="s">
        <v>780</v>
      </c>
      <c r="GQ32" t="s">
        <v>780</v>
      </c>
      <c r="GR32" t="s">
        <v>780</v>
      </c>
      <c r="GS32" t="s">
        <v>780</v>
      </c>
      <c r="GY32" t="s">
        <v>780</v>
      </c>
      <c r="HA32" t="s">
        <v>780</v>
      </c>
      <c r="HP32" t="s">
        <v>780</v>
      </c>
      <c r="HS32" t="s">
        <v>780</v>
      </c>
      <c r="HX32" t="s">
        <v>780</v>
      </c>
      <c r="HY32" t="s">
        <v>780</v>
      </c>
      <c r="IB32" t="s">
        <v>780</v>
      </c>
      <c r="IC32" t="s">
        <v>780</v>
      </c>
      <c r="IE32" t="s">
        <v>780</v>
      </c>
      <c r="IF32" t="s">
        <v>780</v>
      </c>
      <c r="IG32" t="s">
        <v>780</v>
      </c>
      <c r="IH32" t="s">
        <v>780</v>
      </c>
      <c r="II32" t="s">
        <v>780</v>
      </c>
      <c r="IJ32" t="s">
        <v>780</v>
      </c>
      <c r="IK32" t="s">
        <v>780</v>
      </c>
      <c r="IL32" t="s">
        <v>780</v>
      </c>
      <c r="IM32" t="s">
        <v>780</v>
      </c>
      <c r="IX32">
        <f t="shared" si="0"/>
        <v>0</v>
      </c>
    </row>
    <row r="33" spans="2:283" ht="217.5" x14ac:dyDescent="0.35">
      <c r="B33" s="1" t="s">
        <v>861</v>
      </c>
      <c r="C33" s="1" t="s">
        <v>53</v>
      </c>
      <c r="D33" s="1" t="s">
        <v>1550</v>
      </c>
      <c r="E33" t="s">
        <v>780</v>
      </c>
      <c r="F33" t="s">
        <v>780</v>
      </c>
      <c r="G33" t="s">
        <v>780</v>
      </c>
      <c r="H33" t="s">
        <v>780</v>
      </c>
      <c r="I33" t="s">
        <v>780</v>
      </c>
      <c r="J33" t="s">
        <v>780</v>
      </c>
      <c r="K33" t="s">
        <v>780</v>
      </c>
      <c r="W33" t="s">
        <v>780</v>
      </c>
      <c r="X33" t="s">
        <v>780</v>
      </c>
      <c r="AD33" t="s">
        <v>780</v>
      </c>
      <c r="AE33" t="s">
        <v>780</v>
      </c>
      <c r="AF33" t="s">
        <v>780</v>
      </c>
      <c r="FJ33" t="s">
        <v>780</v>
      </c>
      <c r="FK33" t="s">
        <v>780</v>
      </c>
      <c r="FN33" t="s">
        <v>780</v>
      </c>
      <c r="FO33" t="s">
        <v>780</v>
      </c>
      <c r="FQ33" t="s">
        <v>780</v>
      </c>
      <c r="FS33" t="s">
        <v>780</v>
      </c>
      <c r="GE33" t="s">
        <v>780</v>
      </c>
      <c r="GF33" t="s">
        <v>780</v>
      </c>
      <c r="GG33" t="s">
        <v>780</v>
      </c>
      <c r="GH33" t="s">
        <v>780</v>
      </c>
      <c r="GI33" t="s">
        <v>780</v>
      </c>
      <c r="GJ33" t="s">
        <v>780</v>
      </c>
      <c r="GK33" t="s">
        <v>780</v>
      </c>
      <c r="GM33" t="s">
        <v>780</v>
      </c>
      <c r="GN33" t="s">
        <v>780</v>
      </c>
      <c r="GO33" t="s">
        <v>780</v>
      </c>
      <c r="GP33" t="s">
        <v>780</v>
      </c>
      <c r="GQ33" t="s">
        <v>780</v>
      </c>
      <c r="GR33" t="s">
        <v>780</v>
      </c>
      <c r="GS33" t="s">
        <v>780</v>
      </c>
      <c r="GY33" t="s">
        <v>780</v>
      </c>
      <c r="HA33" t="s">
        <v>780</v>
      </c>
      <c r="HP33" t="s">
        <v>780</v>
      </c>
      <c r="HS33" t="s">
        <v>780</v>
      </c>
      <c r="HX33" t="s">
        <v>780</v>
      </c>
      <c r="HY33" t="s">
        <v>780</v>
      </c>
      <c r="IB33" t="s">
        <v>780</v>
      </c>
      <c r="IC33" t="s">
        <v>780</v>
      </c>
      <c r="IE33" t="s">
        <v>780</v>
      </c>
      <c r="IF33" t="s">
        <v>780</v>
      </c>
      <c r="IG33" t="s">
        <v>780</v>
      </c>
      <c r="IH33" t="s">
        <v>780</v>
      </c>
      <c r="II33" t="s">
        <v>780</v>
      </c>
      <c r="IJ33" t="s">
        <v>780</v>
      </c>
      <c r="IK33" t="s">
        <v>780</v>
      </c>
      <c r="IL33" t="s">
        <v>780</v>
      </c>
      <c r="IM33" t="s">
        <v>780</v>
      </c>
      <c r="IN33" t="s">
        <v>1551</v>
      </c>
      <c r="IO33" t="s">
        <v>1551</v>
      </c>
      <c r="IP33" t="s">
        <v>1551</v>
      </c>
      <c r="IQ33" t="s">
        <v>1551</v>
      </c>
      <c r="IR33" t="s">
        <v>1551</v>
      </c>
      <c r="IS33" t="s">
        <v>1551</v>
      </c>
      <c r="IT33" t="s">
        <v>1551</v>
      </c>
      <c r="IU33" t="s">
        <v>1551</v>
      </c>
      <c r="IV33" t="s">
        <v>1551</v>
      </c>
      <c r="IW33" t="s">
        <v>1551</v>
      </c>
      <c r="IX33" t="s">
        <v>1551</v>
      </c>
      <c r="IY33" t="s">
        <v>1551</v>
      </c>
      <c r="IZ33" t="s">
        <v>1551</v>
      </c>
    </row>
    <row r="34" spans="2:283" ht="232" x14ac:dyDescent="0.35">
      <c r="B34" s="1" t="s">
        <v>861</v>
      </c>
      <c r="C34" s="1" t="s">
        <v>53</v>
      </c>
      <c r="D34" s="1" t="s">
        <v>1552</v>
      </c>
      <c r="E34" t="s">
        <v>780</v>
      </c>
      <c r="F34" t="s">
        <v>780</v>
      </c>
      <c r="G34" t="s">
        <v>780</v>
      </c>
      <c r="H34" t="s">
        <v>780</v>
      </c>
      <c r="I34" t="s">
        <v>780</v>
      </c>
      <c r="J34" t="s">
        <v>780</v>
      </c>
      <c r="K34" t="s">
        <v>780</v>
      </c>
      <c r="W34" t="s">
        <v>780</v>
      </c>
      <c r="X34" t="s">
        <v>780</v>
      </c>
      <c r="FJ34" t="s">
        <v>780</v>
      </c>
      <c r="FK34" t="s">
        <v>780</v>
      </c>
      <c r="FN34" t="s">
        <v>780</v>
      </c>
      <c r="FO34" t="s">
        <v>780</v>
      </c>
      <c r="FQ34" t="s">
        <v>780</v>
      </c>
      <c r="FU34" t="s">
        <v>780</v>
      </c>
      <c r="FV34" t="s">
        <v>780</v>
      </c>
      <c r="GE34" t="s">
        <v>780</v>
      </c>
      <c r="GF34" t="s">
        <v>780</v>
      </c>
      <c r="GG34" t="s">
        <v>780</v>
      </c>
      <c r="GH34" t="s">
        <v>780</v>
      </c>
      <c r="GI34" t="s">
        <v>780</v>
      </c>
      <c r="GJ34" t="s">
        <v>780</v>
      </c>
      <c r="GK34" t="s">
        <v>780</v>
      </c>
      <c r="GM34" t="s">
        <v>780</v>
      </c>
      <c r="GN34" t="s">
        <v>780</v>
      </c>
      <c r="GO34" t="s">
        <v>780</v>
      </c>
      <c r="GP34" t="s">
        <v>780</v>
      </c>
      <c r="GQ34" t="s">
        <v>780</v>
      </c>
      <c r="GR34" t="s">
        <v>780</v>
      </c>
      <c r="GS34" t="s">
        <v>780</v>
      </c>
      <c r="GY34" t="s">
        <v>780</v>
      </c>
      <c r="HA34" t="s">
        <v>780</v>
      </c>
      <c r="HP34" t="s">
        <v>780</v>
      </c>
      <c r="HS34" t="s">
        <v>780</v>
      </c>
      <c r="HX34" t="s">
        <v>780</v>
      </c>
      <c r="HY34" t="s">
        <v>780</v>
      </c>
      <c r="IB34" t="s">
        <v>780</v>
      </c>
      <c r="IC34" t="s">
        <v>780</v>
      </c>
      <c r="IE34" t="s">
        <v>780</v>
      </c>
      <c r="IF34" t="s">
        <v>780</v>
      </c>
      <c r="IG34" t="s">
        <v>780</v>
      </c>
      <c r="IH34" t="s">
        <v>780</v>
      </c>
      <c r="II34" t="s">
        <v>780</v>
      </c>
      <c r="IJ34" t="s">
        <v>780</v>
      </c>
      <c r="IK34" t="s">
        <v>780</v>
      </c>
      <c r="IL34" t="s">
        <v>780</v>
      </c>
      <c r="IM34" t="s">
        <v>780</v>
      </c>
    </row>
    <row r="35" spans="2:283" ht="203" x14ac:dyDescent="0.35">
      <c r="B35" s="1" t="s">
        <v>861</v>
      </c>
      <c r="C35" s="1" t="s">
        <v>53</v>
      </c>
      <c r="D35" s="1" t="s">
        <v>895</v>
      </c>
      <c r="E35" t="s">
        <v>780</v>
      </c>
      <c r="F35" t="s">
        <v>780</v>
      </c>
      <c r="G35" t="s">
        <v>780</v>
      </c>
      <c r="H35" t="s">
        <v>780</v>
      </c>
      <c r="I35" t="s">
        <v>780</v>
      </c>
      <c r="J35" t="s">
        <v>780</v>
      </c>
      <c r="K35" t="s">
        <v>780</v>
      </c>
      <c r="S35" t="s">
        <v>780</v>
      </c>
      <c r="T35" t="s">
        <v>780</v>
      </c>
      <c r="FJ35" t="s">
        <v>780</v>
      </c>
      <c r="FK35" t="s">
        <v>780</v>
      </c>
      <c r="FN35" t="s">
        <v>780</v>
      </c>
      <c r="FO35" t="s">
        <v>780</v>
      </c>
      <c r="FQ35" t="s">
        <v>780</v>
      </c>
      <c r="FU35" t="s">
        <v>780</v>
      </c>
      <c r="FV35" t="s">
        <v>780</v>
      </c>
      <c r="GE35" t="s">
        <v>780</v>
      </c>
      <c r="GF35" t="s">
        <v>780</v>
      </c>
      <c r="GG35" t="s">
        <v>780</v>
      </c>
      <c r="GH35" t="s">
        <v>780</v>
      </c>
      <c r="GI35" t="s">
        <v>780</v>
      </c>
      <c r="GJ35" t="s">
        <v>780</v>
      </c>
      <c r="GK35" t="s">
        <v>780</v>
      </c>
      <c r="GM35" t="s">
        <v>780</v>
      </c>
      <c r="GN35" t="s">
        <v>780</v>
      </c>
      <c r="GO35" t="s">
        <v>780</v>
      </c>
      <c r="GP35" t="s">
        <v>780</v>
      </c>
      <c r="GQ35" t="s">
        <v>780</v>
      </c>
      <c r="GR35" t="s">
        <v>780</v>
      </c>
      <c r="GS35" t="s">
        <v>780</v>
      </c>
      <c r="GY35" t="s">
        <v>780</v>
      </c>
      <c r="HA35" t="s">
        <v>780</v>
      </c>
      <c r="HP35" t="s">
        <v>780</v>
      </c>
      <c r="HS35" t="s">
        <v>780</v>
      </c>
      <c r="HX35" t="s">
        <v>780</v>
      </c>
      <c r="HY35" t="s">
        <v>780</v>
      </c>
      <c r="IB35" t="s">
        <v>780</v>
      </c>
      <c r="IC35" t="s">
        <v>780</v>
      </c>
      <c r="IE35" t="s">
        <v>780</v>
      </c>
      <c r="IF35" t="s">
        <v>780</v>
      </c>
      <c r="IG35" t="s">
        <v>780</v>
      </c>
      <c r="IH35" t="s">
        <v>780</v>
      </c>
      <c r="II35" t="s">
        <v>780</v>
      </c>
      <c r="IJ35" t="s">
        <v>780</v>
      </c>
      <c r="IK35" t="s">
        <v>780</v>
      </c>
      <c r="IL35" t="s">
        <v>780</v>
      </c>
      <c r="IM35" t="s">
        <v>780</v>
      </c>
      <c r="IY35">
        <f>SUM(E35:IX35)</f>
        <v>0</v>
      </c>
    </row>
    <row r="36" spans="2:283" ht="203" x14ac:dyDescent="0.35">
      <c r="B36" s="1" t="s">
        <v>861</v>
      </c>
      <c r="C36" s="1" t="s">
        <v>53</v>
      </c>
      <c r="D36" s="1" t="s">
        <v>896</v>
      </c>
      <c r="E36" t="s">
        <v>780</v>
      </c>
      <c r="F36" t="s">
        <v>780</v>
      </c>
      <c r="G36" t="s">
        <v>780</v>
      </c>
      <c r="H36" t="s">
        <v>780</v>
      </c>
      <c r="I36" t="s">
        <v>780</v>
      </c>
      <c r="AF36" t="s">
        <v>780</v>
      </c>
      <c r="AJ36" t="s">
        <v>780</v>
      </c>
      <c r="BO36" t="s">
        <v>780</v>
      </c>
      <c r="FJ36" t="s">
        <v>780</v>
      </c>
      <c r="FK36" t="s">
        <v>780</v>
      </c>
      <c r="FQ36" t="s">
        <v>780</v>
      </c>
      <c r="FR36" t="s">
        <v>780</v>
      </c>
      <c r="FU36" t="s">
        <v>780</v>
      </c>
      <c r="FV36" t="s">
        <v>780</v>
      </c>
      <c r="IK36" t="s">
        <v>780</v>
      </c>
      <c r="IL36" t="s">
        <v>780</v>
      </c>
      <c r="IM36" t="s">
        <v>780</v>
      </c>
      <c r="IX36">
        <f>SUM(E36:IW36)</f>
        <v>0</v>
      </c>
    </row>
    <row r="37" spans="2:283" ht="232" x14ac:dyDescent="0.35">
      <c r="B37" s="1" t="s">
        <v>861</v>
      </c>
      <c r="C37" s="1" t="s">
        <v>53</v>
      </c>
      <c r="D37" s="1" t="s">
        <v>897</v>
      </c>
      <c r="E37" t="s">
        <v>780</v>
      </c>
      <c r="F37" t="s">
        <v>780</v>
      </c>
      <c r="G37" t="s">
        <v>780</v>
      </c>
      <c r="H37" t="s">
        <v>780</v>
      </c>
      <c r="I37" t="s">
        <v>780</v>
      </c>
      <c r="AE37" t="s">
        <v>780</v>
      </c>
      <c r="AF37" t="s">
        <v>780</v>
      </c>
      <c r="AJ37" t="s">
        <v>780</v>
      </c>
      <c r="FJ37" t="s">
        <v>780</v>
      </c>
      <c r="FO37" t="s">
        <v>780</v>
      </c>
      <c r="FU37" t="s">
        <v>780</v>
      </c>
      <c r="FV37" t="s">
        <v>780</v>
      </c>
      <c r="FW37" t="s">
        <v>780</v>
      </c>
      <c r="FX37" t="s">
        <v>780</v>
      </c>
      <c r="FY37" t="s">
        <v>780</v>
      </c>
      <c r="HW37" t="s">
        <v>780</v>
      </c>
      <c r="IX37">
        <f>SUM(E37:IW37)</f>
        <v>0</v>
      </c>
    </row>
    <row r="38" spans="2:283" ht="232" x14ac:dyDescent="0.35">
      <c r="B38" s="1" t="s">
        <v>861</v>
      </c>
      <c r="C38" s="1" t="s">
        <v>53</v>
      </c>
      <c r="D38" s="1" t="s">
        <v>898</v>
      </c>
      <c r="E38" t="s">
        <v>780</v>
      </c>
      <c r="F38" t="s">
        <v>780</v>
      </c>
      <c r="G38" t="s">
        <v>780</v>
      </c>
      <c r="H38" t="s">
        <v>780</v>
      </c>
      <c r="I38" t="s">
        <v>780</v>
      </c>
      <c r="J38" t="s">
        <v>780</v>
      </c>
      <c r="K38" t="s">
        <v>780</v>
      </c>
      <c r="FJ38" t="s">
        <v>780</v>
      </c>
      <c r="FO38" t="s">
        <v>780</v>
      </c>
      <c r="FU38" t="s">
        <v>780</v>
      </c>
      <c r="FV38" t="s">
        <v>780</v>
      </c>
      <c r="FW38" t="s">
        <v>780</v>
      </c>
      <c r="FX38" t="s">
        <v>780</v>
      </c>
      <c r="FY38" t="s">
        <v>780</v>
      </c>
      <c r="HW38" t="s">
        <v>780</v>
      </c>
    </row>
    <row r="39" spans="2:283" ht="101.5" x14ac:dyDescent="0.35">
      <c r="B39" s="1" t="s">
        <v>861</v>
      </c>
      <c r="C39" s="1" t="s">
        <v>90</v>
      </c>
      <c r="D39" s="1" t="s">
        <v>899</v>
      </c>
      <c r="E39" t="s">
        <v>780</v>
      </c>
      <c r="F39" t="s">
        <v>780</v>
      </c>
      <c r="G39" t="s">
        <v>780</v>
      </c>
      <c r="H39" t="s">
        <v>780</v>
      </c>
      <c r="I39" t="s">
        <v>780</v>
      </c>
      <c r="AG39" t="s">
        <v>780</v>
      </c>
      <c r="AH39" t="s">
        <v>780</v>
      </c>
      <c r="AM39" t="s">
        <v>780</v>
      </c>
      <c r="AP39" t="s">
        <v>780</v>
      </c>
      <c r="AQ39" t="s">
        <v>780</v>
      </c>
      <c r="FH39" t="s">
        <v>780</v>
      </c>
      <c r="IX39" t="s">
        <v>780</v>
      </c>
      <c r="IY39" t="s">
        <v>780</v>
      </c>
      <c r="IZ39" t="s">
        <v>780</v>
      </c>
      <c r="JA39" t="s">
        <v>780</v>
      </c>
      <c r="JB39" t="s">
        <v>780</v>
      </c>
      <c r="JC39" t="s">
        <v>780</v>
      </c>
      <c r="JD39" t="s">
        <v>780</v>
      </c>
      <c r="JE39" t="s">
        <v>780</v>
      </c>
      <c r="JF39" t="s">
        <v>780</v>
      </c>
      <c r="JG39" t="s">
        <v>780</v>
      </c>
      <c r="JH39" t="s">
        <v>780</v>
      </c>
      <c r="JI39" t="s">
        <v>780</v>
      </c>
      <c r="JJ39" t="s">
        <v>780</v>
      </c>
      <c r="JK39" t="s">
        <v>780</v>
      </c>
      <c r="JL39" t="s">
        <v>780</v>
      </c>
      <c r="JM39" t="s">
        <v>780</v>
      </c>
      <c r="JN39" t="s">
        <v>780</v>
      </c>
      <c r="JO39" t="s">
        <v>780</v>
      </c>
      <c r="JP39" t="s">
        <v>780</v>
      </c>
      <c r="JQ39" t="s">
        <v>780</v>
      </c>
      <c r="JR39" t="s">
        <v>780</v>
      </c>
    </row>
    <row r="40" spans="2:283" ht="72.5" x14ac:dyDescent="0.35">
      <c r="B40" s="1" t="s">
        <v>861</v>
      </c>
      <c r="C40" s="1" t="s">
        <v>90</v>
      </c>
      <c r="D40" s="1" t="s">
        <v>900</v>
      </c>
      <c r="E40" t="s">
        <v>780</v>
      </c>
      <c r="F40" t="s">
        <v>780</v>
      </c>
      <c r="G40" t="s">
        <v>780</v>
      </c>
      <c r="H40" t="s">
        <v>780</v>
      </c>
      <c r="I40" t="s">
        <v>780</v>
      </c>
      <c r="AG40" t="s">
        <v>780</v>
      </c>
      <c r="AH40" t="s">
        <v>780</v>
      </c>
      <c r="AP40" t="s">
        <v>780</v>
      </c>
      <c r="AQ40" t="s">
        <v>780</v>
      </c>
      <c r="FH40" t="s">
        <v>780</v>
      </c>
      <c r="IX40" t="s">
        <v>780</v>
      </c>
    </row>
    <row r="41" spans="2:283" ht="101.5" x14ac:dyDescent="0.35">
      <c r="B41" s="1" t="s">
        <v>861</v>
      </c>
      <c r="C41" s="1" t="s">
        <v>90</v>
      </c>
      <c r="D41" s="1" t="s">
        <v>1553</v>
      </c>
      <c r="E41" t="s">
        <v>780</v>
      </c>
      <c r="F41" t="s">
        <v>780</v>
      </c>
      <c r="G41" t="s">
        <v>780</v>
      </c>
      <c r="H41" t="s">
        <v>780</v>
      </c>
      <c r="I41" t="s">
        <v>780</v>
      </c>
      <c r="J41" t="s">
        <v>780</v>
      </c>
      <c r="K41" t="s">
        <v>780</v>
      </c>
      <c r="L41" t="s">
        <v>780</v>
      </c>
      <c r="M41" t="s">
        <v>780</v>
      </c>
      <c r="N41" t="s">
        <v>780</v>
      </c>
      <c r="O41" t="s">
        <v>780</v>
      </c>
      <c r="P41" t="s">
        <v>780</v>
      </c>
      <c r="AG41" t="s">
        <v>780</v>
      </c>
      <c r="AH41" t="s">
        <v>780</v>
      </c>
      <c r="AM41" t="s">
        <v>780</v>
      </c>
      <c r="AP41" t="s">
        <v>780</v>
      </c>
      <c r="AQ41" t="s">
        <v>780</v>
      </c>
      <c r="FH41" t="s">
        <v>780</v>
      </c>
      <c r="IV41" t="s">
        <v>780</v>
      </c>
      <c r="IX41" t="s">
        <v>780</v>
      </c>
      <c r="IY41" t="s">
        <v>780</v>
      </c>
      <c r="IZ41" t="s">
        <v>780</v>
      </c>
      <c r="JA41" t="s">
        <v>780</v>
      </c>
      <c r="JB41" t="s">
        <v>780</v>
      </c>
      <c r="JC41" t="s">
        <v>780</v>
      </c>
      <c r="JD41" t="s">
        <v>780</v>
      </c>
      <c r="JE41" t="s">
        <v>780</v>
      </c>
      <c r="JF41" t="s">
        <v>780</v>
      </c>
      <c r="JG41" t="s">
        <v>780</v>
      </c>
      <c r="JH41" t="s">
        <v>780</v>
      </c>
      <c r="JI41" t="s">
        <v>780</v>
      </c>
      <c r="JJ41" t="s">
        <v>780</v>
      </c>
      <c r="JK41" t="s">
        <v>780</v>
      </c>
      <c r="JL41" t="s">
        <v>780</v>
      </c>
      <c r="JM41" t="s">
        <v>780</v>
      </c>
      <c r="JN41" t="s">
        <v>780</v>
      </c>
      <c r="JO41" t="s">
        <v>780</v>
      </c>
      <c r="JP41" t="s">
        <v>780</v>
      </c>
      <c r="JQ41" t="s">
        <v>780</v>
      </c>
      <c r="JR41" t="s">
        <v>780</v>
      </c>
    </row>
    <row r="42" spans="2:283" ht="87" x14ac:dyDescent="0.35">
      <c r="B42" s="1" t="s">
        <v>861</v>
      </c>
      <c r="C42" s="1" t="s">
        <v>72</v>
      </c>
      <c r="D42" s="1" t="s">
        <v>902</v>
      </c>
      <c r="E42" t="s">
        <v>780</v>
      </c>
      <c r="F42" t="s">
        <v>780</v>
      </c>
      <c r="G42" t="s">
        <v>780</v>
      </c>
      <c r="H42" t="s">
        <v>780</v>
      </c>
      <c r="I42" t="s">
        <v>780</v>
      </c>
      <c r="FI42" t="s">
        <v>780</v>
      </c>
      <c r="GB42" t="s">
        <v>780</v>
      </c>
      <c r="GC42" t="s">
        <v>780</v>
      </c>
      <c r="GD42" t="s">
        <v>780</v>
      </c>
    </row>
    <row r="43" spans="2:283" ht="72.5" x14ac:dyDescent="0.35">
      <c r="B43" s="1" t="s">
        <v>861</v>
      </c>
      <c r="C43" s="1" t="s">
        <v>72</v>
      </c>
      <c r="D43" s="1" t="s">
        <v>903</v>
      </c>
      <c r="E43" t="s">
        <v>780</v>
      </c>
      <c r="F43" t="s">
        <v>780</v>
      </c>
      <c r="G43" t="s">
        <v>780</v>
      </c>
      <c r="H43" t="s">
        <v>780</v>
      </c>
      <c r="I43" t="s">
        <v>780</v>
      </c>
      <c r="J43" t="s">
        <v>780</v>
      </c>
      <c r="K43" t="s">
        <v>780</v>
      </c>
      <c r="L43" t="s">
        <v>780</v>
      </c>
      <c r="M43" t="s">
        <v>780</v>
      </c>
      <c r="N43" t="s">
        <v>780</v>
      </c>
      <c r="AH43" t="s">
        <v>780</v>
      </c>
      <c r="AM43" t="s">
        <v>780</v>
      </c>
      <c r="AP43" t="s">
        <v>780</v>
      </c>
      <c r="FH43" t="s">
        <v>780</v>
      </c>
      <c r="FI43" t="s">
        <v>780</v>
      </c>
      <c r="GA43" t="s">
        <v>780</v>
      </c>
      <c r="GL43" t="s">
        <v>780</v>
      </c>
      <c r="GT43" t="s">
        <v>780</v>
      </c>
      <c r="GU43" t="s">
        <v>780</v>
      </c>
      <c r="GV43" t="s">
        <v>780</v>
      </c>
      <c r="GX43" t="s">
        <v>780</v>
      </c>
      <c r="HD43" t="s">
        <v>780</v>
      </c>
      <c r="HE43" t="s">
        <v>780</v>
      </c>
      <c r="HL43" t="s">
        <v>780</v>
      </c>
      <c r="HM43" t="s">
        <v>780</v>
      </c>
      <c r="HN43" t="s">
        <v>780</v>
      </c>
      <c r="HO43" t="s">
        <v>780</v>
      </c>
      <c r="HR43" t="s">
        <v>780</v>
      </c>
      <c r="HT43" t="s">
        <v>780</v>
      </c>
      <c r="HU43" t="s">
        <v>780</v>
      </c>
      <c r="HV43" t="s">
        <v>780</v>
      </c>
      <c r="IN43" t="s">
        <v>780</v>
      </c>
      <c r="IO43" t="s">
        <v>780</v>
      </c>
      <c r="IS43" t="s">
        <v>780</v>
      </c>
      <c r="JS43" t="s">
        <v>780</v>
      </c>
      <c r="JT43" t="s">
        <v>780</v>
      </c>
      <c r="JU43" t="s">
        <v>780</v>
      </c>
      <c r="JV43" t="s">
        <v>780</v>
      </c>
      <c r="JW43">
        <f>SUM(E43:JV43)</f>
        <v>0</v>
      </c>
    </row>
    <row r="44" spans="2:283" ht="145" x14ac:dyDescent="0.35">
      <c r="B44" s="1" t="s">
        <v>861</v>
      </c>
      <c r="C44" s="1" t="s">
        <v>72</v>
      </c>
      <c r="D44" s="1" t="s">
        <v>904</v>
      </c>
      <c r="E44" t="s">
        <v>780</v>
      </c>
      <c r="F44" t="s">
        <v>780</v>
      </c>
      <c r="G44" t="s">
        <v>780</v>
      </c>
      <c r="H44" t="s">
        <v>780</v>
      </c>
      <c r="I44" t="s">
        <v>780</v>
      </c>
      <c r="J44" t="s">
        <v>780</v>
      </c>
      <c r="K44" t="s">
        <v>780</v>
      </c>
      <c r="L44" t="s">
        <v>780</v>
      </c>
      <c r="M44" t="s">
        <v>780</v>
      </c>
      <c r="N44" t="s">
        <v>780</v>
      </c>
      <c r="AG44" t="s">
        <v>780</v>
      </c>
      <c r="AH44" t="s">
        <v>780</v>
      </c>
      <c r="AM44" t="s">
        <v>780</v>
      </c>
      <c r="AP44" t="s">
        <v>780</v>
      </c>
      <c r="AQ44" t="s">
        <v>780</v>
      </c>
      <c r="FH44" t="s">
        <v>780</v>
      </c>
      <c r="FI44" t="s">
        <v>780</v>
      </c>
      <c r="GA44" t="s">
        <v>780</v>
      </c>
      <c r="GL44" t="s">
        <v>780</v>
      </c>
      <c r="GT44" t="s">
        <v>780</v>
      </c>
      <c r="GU44" t="s">
        <v>780</v>
      </c>
      <c r="GV44" t="s">
        <v>780</v>
      </c>
      <c r="GX44" t="s">
        <v>780</v>
      </c>
      <c r="HD44" t="s">
        <v>780</v>
      </c>
      <c r="HE44" t="s">
        <v>780</v>
      </c>
      <c r="HL44" t="s">
        <v>780</v>
      </c>
      <c r="HM44" t="s">
        <v>780</v>
      </c>
      <c r="HN44" t="s">
        <v>780</v>
      </c>
      <c r="HO44" t="s">
        <v>780</v>
      </c>
      <c r="HR44" t="s">
        <v>780</v>
      </c>
      <c r="HT44" t="s">
        <v>780</v>
      </c>
      <c r="HU44" t="s">
        <v>780</v>
      </c>
      <c r="HV44" t="s">
        <v>780</v>
      </c>
      <c r="IN44" t="s">
        <v>780</v>
      </c>
      <c r="IO44" t="s">
        <v>780</v>
      </c>
      <c r="IS44" t="s">
        <v>780</v>
      </c>
      <c r="JS44" t="s">
        <v>780</v>
      </c>
      <c r="JW44">
        <f>SUM(E44:JV44)</f>
        <v>0</v>
      </c>
    </row>
    <row r="45" spans="2:283" ht="130.5" x14ac:dyDescent="0.35">
      <c r="B45" s="1" t="s">
        <v>861</v>
      </c>
      <c r="C45" s="1" t="s">
        <v>72</v>
      </c>
      <c r="D45" s="1" t="s">
        <v>905</v>
      </c>
      <c r="E45" t="s">
        <v>780</v>
      </c>
      <c r="F45" t="s">
        <v>780</v>
      </c>
      <c r="G45" t="s">
        <v>780</v>
      </c>
      <c r="H45" t="s">
        <v>780</v>
      </c>
      <c r="I45" t="s">
        <v>780</v>
      </c>
      <c r="AG45" t="s">
        <v>780</v>
      </c>
      <c r="AH45" t="s">
        <v>780</v>
      </c>
      <c r="AM45" t="s">
        <v>780</v>
      </c>
      <c r="AP45" t="s">
        <v>780</v>
      </c>
      <c r="AQ45" t="s">
        <v>780</v>
      </c>
      <c r="FH45" t="s">
        <v>780</v>
      </c>
      <c r="FI45" t="s">
        <v>780</v>
      </c>
      <c r="GA45" t="s">
        <v>780</v>
      </c>
      <c r="GL45" t="s">
        <v>780</v>
      </c>
      <c r="GT45" t="s">
        <v>780</v>
      </c>
      <c r="GU45" t="s">
        <v>780</v>
      </c>
      <c r="GV45" t="s">
        <v>780</v>
      </c>
      <c r="GX45" t="s">
        <v>780</v>
      </c>
      <c r="HD45" t="s">
        <v>780</v>
      </c>
      <c r="HE45" t="s">
        <v>780</v>
      </c>
      <c r="HL45" t="s">
        <v>780</v>
      </c>
      <c r="HM45" t="s">
        <v>780</v>
      </c>
      <c r="HN45" t="s">
        <v>780</v>
      </c>
      <c r="HO45" t="s">
        <v>780</v>
      </c>
      <c r="HR45" t="s">
        <v>780</v>
      </c>
      <c r="HT45" t="s">
        <v>780</v>
      </c>
      <c r="HU45" t="s">
        <v>780</v>
      </c>
      <c r="HV45" t="s">
        <v>780</v>
      </c>
      <c r="IN45" t="s">
        <v>780</v>
      </c>
      <c r="IO45" t="s">
        <v>780</v>
      </c>
      <c r="IS45" t="s">
        <v>780</v>
      </c>
      <c r="JS45" t="s">
        <v>780</v>
      </c>
      <c r="JW45">
        <f>SUM(E45:JV45)</f>
        <v>0</v>
      </c>
    </row>
    <row r="46" spans="2:283" ht="101.5" x14ac:dyDescent="0.35">
      <c r="B46" s="1" t="s">
        <v>861</v>
      </c>
      <c r="C46" s="1" t="s">
        <v>83</v>
      </c>
      <c r="D46" s="1" t="s">
        <v>906</v>
      </c>
      <c r="E46" t="s">
        <v>780</v>
      </c>
      <c r="F46" t="s">
        <v>780</v>
      </c>
      <c r="G46" t="s">
        <v>780</v>
      </c>
      <c r="H46" t="s">
        <v>780</v>
      </c>
      <c r="I46" t="s">
        <v>780</v>
      </c>
      <c r="AC46" t="s">
        <v>780</v>
      </c>
      <c r="AF46" t="s">
        <v>780</v>
      </c>
      <c r="BE46" t="s">
        <v>780</v>
      </c>
      <c r="BF46" t="s">
        <v>780</v>
      </c>
      <c r="BH46" t="s">
        <v>780</v>
      </c>
      <c r="BI46" t="s">
        <v>780</v>
      </c>
      <c r="BJ46" t="s">
        <v>780</v>
      </c>
      <c r="JW46">
        <f>SUM(E46:JV46)</f>
        <v>0</v>
      </c>
    </row>
    <row r="47" spans="2:283" ht="116" x14ac:dyDescent="0.35">
      <c r="B47" s="1" t="s">
        <v>861</v>
      </c>
      <c r="C47" s="1" t="s">
        <v>83</v>
      </c>
      <c r="D47" s="1" t="s">
        <v>869</v>
      </c>
      <c r="E47" t="s">
        <v>780</v>
      </c>
      <c r="F47" t="s">
        <v>780</v>
      </c>
      <c r="G47" t="s">
        <v>780</v>
      </c>
      <c r="H47" t="s">
        <v>780</v>
      </c>
      <c r="I47" t="s">
        <v>780</v>
      </c>
      <c r="AC47" t="s">
        <v>780</v>
      </c>
      <c r="AF47" t="s">
        <v>780</v>
      </c>
      <c r="BE47" t="s">
        <v>780</v>
      </c>
      <c r="BF47" t="s">
        <v>780</v>
      </c>
      <c r="BK47" t="s">
        <v>780</v>
      </c>
      <c r="BL47" t="s">
        <v>780</v>
      </c>
      <c r="BM47" t="s">
        <v>780</v>
      </c>
      <c r="BN47" t="s">
        <v>780</v>
      </c>
      <c r="BP47" t="s">
        <v>780</v>
      </c>
      <c r="JW47">
        <f>SUM(E47:JV47)</f>
        <v>0</v>
      </c>
    </row>
  </sheetData>
  <autoFilter ref="A1:JW1" xr:uid="{7658A0A7-3FB6-453A-AC5F-C6671B244230}"/>
  <phoneticPr fontId="5"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29"/>
  <sheetViews>
    <sheetView topLeftCell="A9" workbookViewId="0">
      <selection activeCell="B2" sqref="B2"/>
    </sheetView>
  </sheetViews>
  <sheetFormatPr defaultRowHeight="14.5" x14ac:dyDescent="0.35"/>
  <cols>
    <col min="1" max="1" width="8.7265625" customWidth="1"/>
    <col min="10" max="10" width="9" customWidth="1"/>
  </cols>
  <sheetData>
    <row r="2" spans="1:2" x14ac:dyDescent="0.35">
      <c r="A2" t="s">
        <v>571</v>
      </c>
      <c r="B2" t="s">
        <v>1554</v>
      </c>
    </row>
    <row r="3" spans="1:2" x14ac:dyDescent="0.35">
      <c r="A3" t="s">
        <v>1555</v>
      </c>
      <c r="B3" t="s">
        <v>1556</v>
      </c>
    </row>
    <row r="4" spans="1:2" x14ac:dyDescent="0.35">
      <c r="A4" t="s">
        <v>594</v>
      </c>
      <c r="B4" t="s">
        <v>1557</v>
      </c>
    </row>
    <row r="5" spans="1:2" x14ac:dyDescent="0.35">
      <c r="A5" t="s">
        <v>594</v>
      </c>
      <c r="B5" t="s">
        <v>1557</v>
      </c>
    </row>
    <row r="6" spans="1:2" x14ac:dyDescent="0.35">
      <c r="A6" t="s">
        <v>596</v>
      </c>
      <c r="B6" t="s">
        <v>1558</v>
      </c>
    </row>
    <row r="7" spans="1:2" x14ac:dyDescent="0.35">
      <c r="A7" t="s">
        <v>596</v>
      </c>
      <c r="B7" t="s">
        <v>1558</v>
      </c>
    </row>
    <row r="8" spans="1:2" x14ac:dyDescent="0.35">
      <c r="A8" t="s">
        <v>595</v>
      </c>
      <c r="B8" t="s">
        <v>1559</v>
      </c>
    </row>
    <row r="9" spans="1:2" x14ac:dyDescent="0.35">
      <c r="A9" t="s">
        <v>595</v>
      </c>
      <c r="B9" t="s">
        <v>1559</v>
      </c>
    </row>
    <row r="10" spans="1:2" x14ac:dyDescent="0.35">
      <c r="A10" t="s">
        <v>597</v>
      </c>
      <c r="B10" t="s">
        <v>1560</v>
      </c>
    </row>
    <row r="11" spans="1:2" x14ac:dyDescent="0.35">
      <c r="A11" t="s">
        <v>597</v>
      </c>
      <c r="B11" t="s">
        <v>1560</v>
      </c>
    </row>
    <row r="12" spans="1:2" x14ac:dyDescent="0.35">
      <c r="A12" t="s">
        <v>551</v>
      </c>
      <c r="B12" t="s">
        <v>1561</v>
      </c>
    </row>
    <row r="13" spans="1:2" x14ac:dyDescent="0.35">
      <c r="A13" t="s">
        <v>1526</v>
      </c>
      <c r="B13" t="s">
        <v>1562</v>
      </c>
    </row>
    <row r="14" spans="1:2" x14ac:dyDescent="0.35">
      <c r="A14" t="s">
        <v>1563</v>
      </c>
      <c r="B14" t="s">
        <v>1564</v>
      </c>
    </row>
    <row r="15" spans="1:2" x14ac:dyDescent="0.35">
      <c r="A15" t="s">
        <v>1565</v>
      </c>
      <c r="B15" t="s">
        <v>1566</v>
      </c>
    </row>
    <row r="16" spans="1:2" x14ac:dyDescent="0.35">
      <c r="A16" t="s">
        <v>1528</v>
      </c>
      <c r="B16" t="s">
        <v>1566</v>
      </c>
    </row>
    <row r="17" spans="1:2" x14ac:dyDescent="0.35">
      <c r="A17" t="s">
        <v>592</v>
      </c>
      <c r="B17" t="s">
        <v>1567</v>
      </c>
    </row>
    <row r="18" spans="1:2" x14ac:dyDescent="0.35">
      <c r="A18" t="s">
        <v>1568</v>
      </c>
      <c r="B18" t="s">
        <v>1569</v>
      </c>
    </row>
    <row r="19" spans="1:2" x14ac:dyDescent="0.35">
      <c r="A19" t="s">
        <v>585</v>
      </c>
      <c r="B19" t="s">
        <v>1570</v>
      </c>
    </row>
    <row r="20" spans="1:2" x14ac:dyDescent="0.35">
      <c r="A20" t="s">
        <v>587</v>
      </c>
      <c r="B20" t="s">
        <v>1571</v>
      </c>
    </row>
    <row r="21" spans="1:2" x14ac:dyDescent="0.35">
      <c r="A21" t="s">
        <v>593</v>
      </c>
      <c r="B21" t="s">
        <v>1572</v>
      </c>
    </row>
    <row r="22" spans="1:2" x14ac:dyDescent="0.35">
      <c r="A22" t="s">
        <v>575</v>
      </c>
      <c r="B22" t="s">
        <v>1573</v>
      </c>
    </row>
    <row r="23" spans="1:2" x14ac:dyDescent="0.35">
      <c r="A23" t="s">
        <v>590</v>
      </c>
      <c r="B23" t="s">
        <v>1574</v>
      </c>
    </row>
    <row r="24" spans="1:2" x14ac:dyDescent="0.35">
      <c r="A24" t="s">
        <v>584</v>
      </c>
      <c r="B24" t="s">
        <v>1575</v>
      </c>
    </row>
    <row r="25" spans="1:2" x14ac:dyDescent="0.35">
      <c r="A25" t="s">
        <v>586</v>
      </c>
      <c r="B25" t="s">
        <v>1576</v>
      </c>
    </row>
    <row r="26" spans="1:2" x14ac:dyDescent="0.35">
      <c r="A26" t="s">
        <v>591</v>
      </c>
      <c r="B26" t="s">
        <v>1577</v>
      </c>
    </row>
    <row r="27" spans="1:2" x14ac:dyDescent="0.35">
      <c r="A27" t="s">
        <v>589</v>
      </c>
      <c r="B27" t="s">
        <v>1578</v>
      </c>
    </row>
    <row r="28" spans="1:2" x14ac:dyDescent="0.35">
      <c r="A28" t="s">
        <v>579</v>
      </c>
      <c r="B28" t="s">
        <v>1579</v>
      </c>
    </row>
    <row r="29" spans="1:2" x14ac:dyDescent="0.35">
      <c r="A29" t="s">
        <v>574</v>
      </c>
      <c r="B29" t="s">
        <v>1580</v>
      </c>
    </row>
    <row r="30" spans="1:2" x14ac:dyDescent="0.35">
      <c r="A30" t="s">
        <v>1581</v>
      </c>
      <c r="B30" t="s">
        <v>1582</v>
      </c>
    </row>
    <row r="31" spans="1:2" x14ac:dyDescent="0.35">
      <c r="A31" t="s">
        <v>1535</v>
      </c>
      <c r="B31" t="s">
        <v>1583</v>
      </c>
    </row>
    <row r="32" spans="1:2" x14ac:dyDescent="0.35">
      <c r="A32" t="s">
        <v>1584</v>
      </c>
      <c r="B32" t="s">
        <v>1585</v>
      </c>
    </row>
    <row r="33" spans="1:2" x14ac:dyDescent="0.35">
      <c r="A33" t="s">
        <v>1586</v>
      </c>
      <c r="B33" t="s">
        <v>1587</v>
      </c>
    </row>
    <row r="34" spans="1:2" x14ac:dyDescent="0.35">
      <c r="A34" t="s">
        <v>406</v>
      </c>
      <c r="B34" t="s">
        <v>1588</v>
      </c>
    </row>
    <row r="35" spans="1:2" x14ac:dyDescent="0.35">
      <c r="A35" t="s">
        <v>1589</v>
      </c>
      <c r="B35" t="s">
        <v>1590</v>
      </c>
    </row>
    <row r="36" spans="1:2" x14ac:dyDescent="0.35">
      <c r="A36" t="s">
        <v>1591</v>
      </c>
      <c r="B36" t="s">
        <v>1592</v>
      </c>
    </row>
    <row r="37" spans="1:2" x14ac:dyDescent="0.35">
      <c r="A37" t="s">
        <v>1593</v>
      </c>
      <c r="B37" t="s">
        <v>1594</v>
      </c>
    </row>
    <row r="38" spans="1:2" x14ac:dyDescent="0.35">
      <c r="A38" t="s">
        <v>1595</v>
      </c>
      <c r="B38" t="s">
        <v>1596</v>
      </c>
    </row>
    <row r="39" spans="1:2" x14ac:dyDescent="0.35">
      <c r="A39" t="s">
        <v>1597</v>
      </c>
      <c r="B39" t="s">
        <v>1598</v>
      </c>
    </row>
    <row r="40" spans="1:2" x14ac:dyDescent="0.35">
      <c r="A40" t="s">
        <v>1599</v>
      </c>
      <c r="B40" t="s">
        <v>1600</v>
      </c>
    </row>
    <row r="41" spans="1:2" x14ac:dyDescent="0.35">
      <c r="A41" t="s">
        <v>1601</v>
      </c>
      <c r="B41" t="s">
        <v>1602</v>
      </c>
    </row>
    <row r="42" spans="1:2" x14ac:dyDescent="0.35">
      <c r="A42" t="s">
        <v>561</v>
      </c>
      <c r="B42" t="s">
        <v>1603</v>
      </c>
    </row>
    <row r="43" spans="1:2" x14ac:dyDescent="0.35">
      <c r="A43" t="s">
        <v>1604</v>
      </c>
      <c r="B43" t="s">
        <v>1605</v>
      </c>
    </row>
    <row r="44" spans="1:2" x14ac:dyDescent="0.35">
      <c r="A44" t="s">
        <v>558</v>
      </c>
      <c r="B44" t="s">
        <v>1606</v>
      </c>
    </row>
    <row r="45" spans="1:2" x14ac:dyDescent="0.35">
      <c r="A45" t="s">
        <v>1607</v>
      </c>
      <c r="B45" t="s">
        <v>1608</v>
      </c>
    </row>
    <row r="46" spans="1:2" x14ac:dyDescent="0.35">
      <c r="A46" t="s">
        <v>557</v>
      </c>
      <c r="B46" t="s">
        <v>1609</v>
      </c>
    </row>
    <row r="47" spans="1:2" x14ac:dyDescent="0.35">
      <c r="A47" t="s">
        <v>556</v>
      </c>
      <c r="B47" t="s">
        <v>1610</v>
      </c>
    </row>
    <row r="48" spans="1:2" x14ac:dyDescent="0.35">
      <c r="A48" t="s">
        <v>555</v>
      </c>
      <c r="B48" t="s">
        <v>1611</v>
      </c>
    </row>
    <row r="49" spans="1:1" x14ac:dyDescent="0.35">
      <c r="A49" t="s">
        <v>1612</v>
      </c>
    </row>
    <row r="50" spans="1:1" x14ac:dyDescent="0.35">
      <c r="A50" t="s">
        <v>1613</v>
      </c>
    </row>
    <row r="51" spans="1:1" x14ac:dyDescent="0.35">
      <c r="A51" t="s">
        <v>1614</v>
      </c>
    </row>
    <row r="52" spans="1:1" x14ac:dyDescent="0.35">
      <c r="A52" t="s">
        <v>1615</v>
      </c>
    </row>
    <row r="53" spans="1:1" x14ac:dyDescent="0.35">
      <c r="A53" t="s">
        <v>1616</v>
      </c>
    </row>
    <row r="54" spans="1:1" x14ac:dyDescent="0.35">
      <c r="A54" t="s">
        <v>1617</v>
      </c>
    </row>
    <row r="55" spans="1:1" x14ac:dyDescent="0.35">
      <c r="A55" t="s">
        <v>1618</v>
      </c>
    </row>
    <row r="56" spans="1:1" x14ac:dyDescent="0.35">
      <c r="A56" t="s">
        <v>1619</v>
      </c>
    </row>
    <row r="57" spans="1:1" x14ac:dyDescent="0.35">
      <c r="A57" t="s">
        <v>1620</v>
      </c>
    </row>
    <row r="58" spans="1:1" x14ac:dyDescent="0.35">
      <c r="A58" t="s">
        <v>1621</v>
      </c>
    </row>
    <row r="59" spans="1:1" x14ac:dyDescent="0.35">
      <c r="A59" t="s">
        <v>1622</v>
      </c>
    </row>
    <row r="60" spans="1:1" x14ac:dyDescent="0.35">
      <c r="A60" t="s">
        <v>1623</v>
      </c>
    </row>
    <row r="61" spans="1:1" x14ac:dyDescent="0.35">
      <c r="A61" t="s">
        <v>1624</v>
      </c>
    </row>
    <row r="62" spans="1:1" x14ac:dyDescent="0.35">
      <c r="A62" t="s">
        <v>1625</v>
      </c>
    </row>
    <row r="63" spans="1:1" x14ac:dyDescent="0.35">
      <c r="A63" t="s">
        <v>1626</v>
      </c>
    </row>
    <row r="64" spans="1:1" x14ac:dyDescent="0.35">
      <c r="A64" t="s">
        <v>1627</v>
      </c>
    </row>
    <row r="65" spans="1:1" x14ac:dyDescent="0.35">
      <c r="A65" t="s">
        <v>1627</v>
      </c>
    </row>
    <row r="66" spans="1:1" x14ac:dyDescent="0.35">
      <c r="A66" t="s">
        <v>1628</v>
      </c>
    </row>
    <row r="67" spans="1:1" x14ac:dyDescent="0.35">
      <c r="A67" t="s">
        <v>1629</v>
      </c>
    </row>
    <row r="68" spans="1:1" x14ac:dyDescent="0.35">
      <c r="A68" t="s">
        <v>1630</v>
      </c>
    </row>
    <row r="69" spans="1:1" x14ac:dyDescent="0.35">
      <c r="A69" t="s">
        <v>1631</v>
      </c>
    </row>
    <row r="70" spans="1:1" x14ac:dyDescent="0.35">
      <c r="A70" t="s">
        <v>1632</v>
      </c>
    </row>
    <row r="71" spans="1:1" x14ac:dyDescent="0.35">
      <c r="A71" t="s">
        <v>1633</v>
      </c>
    </row>
    <row r="72" spans="1:1" x14ac:dyDescent="0.35">
      <c r="A72" t="s">
        <v>1634</v>
      </c>
    </row>
    <row r="73" spans="1:1" x14ac:dyDescent="0.35">
      <c r="A73" t="s">
        <v>1635</v>
      </c>
    </row>
    <row r="74" spans="1:1" x14ac:dyDescent="0.35">
      <c r="A74" t="s">
        <v>1636</v>
      </c>
    </row>
    <row r="75" spans="1:1" x14ac:dyDescent="0.35">
      <c r="A75" t="s">
        <v>1637</v>
      </c>
    </row>
    <row r="76" spans="1:1" x14ac:dyDescent="0.35">
      <c r="A76" t="s">
        <v>1638</v>
      </c>
    </row>
    <row r="77" spans="1:1" x14ac:dyDescent="0.35">
      <c r="A77" t="s">
        <v>1639</v>
      </c>
    </row>
    <row r="78" spans="1:1" x14ac:dyDescent="0.35">
      <c r="A78" t="s">
        <v>1640</v>
      </c>
    </row>
    <row r="79" spans="1:1" x14ac:dyDescent="0.35">
      <c r="A79" t="s">
        <v>1641</v>
      </c>
    </row>
    <row r="80" spans="1:1" x14ac:dyDescent="0.35">
      <c r="A80" t="s">
        <v>1642</v>
      </c>
    </row>
    <row r="81" spans="1:1" x14ac:dyDescent="0.35">
      <c r="A81" t="s">
        <v>1643</v>
      </c>
    </row>
    <row r="82" spans="1:1" x14ac:dyDescent="0.35">
      <c r="A82" t="s">
        <v>1644</v>
      </c>
    </row>
    <row r="83" spans="1:1" x14ac:dyDescent="0.35">
      <c r="A83" t="s">
        <v>1645</v>
      </c>
    </row>
    <row r="84" spans="1:1" x14ac:dyDescent="0.35">
      <c r="A84" t="s">
        <v>1646</v>
      </c>
    </row>
    <row r="85" spans="1:1" x14ac:dyDescent="0.35">
      <c r="A85" t="s">
        <v>1647</v>
      </c>
    </row>
    <row r="86" spans="1:1" x14ac:dyDescent="0.35">
      <c r="A86" t="s">
        <v>1648</v>
      </c>
    </row>
    <row r="87" spans="1:1" x14ac:dyDescent="0.35">
      <c r="A87" t="s">
        <v>1649</v>
      </c>
    </row>
    <row r="88" spans="1:1" x14ac:dyDescent="0.35">
      <c r="A88" t="s">
        <v>1650</v>
      </c>
    </row>
    <row r="89" spans="1:1" x14ac:dyDescent="0.35">
      <c r="A89" t="s">
        <v>1651</v>
      </c>
    </row>
    <row r="90" spans="1:1" x14ac:dyDescent="0.35">
      <c r="A90" t="s">
        <v>1652</v>
      </c>
    </row>
    <row r="91" spans="1:1" x14ac:dyDescent="0.35">
      <c r="A91" t="s">
        <v>1653</v>
      </c>
    </row>
    <row r="92" spans="1:1" x14ac:dyDescent="0.35">
      <c r="A92" t="s">
        <v>1654</v>
      </c>
    </row>
    <row r="93" spans="1:1" x14ac:dyDescent="0.35">
      <c r="A93" t="s">
        <v>1655</v>
      </c>
    </row>
    <row r="94" spans="1:1" x14ac:dyDescent="0.35">
      <c r="A94" t="s">
        <v>1656</v>
      </c>
    </row>
    <row r="95" spans="1:1" x14ac:dyDescent="0.35">
      <c r="A95" t="s">
        <v>1657</v>
      </c>
    </row>
    <row r="96" spans="1:1" x14ac:dyDescent="0.35">
      <c r="A96" t="s">
        <v>1658</v>
      </c>
    </row>
    <row r="97" spans="1:1" x14ac:dyDescent="0.35">
      <c r="A97" t="s">
        <v>1659</v>
      </c>
    </row>
    <row r="98" spans="1:1" x14ac:dyDescent="0.35">
      <c r="A98" t="s">
        <v>1660</v>
      </c>
    </row>
    <row r="99" spans="1:1" x14ac:dyDescent="0.35">
      <c r="A99" t="s">
        <v>1661</v>
      </c>
    </row>
    <row r="100" spans="1:1" x14ac:dyDescent="0.35">
      <c r="A100" t="s">
        <v>1662</v>
      </c>
    </row>
    <row r="101" spans="1:1" x14ac:dyDescent="0.35">
      <c r="A101" t="s">
        <v>1663</v>
      </c>
    </row>
    <row r="102" spans="1:1" x14ac:dyDescent="0.35">
      <c r="A102" t="s">
        <v>1664</v>
      </c>
    </row>
    <row r="103" spans="1:1" x14ac:dyDescent="0.35">
      <c r="A103" t="s">
        <v>1665</v>
      </c>
    </row>
    <row r="104" spans="1:1" x14ac:dyDescent="0.35">
      <c r="A104" t="s">
        <v>1666</v>
      </c>
    </row>
    <row r="105" spans="1:1" x14ac:dyDescent="0.35">
      <c r="A105" t="s">
        <v>1667</v>
      </c>
    </row>
    <row r="106" spans="1:1" x14ac:dyDescent="0.35">
      <c r="A106" t="s">
        <v>1668</v>
      </c>
    </row>
    <row r="107" spans="1:1" x14ac:dyDescent="0.35">
      <c r="A107" t="s">
        <v>1669</v>
      </c>
    </row>
    <row r="108" spans="1:1" x14ac:dyDescent="0.35">
      <c r="A108" t="s">
        <v>1670</v>
      </c>
    </row>
    <row r="109" spans="1:1" x14ac:dyDescent="0.35">
      <c r="A109" t="s">
        <v>1671</v>
      </c>
    </row>
    <row r="110" spans="1:1" x14ac:dyDescent="0.35">
      <c r="A110" t="s">
        <v>1672</v>
      </c>
    </row>
    <row r="111" spans="1:1" x14ac:dyDescent="0.35">
      <c r="A111" t="s">
        <v>1673</v>
      </c>
    </row>
    <row r="112" spans="1:1" x14ac:dyDescent="0.35">
      <c r="A112" t="s">
        <v>1674</v>
      </c>
    </row>
    <row r="113" spans="1:1" x14ac:dyDescent="0.35">
      <c r="A113" t="s">
        <v>1675</v>
      </c>
    </row>
    <row r="114" spans="1:1" x14ac:dyDescent="0.35">
      <c r="A114" t="s">
        <v>1676</v>
      </c>
    </row>
    <row r="115" spans="1:1" x14ac:dyDescent="0.35">
      <c r="A115" t="s">
        <v>1677</v>
      </c>
    </row>
    <row r="116" spans="1:1" x14ac:dyDescent="0.35">
      <c r="A116" t="s">
        <v>1678</v>
      </c>
    </row>
    <row r="117" spans="1:1" x14ac:dyDescent="0.35">
      <c r="A117" t="s">
        <v>1679</v>
      </c>
    </row>
    <row r="118" spans="1:1" x14ac:dyDescent="0.35">
      <c r="A118" t="s">
        <v>1680</v>
      </c>
    </row>
    <row r="119" spans="1:1" x14ac:dyDescent="0.35">
      <c r="A119" t="s">
        <v>1681</v>
      </c>
    </row>
    <row r="120" spans="1:1" x14ac:dyDescent="0.35">
      <c r="A120" t="s">
        <v>1682</v>
      </c>
    </row>
    <row r="121" spans="1:1" x14ac:dyDescent="0.35">
      <c r="A121" t="s">
        <v>1683</v>
      </c>
    </row>
    <row r="122" spans="1:1" x14ac:dyDescent="0.35">
      <c r="A122" t="s">
        <v>1684</v>
      </c>
    </row>
    <row r="123" spans="1:1" x14ac:dyDescent="0.35">
      <c r="A123" t="s">
        <v>1685</v>
      </c>
    </row>
    <row r="124" spans="1:1" x14ac:dyDescent="0.35">
      <c r="A124" t="s">
        <v>1686</v>
      </c>
    </row>
    <row r="125" spans="1:1" x14ac:dyDescent="0.35">
      <c r="A125" t="s">
        <v>1687</v>
      </c>
    </row>
    <row r="126" spans="1:1" x14ac:dyDescent="0.35">
      <c r="A126" t="s">
        <v>1688</v>
      </c>
    </row>
    <row r="127" spans="1:1" x14ac:dyDescent="0.35">
      <c r="A127" t="s">
        <v>1689</v>
      </c>
    </row>
    <row r="128" spans="1:1" x14ac:dyDescent="0.35">
      <c r="A128" t="s">
        <v>1690</v>
      </c>
    </row>
    <row r="129" spans="1:1" x14ac:dyDescent="0.35">
      <c r="A129" t="s">
        <v>1691</v>
      </c>
    </row>
    <row r="130" spans="1:1" x14ac:dyDescent="0.35">
      <c r="A130" t="s">
        <v>1692</v>
      </c>
    </row>
    <row r="131" spans="1:1" x14ac:dyDescent="0.35">
      <c r="A131" t="s">
        <v>1693</v>
      </c>
    </row>
    <row r="132" spans="1:1" x14ac:dyDescent="0.35">
      <c r="A132" t="s">
        <v>1694</v>
      </c>
    </row>
    <row r="133" spans="1:1" x14ac:dyDescent="0.35">
      <c r="A133" t="s">
        <v>1695</v>
      </c>
    </row>
    <row r="134" spans="1:1" x14ac:dyDescent="0.35">
      <c r="A134" t="s">
        <v>1696</v>
      </c>
    </row>
    <row r="135" spans="1:1" x14ac:dyDescent="0.35">
      <c r="A135" t="s">
        <v>1697</v>
      </c>
    </row>
    <row r="136" spans="1:1" x14ac:dyDescent="0.35">
      <c r="A136" t="s">
        <v>1698</v>
      </c>
    </row>
    <row r="137" spans="1:1" x14ac:dyDescent="0.35">
      <c r="A137" t="s">
        <v>1699</v>
      </c>
    </row>
    <row r="138" spans="1:1" x14ac:dyDescent="0.35">
      <c r="A138" t="s">
        <v>1700</v>
      </c>
    </row>
    <row r="139" spans="1:1" x14ac:dyDescent="0.35">
      <c r="A139" t="s">
        <v>1701</v>
      </c>
    </row>
    <row r="140" spans="1:1" x14ac:dyDescent="0.35">
      <c r="A140" t="s">
        <v>1702</v>
      </c>
    </row>
    <row r="141" spans="1:1" x14ac:dyDescent="0.35">
      <c r="A141" t="s">
        <v>1703</v>
      </c>
    </row>
    <row r="142" spans="1:1" x14ac:dyDescent="0.35">
      <c r="A142" t="s">
        <v>1704</v>
      </c>
    </row>
    <row r="143" spans="1:1" x14ac:dyDescent="0.35">
      <c r="A143" t="s">
        <v>1705</v>
      </c>
    </row>
    <row r="144" spans="1:1" x14ac:dyDescent="0.35">
      <c r="A144" t="s">
        <v>1705</v>
      </c>
    </row>
    <row r="145" spans="1:1" x14ac:dyDescent="0.35">
      <c r="A145" t="s">
        <v>1706</v>
      </c>
    </row>
    <row r="146" spans="1:1" x14ac:dyDescent="0.35">
      <c r="A146" t="s">
        <v>1707</v>
      </c>
    </row>
    <row r="147" spans="1:1" x14ac:dyDescent="0.35">
      <c r="A147" t="s">
        <v>1708</v>
      </c>
    </row>
    <row r="148" spans="1:1" x14ac:dyDescent="0.35">
      <c r="A148" t="s">
        <v>1709</v>
      </c>
    </row>
    <row r="149" spans="1:1" x14ac:dyDescent="0.35">
      <c r="A149" t="s">
        <v>1710</v>
      </c>
    </row>
    <row r="150" spans="1:1" x14ac:dyDescent="0.35">
      <c r="A150" t="s">
        <v>1711</v>
      </c>
    </row>
    <row r="151" spans="1:1" x14ac:dyDescent="0.35">
      <c r="A151" t="s">
        <v>1712</v>
      </c>
    </row>
    <row r="152" spans="1:1" x14ac:dyDescent="0.35">
      <c r="A152" t="s">
        <v>1713</v>
      </c>
    </row>
    <row r="153" spans="1:1" x14ac:dyDescent="0.35">
      <c r="A153" t="s">
        <v>1714</v>
      </c>
    </row>
    <row r="154" spans="1:1" x14ac:dyDescent="0.35">
      <c r="A154" t="s">
        <v>1715</v>
      </c>
    </row>
    <row r="155" spans="1:1" x14ac:dyDescent="0.35">
      <c r="A155" t="s">
        <v>1716</v>
      </c>
    </row>
    <row r="156" spans="1:1" x14ac:dyDescent="0.35">
      <c r="A156" t="s">
        <v>1717</v>
      </c>
    </row>
    <row r="157" spans="1:1" x14ac:dyDescent="0.35">
      <c r="A157" t="s">
        <v>1718</v>
      </c>
    </row>
    <row r="158" spans="1:1" x14ac:dyDescent="0.35">
      <c r="A158" t="s">
        <v>1719</v>
      </c>
    </row>
    <row r="159" spans="1:1" x14ac:dyDescent="0.35">
      <c r="A159" t="s">
        <v>1720</v>
      </c>
    </row>
    <row r="160" spans="1:1" x14ac:dyDescent="0.35">
      <c r="A160" t="s">
        <v>1721</v>
      </c>
    </row>
    <row r="161" spans="1:1" x14ac:dyDescent="0.35">
      <c r="A161" t="s">
        <v>1722</v>
      </c>
    </row>
    <row r="162" spans="1:1" x14ac:dyDescent="0.35">
      <c r="A162" t="s">
        <v>1723</v>
      </c>
    </row>
    <row r="163" spans="1:1" x14ac:dyDescent="0.35">
      <c r="A163" t="s">
        <v>1724</v>
      </c>
    </row>
    <row r="164" spans="1:1" x14ac:dyDescent="0.35">
      <c r="A164" t="s">
        <v>1725</v>
      </c>
    </row>
    <row r="165" spans="1:1" x14ac:dyDescent="0.35">
      <c r="A165" t="s">
        <v>1726</v>
      </c>
    </row>
    <row r="166" spans="1:1" x14ac:dyDescent="0.35">
      <c r="A166" t="s">
        <v>1727</v>
      </c>
    </row>
    <row r="167" spans="1:1" x14ac:dyDescent="0.35">
      <c r="A167" t="s">
        <v>1728</v>
      </c>
    </row>
    <row r="168" spans="1:1" x14ac:dyDescent="0.35">
      <c r="A168" t="s">
        <v>1729</v>
      </c>
    </row>
    <row r="169" spans="1:1" x14ac:dyDescent="0.35">
      <c r="A169" t="s">
        <v>1730</v>
      </c>
    </row>
    <row r="170" spans="1:1" x14ac:dyDescent="0.35">
      <c r="A170" t="s">
        <v>1731</v>
      </c>
    </row>
    <row r="171" spans="1:1" x14ac:dyDescent="0.35">
      <c r="A171" t="s">
        <v>1732</v>
      </c>
    </row>
    <row r="172" spans="1:1" x14ac:dyDescent="0.35">
      <c r="A172" t="s">
        <v>1733</v>
      </c>
    </row>
    <row r="173" spans="1:1" x14ac:dyDescent="0.35">
      <c r="A173" t="s">
        <v>1734</v>
      </c>
    </row>
    <row r="174" spans="1:1" x14ac:dyDescent="0.35">
      <c r="A174" t="s">
        <v>1735</v>
      </c>
    </row>
    <row r="175" spans="1:1" x14ac:dyDescent="0.35">
      <c r="A175" t="s">
        <v>1736</v>
      </c>
    </row>
    <row r="176" spans="1:1" x14ac:dyDescent="0.35">
      <c r="A176" t="s">
        <v>1737</v>
      </c>
    </row>
    <row r="177" spans="1:1" x14ac:dyDescent="0.35">
      <c r="A177" t="s">
        <v>1738</v>
      </c>
    </row>
    <row r="178" spans="1:1" x14ac:dyDescent="0.35">
      <c r="A178" t="s">
        <v>1739</v>
      </c>
    </row>
    <row r="179" spans="1:1" x14ac:dyDescent="0.35">
      <c r="A179" t="s">
        <v>1740</v>
      </c>
    </row>
    <row r="180" spans="1:1" x14ac:dyDescent="0.35">
      <c r="A180" t="s">
        <v>1741</v>
      </c>
    </row>
    <row r="181" spans="1:1" x14ac:dyDescent="0.35">
      <c r="A181" t="s">
        <v>1742</v>
      </c>
    </row>
    <row r="182" spans="1:1" x14ac:dyDescent="0.35">
      <c r="A182" t="s">
        <v>1743</v>
      </c>
    </row>
    <row r="183" spans="1:1" x14ac:dyDescent="0.35">
      <c r="A183" t="s">
        <v>1744</v>
      </c>
    </row>
    <row r="184" spans="1:1" x14ac:dyDescent="0.35">
      <c r="A184" t="s">
        <v>1745</v>
      </c>
    </row>
    <row r="185" spans="1:1" x14ac:dyDescent="0.35">
      <c r="A185" t="s">
        <v>1746</v>
      </c>
    </row>
    <row r="186" spans="1:1" x14ac:dyDescent="0.35">
      <c r="A186" t="s">
        <v>1747</v>
      </c>
    </row>
    <row r="187" spans="1:1" x14ac:dyDescent="0.35">
      <c r="A187" t="s">
        <v>1748</v>
      </c>
    </row>
    <row r="188" spans="1:1" x14ac:dyDescent="0.35">
      <c r="A188" t="s">
        <v>1749</v>
      </c>
    </row>
    <row r="189" spans="1:1" x14ac:dyDescent="0.35">
      <c r="A189" t="s">
        <v>1750</v>
      </c>
    </row>
    <row r="190" spans="1:1" x14ac:dyDescent="0.35">
      <c r="A190" t="s">
        <v>1751</v>
      </c>
    </row>
    <row r="191" spans="1:1" x14ac:dyDescent="0.35">
      <c r="A191" t="s">
        <v>1752</v>
      </c>
    </row>
    <row r="192" spans="1:1" x14ac:dyDescent="0.35">
      <c r="A192" t="s">
        <v>1753</v>
      </c>
    </row>
    <row r="193" spans="1:1" x14ac:dyDescent="0.35">
      <c r="A193" t="s">
        <v>1754</v>
      </c>
    </row>
    <row r="194" spans="1:1" x14ac:dyDescent="0.35">
      <c r="A194" t="s">
        <v>1755</v>
      </c>
    </row>
    <row r="195" spans="1:1" x14ac:dyDescent="0.35">
      <c r="A195" t="s">
        <v>1756</v>
      </c>
    </row>
    <row r="196" spans="1:1" x14ac:dyDescent="0.35">
      <c r="A196" t="s">
        <v>1757</v>
      </c>
    </row>
    <row r="197" spans="1:1" x14ac:dyDescent="0.35">
      <c r="A197" t="s">
        <v>1758</v>
      </c>
    </row>
    <row r="198" spans="1:1" x14ac:dyDescent="0.35">
      <c r="A198" t="s">
        <v>1759</v>
      </c>
    </row>
    <row r="199" spans="1:1" x14ac:dyDescent="0.35">
      <c r="A199" t="s">
        <v>1760</v>
      </c>
    </row>
    <row r="200" spans="1:1" x14ac:dyDescent="0.35">
      <c r="A200" t="s">
        <v>1761</v>
      </c>
    </row>
    <row r="201" spans="1:1" x14ac:dyDescent="0.35">
      <c r="A201" t="s">
        <v>1762</v>
      </c>
    </row>
    <row r="202" spans="1:1" x14ac:dyDescent="0.35">
      <c r="A202" t="s">
        <v>1763</v>
      </c>
    </row>
    <row r="203" spans="1:1" x14ac:dyDescent="0.35">
      <c r="A203" t="s">
        <v>1764</v>
      </c>
    </row>
    <row r="204" spans="1:1" x14ac:dyDescent="0.35">
      <c r="A204" t="s">
        <v>1765</v>
      </c>
    </row>
    <row r="205" spans="1:1" x14ac:dyDescent="0.35">
      <c r="A205" t="s">
        <v>1766</v>
      </c>
    </row>
    <row r="206" spans="1:1" x14ac:dyDescent="0.35">
      <c r="A206" t="s">
        <v>1767</v>
      </c>
    </row>
    <row r="207" spans="1:1" x14ac:dyDescent="0.35">
      <c r="A207" t="s">
        <v>1768</v>
      </c>
    </row>
    <row r="208" spans="1:1" x14ac:dyDescent="0.35">
      <c r="A208" t="s">
        <v>1769</v>
      </c>
    </row>
    <row r="209" spans="1:1" x14ac:dyDescent="0.35">
      <c r="A209" t="s">
        <v>1770</v>
      </c>
    </row>
    <row r="210" spans="1:1" x14ac:dyDescent="0.35">
      <c r="A210" t="s">
        <v>1771</v>
      </c>
    </row>
    <row r="211" spans="1:1" x14ac:dyDescent="0.35">
      <c r="A211" t="s">
        <v>1772</v>
      </c>
    </row>
    <row r="212" spans="1:1" x14ac:dyDescent="0.35">
      <c r="A212" t="s">
        <v>1773</v>
      </c>
    </row>
    <row r="213" spans="1:1" x14ac:dyDescent="0.35">
      <c r="A213" t="s">
        <v>1774</v>
      </c>
    </row>
    <row r="214" spans="1:1" x14ac:dyDescent="0.35">
      <c r="A214" t="s">
        <v>1775</v>
      </c>
    </row>
    <row r="215" spans="1:1" x14ac:dyDescent="0.35">
      <c r="A215" t="s">
        <v>1776</v>
      </c>
    </row>
    <row r="216" spans="1:1" x14ac:dyDescent="0.35">
      <c r="A216" t="s">
        <v>1777</v>
      </c>
    </row>
    <row r="217" spans="1:1" x14ac:dyDescent="0.35">
      <c r="A217" t="s">
        <v>1778</v>
      </c>
    </row>
    <row r="218" spans="1:1" x14ac:dyDescent="0.35">
      <c r="A218" t="s">
        <v>1779</v>
      </c>
    </row>
    <row r="219" spans="1:1" x14ac:dyDescent="0.35">
      <c r="A219" t="s">
        <v>1780</v>
      </c>
    </row>
    <row r="220" spans="1:1" x14ac:dyDescent="0.35">
      <c r="A220" t="s">
        <v>1781</v>
      </c>
    </row>
    <row r="221" spans="1:1" x14ac:dyDescent="0.35">
      <c r="A221" t="s">
        <v>1782</v>
      </c>
    </row>
    <row r="222" spans="1:1" x14ac:dyDescent="0.35">
      <c r="A222" t="s">
        <v>1783</v>
      </c>
    </row>
    <row r="223" spans="1:1" x14ac:dyDescent="0.35">
      <c r="A223" t="s">
        <v>1784</v>
      </c>
    </row>
    <row r="224" spans="1:1" x14ac:dyDescent="0.35">
      <c r="A224" t="s">
        <v>1785</v>
      </c>
    </row>
    <row r="225" spans="1:9" x14ac:dyDescent="0.35">
      <c r="A225" t="s">
        <v>1786</v>
      </c>
    </row>
    <row r="226" spans="1:9" x14ac:dyDescent="0.35">
      <c r="A226" t="s">
        <v>1787</v>
      </c>
      <c r="I226" s="1"/>
    </row>
    <row r="227" spans="1:9" x14ac:dyDescent="0.35">
      <c r="A227" t="s">
        <v>1788</v>
      </c>
    </row>
    <row r="228" spans="1:9" x14ac:dyDescent="0.35">
      <c r="A228" t="s">
        <v>1789</v>
      </c>
    </row>
    <row r="229" spans="1:9" x14ac:dyDescent="0.35">
      <c r="A229" t="s">
        <v>1790</v>
      </c>
    </row>
    <row r="230" spans="1:9" x14ac:dyDescent="0.35">
      <c r="A230" t="s">
        <v>1791</v>
      </c>
    </row>
    <row r="231" spans="1:9" x14ac:dyDescent="0.35">
      <c r="A231" t="s">
        <v>1792</v>
      </c>
    </row>
    <row r="232" spans="1:9" x14ac:dyDescent="0.35">
      <c r="A232" t="s">
        <v>1793</v>
      </c>
    </row>
    <row r="233" spans="1:9" x14ac:dyDescent="0.35">
      <c r="A233" t="s">
        <v>1794</v>
      </c>
    </row>
    <row r="234" spans="1:9" x14ac:dyDescent="0.35">
      <c r="A234" t="s">
        <v>1795</v>
      </c>
    </row>
    <row r="235" spans="1:9" x14ac:dyDescent="0.35">
      <c r="A235" t="s">
        <v>1796</v>
      </c>
    </row>
    <row r="236" spans="1:9" x14ac:dyDescent="0.35">
      <c r="A236" t="s">
        <v>1797</v>
      </c>
    </row>
    <row r="237" spans="1:9" x14ac:dyDescent="0.35">
      <c r="A237" t="s">
        <v>1798</v>
      </c>
    </row>
    <row r="238" spans="1:9" x14ac:dyDescent="0.35">
      <c r="A238" t="s">
        <v>1799</v>
      </c>
    </row>
    <row r="239" spans="1:9" x14ac:dyDescent="0.35">
      <c r="A239" t="s">
        <v>1800</v>
      </c>
    </row>
    <row r="240" spans="1:9" x14ac:dyDescent="0.35">
      <c r="A240" t="s">
        <v>1801</v>
      </c>
    </row>
    <row r="241" spans="1:1" x14ac:dyDescent="0.35">
      <c r="A241" t="s">
        <v>1802</v>
      </c>
    </row>
    <row r="242" spans="1:1" x14ac:dyDescent="0.35">
      <c r="A242" t="s">
        <v>1803</v>
      </c>
    </row>
    <row r="243" spans="1:1" x14ac:dyDescent="0.35">
      <c r="A243" t="s">
        <v>1804</v>
      </c>
    </row>
    <row r="244" spans="1:1" x14ac:dyDescent="0.35">
      <c r="A244" t="s">
        <v>1805</v>
      </c>
    </row>
    <row r="245" spans="1:1" x14ac:dyDescent="0.35">
      <c r="A245" t="s">
        <v>1806</v>
      </c>
    </row>
    <row r="246" spans="1:1" x14ac:dyDescent="0.35">
      <c r="A246" t="s">
        <v>1807</v>
      </c>
    </row>
    <row r="247" spans="1:1" x14ac:dyDescent="0.35">
      <c r="A247" t="s">
        <v>1808</v>
      </c>
    </row>
    <row r="248" spans="1:1" x14ac:dyDescent="0.35">
      <c r="A248" t="s">
        <v>1809</v>
      </c>
    </row>
    <row r="249" spans="1:1" x14ac:dyDescent="0.35">
      <c r="A249" t="s">
        <v>1810</v>
      </c>
    </row>
    <row r="250" spans="1:1" x14ac:dyDescent="0.35">
      <c r="A250" t="s">
        <v>1811</v>
      </c>
    </row>
    <row r="251" spans="1:1" x14ac:dyDescent="0.35">
      <c r="A251" t="s">
        <v>1812</v>
      </c>
    </row>
    <row r="252" spans="1:1" x14ac:dyDescent="0.35">
      <c r="A252" t="s">
        <v>1813</v>
      </c>
    </row>
    <row r="253" spans="1:1" x14ac:dyDescent="0.35">
      <c r="A253" t="s">
        <v>1814</v>
      </c>
    </row>
    <row r="254" spans="1:1" x14ac:dyDescent="0.35">
      <c r="A254" t="s">
        <v>1815</v>
      </c>
    </row>
    <row r="255" spans="1:1" x14ac:dyDescent="0.35">
      <c r="A255" t="s">
        <v>1816</v>
      </c>
    </row>
    <row r="256" spans="1:1" x14ac:dyDescent="0.35">
      <c r="A256" t="s">
        <v>1817</v>
      </c>
    </row>
    <row r="257" spans="1:1" x14ac:dyDescent="0.35">
      <c r="A257" t="s">
        <v>1818</v>
      </c>
    </row>
    <row r="258" spans="1:1" x14ac:dyDescent="0.35">
      <c r="A258" t="s">
        <v>1819</v>
      </c>
    </row>
    <row r="259" spans="1:1" x14ac:dyDescent="0.35">
      <c r="A259" t="s">
        <v>1820</v>
      </c>
    </row>
    <row r="260" spans="1:1" x14ac:dyDescent="0.35">
      <c r="A260" t="s">
        <v>1821</v>
      </c>
    </row>
    <row r="261" spans="1:1" x14ac:dyDescent="0.35">
      <c r="A261" t="s">
        <v>1822</v>
      </c>
    </row>
    <row r="262" spans="1:1" x14ac:dyDescent="0.35">
      <c r="A262" t="s">
        <v>1823</v>
      </c>
    </row>
    <row r="263" spans="1:1" x14ac:dyDescent="0.35">
      <c r="A263" t="s">
        <v>1824</v>
      </c>
    </row>
    <row r="264" spans="1:1" x14ac:dyDescent="0.35">
      <c r="A264" t="s">
        <v>1825</v>
      </c>
    </row>
    <row r="265" spans="1:1" x14ac:dyDescent="0.35">
      <c r="A265" t="s">
        <v>1826</v>
      </c>
    </row>
    <row r="266" spans="1:1" x14ac:dyDescent="0.35">
      <c r="A266" t="s">
        <v>1827</v>
      </c>
    </row>
    <row r="267" spans="1:1" x14ac:dyDescent="0.35">
      <c r="A267" t="s">
        <v>1828</v>
      </c>
    </row>
    <row r="268" spans="1:1" x14ac:dyDescent="0.35">
      <c r="A268" t="s">
        <v>1829</v>
      </c>
    </row>
    <row r="269" spans="1:1" x14ac:dyDescent="0.35">
      <c r="A269" t="s">
        <v>1830</v>
      </c>
    </row>
    <row r="270" spans="1:1" x14ac:dyDescent="0.35">
      <c r="A270" t="s">
        <v>1831</v>
      </c>
    </row>
    <row r="271" spans="1:1" x14ac:dyDescent="0.35">
      <c r="A271" t="s">
        <v>1832</v>
      </c>
    </row>
    <row r="272" spans="1:1" x14ac:dyDescent="0.35">
      <c r="A272" t="s">
        <v>1833</v>
      </c>
    </row>
    <row r="273" spans="1:1" x14ac:dyDescent="0.35">
      <c r="A273" t="s">
        <v>1834</v>
      </c>
    </row>
    <row r="274" spans="1:1" x14ac:dyDescent="0.35">
      <c r="A274" t="s">
        <v>1835</v>
      </c>
    </row>
    <row r="275" spans="1:1" x14ac:dyDescent="0.35">
      <c r="A275" t="s">
        <v>1836</v>
      </c>
    </row>
    <row r="276" spans="1:1" x14ac:dyDescent="0.35">
      <c r="A276" t="s">
        <v>1837</v>
      </c>
    </row>
    <row r="277" spans="1:1" x14ac:dyDescent="0.35">
      <c r="A277" t="s">
        <v>1838</v>
      </c>
    </row>
    <row r="278" spans="1:1" x14ac:dyDescent="0.35">
      <c r="A278" t="s">
        <v>1839</v>
      </c>
    </row>
    <row r="279" spans="1:1" x14ac:dyDescent="0.35">
      <c r="A279" t="s">
        <v>1840</v>
      </c>
    </row>
    <row r="280" spans="1:1" x14ac:dyDescent="0.35">
      <c r="A280" t="s">
        <v>1841</v>
      </c>
    </row>
    <row r="281" spans="1:1" x14ac:dyDescent="0.35">
      <c r="A281" t="s">
        <v>1842</v>
      </c>
    </row>
    <row r="282" spans="1:1" x14ac:dyDescent="0.35">
      <c r="A282" t="s">
        <v>1843</v>
      </c>
    </row>
    <row r="283" spans="1:1" x14ac:dyDescent="0.35">
      <c r="A283" t="s">
        <v>1844</v>
      </c>
    </row>
    <row r="284" spans="1:1" x14ac:dyDescent="0.35">
      <c r="A284" t="s">
        <v>1845</v>
      </c>
    </row>
    <row r="285" spans="1:1" x14ac:dyDescent="0.35">
      <c r="A285" t="s">
        <v>1846</v>
      </c>
    </row>
    <row r="286" spans="1:1" x14ac:dyDescent="0.35">
      <c r="A286" t="s">
        <v>1847</v>
      </c>
    </row>
    <row r="287" spans="1:1" x14ac:dyDescent="0.35">
      <c r="A287" t="s">
        <v>1848</v>
      </c>
    </row>
    <row r="288" spans="1:1" x14ac:dyDescent="0.35">
      <c r="A288" t="s">
        <v>1849</v>
      </c>
    </row>
    <row r="289" spans="1:1" x14ac:dyDescent="0.35">
      <c r="A289" t="s">
        <v>1850</v>
      </c>
    </row>
    <row r="290" spans="1:1" x14ac:dyDescent="0.35">
      <c r="A290" t="s">
        <v>1851</v>
      </c>
    </row>
    <row r="291" spans="1:1" x14ac:dyDescent="0.35">
      <c r="A291" t="s">
        <v>1852</v>
      </c>
    </row>
    <row r="292" spans="1:1" x14ac:dyDescent="0.35">
      <c r="A292" t="s">
        <v>1853</v>
      </c>
    </row>
    <row r="293" spans="1:1" x14ac:dyDescent="0.35">
      <c r="A293" t="s">
        <v>1854</v>
      </c>
    </row>
    <row r="294" spans="1:1" x14ac:dyDescent="0.35">
      <c r="A294" t="s">
        <v>1855</v>
      </c>
    </row>
    <row r="295" spans="1:1" x14ac:dyDescent="0.35">
      <c r="A295" t="s">
        <v>1856</v>
      </c>
    </row>
    <row r="296" spans="1:1" x14ac:dyDescent="0.35">
      <c r="A296" t="s">
        <v>1857</v>
      </c>
    </row>
    <row r="297" spans="1:1" x14ac:dyDescent="0.35">
      <c r="A297" t="s">
        <v>1858</v>
      </c>
    </row>
    <row r="298" spans="1:1" x14ac:dyDescent="0.35">
      <c r="A298" t="s">
        <v>1859</v>
      </c>
    </row>
    <row r="299" spans="1:1" x14ac:dyDescent="0.35">
      <c r="A299" t="s">
        <v>1860</v>
      </c>
    </row>
    <row r="300" spans="1:1" x14ac:dyDescent="0.35">
      <c r="A300" t="s">
        <v>1861</v>
      </c>
    </row>
    <row r="301" spans="1:1" x14ac:dyDescent="0.35">
      <c r="A301" t="s">
        <v>1862</v>
      </c>
    </row>
    <row r="302" spans="1:1" x14ac:dyDescent="0.35">
      <c r="A302" t="s">
        <v>1863</v>
      </c>
    </row>
    <row r="303" spans="1:1" x14ac:dyDescent="0.35">
      <c r="A303" t="s">
        <v>1864</v>
      </c>
    </row>
    <row r="304" spans="1:1" x14ac:dyDescent="0.35">
      <c r="A304" t="s">
        <v>1865</v>
      </c>
    </row>
    <row r="305" spans="1:1" x14ac:dyDescent="0.35">
      <c r="A305" t="s">
        <v>1866</v>
      </c>
    </row>
    <row r="306" spans="1:1" x14ac:dyDescent="0.35">
      <c r="A306" t="s">
        <v>1867</v>
      </c>
    </row>
    <row r="307" spans="1:1" x14ac:dyDescent="0.35">
      <c r="A307" t="s">
        <v>1868</v>
      </c>
    </row>
    <row r="308" spans="1:1" x14ac:dyDescent="0.35">
      <c r="A308" t="s">
        <v>1869</v>
      </c>
    </row>
    <row r="309" spans="1:1" x14ac:dyDescent="0.35">
      <c r="A309" t="s">
        <v>1870</v>
      </c>
    </row>
    <row r="310" spans="1:1" x14ac:dyDescent="0.35">
      <c r="A310" t="s">
        <v>1871</v>
      </c>
    </row>
    <row r="311" spans="1:1" x14ac:dyDescent="0.35">
      <c r="A311" t="s">
        <v>1872</v>
      </c>
    </row>
    <row r="312" spans="1:1" x14ac:dyDescent="0.35">
      <c r="A312" t="s">
        <v>1873</v>
      </c>
    </row>
    <row r="313" spans="1:1" x14ac:dyDescent="0.35">
      <c r="A313" t="s">
        <v>1874</v>
      </c>
    </row>
    <row r="314" spans="1:1" x14ac:dyDescent="0.35">
      <c r="A314" t="s">
        <v>1875</v>
      </c>
    </row>
    <row r="315" spans="1:1" x14ac:dyDescent="0.35">
      <c r="A315" t="s">
        <v>1876</v>
      </c>
    </row>
    <row r="316" spans="1:1" x14ac:dyDescent="0.35">
      <c r="A316" t="s">
        <v>1877</v>
      </c>
    </row>
    <row r="317" spans="1:1" x14ac:dyDescent="0.35">
      <c r="A317" t="s">
        <v>1878</v>
      </c>
    </row>
    <row r="318" spans="1:1" x14ac:dyDescent="0.35">
      <c r="A318" t="s">
        <v>1879</v>
      </c>
    </row>
    <row r="319" spans="1:1" x14ac:dyDescent="0.35">
      <c r="A319" t="s">
        <v>1880</v>
      </c>
    </row>
    <row r="320" spans="1:1" x14ac:dyDescent="0.35">
      <c r="A320" t="s">
        <v>1881</v>
      </c>
    </row>
    <row r="321" spans="1:1" x14ac:dyDescent="0.35">
      <c r="A321" t="s">
        <v>1882</v>
      </c>
    </row>
    <row r="322" spans="1:1" x14ac:dyDescent="0.35">
      <c r="A322" t="s">
        <v>1883</v>
      </c>
    </row>
    <row r="323" spans="1:1" x14ac:dyDescent="0.35">
      <c r="A323" t="s">
        <v>1884</v>
      </c>
    </row>
    <row r="324" spans="1:1" x14ac:dyDescent="0.35">
      <c r="A324" t="s">
        <v>1885</v>
      </c>
    </row>
    <row r="325" spans="1:1" x14ac:dyDescent="0.35">
      <c r="A325" t="s">
        <v>1886</v>
      </c>
    </row>
    <row r="326" spans="1:1" x14ac:dyDescent="0.35">
      <c r="A326" t="s">
        <v>1887</v>
      </c>
    </row>
    <row r="327" spans="1:1" x14ac:dyDescent="0.35">
      <c r="A327" t="s">
        <v>1888</v>
      </c>
    </row>
    <row r="328" spans="1:1" x14ac:dyDescent="0.35">
      <c r="A328" t="s">
        <v>1889</v>
      </c>
    </row>
    <row r="329" spans="1:1" x14ac:dyDescent="0.35">
      <c r="A329" t="s">
        <v>1890</v>
      </c>
    </row>
  </sheetData>
  <sortState xmlns:xlrd2="http://schemas.microsoft.com/office/spreadsheetml/2017/richdata2" ref="A2:A329">
    <sortCondition ref="A2:A329"/>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140</v>
      </c>
      <c r="E2" s="6" t="s">
        <v>141</v>
      </c>
      <c r="F2" s="6" t="s">
        <v>142</v>
      </c>
      <c r="G2" s="6" t="s">
        <v>143</v>
      </c>
      <c r="H2" s="6" t="s">
        <v>144</v>
      </c>
      <c r="I2" s="1" t="s">
        <v>145</v>
      </c>
      <c r="J2" s="1" t="s">
        <v>146</v>
      </c>
      <c r="K2" s="1" t="s">
        <v>148</v>
      </c>
      <c r="L2" s="1" t="s">
        <v>147</v>
      </c>
      <c r="M2" s="1" t="s">
        <v>149</v>
      </c>
      <c r="N2" s="6" t="s">
        <v>611</v>
      </c>
      <c r="O2" s="1" t="s">
        <v>171</v>
      </c>
      <c r="P2" s="6" t="s">
        <v>645</v>
      </c>
      <c r="Q2" s="6" t="s">
        <v>185</v>
      </c>
      <c r="R2" s="6" t="s">
        <v>181</v>
      </c>
      <c r="S2" s="6" t="s">
        <v>627</v>
      </c>
      <c r="T2" s="6" t="s">
        <v>753</v>
      </c>
      <c r="U2" s="6" t="s">
        <v>754</v>
      </c>
      <c r="V2" s="6" t="s">
        <v>169</v>
      </c>
      <c r="W2" s="1" t="s">
        <v>1318</v>
      </c>
      <c r="X2" s="6" t="s">
        <v>670</v>
      </c>
      <c r="Y2" s="6" t="s">
        <v>658</v>
      </c>
      <c r="Z2" s="6" t="s">
        <v>628</v>
      </c>
      <c r="AA2" s="6" t="s">
        <v>155</v>
      </c>
      <c r="AB2" s="6" t="s">
        <v>699</v>
      </c>
      <c r="AC2" s="6" t="s">
        <v>698</v>
      </c>
      <c r="AD2" s="6" t="s">
        <v>588</v>
      </c>
      <c r="AE2" s="6" t="s">
        <v>674</v>
      </c>
      <c r="AF2" s="6" t="s">
        <v>675</v>
      </c>
      <c r="AG2" s="6" t="s">
        <v>201</v>
      </c>
      <c r="AH2" s="6" t="s">
        <v>659</v>
      </c>
      <c r="AI2" s="6" t="s">
        <v>697</v>
      </c>
      <c r="AJ2" s="6" t="s">
        <v>651</v>
      </c>
      <c r="AK2" s="6" t="s">
        <v>652</v>
      </c>
      <c r="AL2" s="6" t="s">
        <v>655</v>
      </c>
      <c r="AM2" s="6" t="s">
        <v>692</v>
      </c>
      <c r="AN2" s="6" t="s">
        <v>653</v>
      </c>
      <c r="AO2" s="6" t="s">
        <v>656</v>
      </c>
      <c r="AP2" s="6" t="s">
        <v>695</v>
      </c>
      <c r="AQ2" s="6" t="s">
        <v>654</v>
      </c>
      <c r="AR2" s="6" t="s">
        <v>657</v>
      </c>
      <c r="AS2" s="6" t="s">
        <v>769</v>
      </c>
      <c r="AT2" s="6" t="s">
        <v>771</v>
      </c>
      <c r="AU2" s="6" t="s">
        <v>770</v>
      </c>
      <c r="AV2" s="6" t="s">
        <v>764</v>
      </c>
      <c r="AW2" s="6" t="s">
        <v>625</v>
      </c>
      <c r="AX2" s="6" t="s">
        <v>744</v>
      </c>
      <c r="AY2" s="6" t="s">
        <v>745</v>
      </c>
      <c r="AZ2" s="6" t="s">
        <v>746</v>
      </c>
      <c r="BA2" s="6" t="s">
        <v>747</v>
      </c>
      <c r="BB2" s="6" t="s">
        <v>748</v>
      </c>
      <c r="BC2" s="6" t="s">
        <v>624</v>
      </c>
      <c r="BD2" s="6" t="s">
        <v>619</v>
      </c>
      <c r="BE2" s="6" t="s">
        <v>622</v>
      </c>
      <c r="BF2" s="6" t="s">
        <v>623</v>
      </c>
      <c r="BG2" s="6" t="s">
        <v>620</v>
      </c>
      <c r="BH2" s="6" t="s">
        <v>621</v>
      </c>
      <c r="BI2" s="6" t="s">
        <v>618</v>
      </c>
      <c r="BJ2" s="6" t="s">
        <v>688</v>
      </c>
      <c r="BK2" s="6" t="s">
        <v>340</v>
      </c>
      <c r="BL2" s="1" t="s">
        <v>1891</v>
      </c>
      <c r="BM2" s="6" t="s">
        <v>1892</v>
      </c>
      <c r="BN2" s="1" t="s">
        <v>1893</v>
      </c>
      <c r="BO2" s="6" t="s">
        <v>204</v>
      </c>
      <c r="BP2" s="6" t="s">
        <v>209</v>
      </c>
      <c r="BQ2" s="6" t="s">
        <v>687</v>
      </c>
      <c r="BR2" s="6" t="s">
        <v>686</v>
      </c>
      <c r="BS2" s="6" t="s">
        <v>650</v>
      </c>
      <c r="BT2" s="6" t="s">
        <v>211</v>
      </c>
      <c r="BU2" s="6" t="s">
        <v>1894</v>
      </c>
      <c r="BV2" s="6" t="s">
        <v>186</v>
      </c>
      <c r="BW2" s="6" t="s">
        <v>639</v>
      </c>
      <c r="BX2" s="6" t="s">
        <v>640</v>
      </c>
      <c r="BY2" s="6" t="s">
        <v>760</v>
      </c>
      <c r="BZ2" s="6" t="s">
        <v>761</v>
      </c>
      <c r="CA2" s="6" t="s">
        <v>757</v>
      </c>
      <c r="CB2" s="6" t="s">
        <v>756</v>
      </c>
      <c r="CC2" s="6" t="s">
        <v>759</v>
      </c>
      <c r="CD2" s="6" t="s">
        <v>758</v>
      </c>
      <c r="CE2" s="6" t="s">
        <v>677</v>
      </c>
      <c r="CF2" s="6" t="s">
        <v>1895</v>
      </c>
      <c r="CG2" s="6" t="s">
        <v>740</v>
      </c>
      <c r="CH2" s="6" t="s">
        <v>765</v>
      </c>
      <c r="CI2" s="6" t="s">
        <v>719</v>
      </c>
      <c r="CJ2" s="6" t="s">
        <v>717</v>
      </c>
      <c r="CK2" s="6" t="s">
        <v>721</v>
      </c>
      <c r="CL2" s="6" t="s">
        <v>733</v>
      </c>
      <c r="CM2" s="6" t="s">
        <v>718</v>
      </c>
      <c r="CN2" s="6" t="s">
        <v>732</v>
      </c>
      <c r="CO2" s="6" t="s">
        <v>726</v>
      </c>
      <c r="CP2" s="6" t="s">
        <v>156</v>
      </c>
      <c r="CQ2" s="6" t="s">
        <v>772</v>
      </c>
      <c r="CR2" s="6" t="s">
        <v>774</v>
      </c>
      <c r="CS2" s="6" t="s">
        <v>773</v>
      </c>
      <c r="CT2" s="6" t="s">
        <v>750</v>
      </c>
      <c r="CU2" s="6" t="s">
        <v>767</v>
      </c>
      <c r="CV2" s="6" t="s">
        <v>701</v>
      </c>
      <c r="CW2" s="6" t="s">
        <v>702</v>
      </c>
      <c r="CX2" s="6" t="s">
        <v>1896</v>
      </c>
      <c r="CY2" s="6" t="s">
        <v>666</v>
      </c>
      <c r="CZ2" s="6" t="s">
        <v>667</v>
      </c>
      <c r="DA2" s="6" t="s">
        <v>668</v>
      </c>
      <c r="DB2" s="6" t="s">
        <v>154</v>
      </c>
      <c r="DC2" s="6" t="s">
        <v>1897</v>
      </c>
      <c r="DD2" s="6" t="s">
        <v>172</v>
      </c>
      <c r="DE2" s="6" t="s">
        <v>673</v>
      </c>
      <c r="DF2" s="6" t="s">
        <v>689</v>
      </c>
      <c r="DG2" s="6" t="s">
        <v>690</v>
      </c>
      <c r="DH2" s="6" t="s">
        <v>643</v>
      </c>
      <c r="DI2" s="6" t="s">
        <v>634</v>
      </c>
      <c r="DJ2" s="6" t="s">
        <v>736</v>
      </c>
      <c r="DK2" s="6" t="s">
        <v>1898</v>
      </c>
      <c r="DL2" s="1" t="s">
        <v>762</v>
      </c>
      <c r="DM2" s="6" t="s">
        <v>763</v>
      </c>
      <c r="DN2" s="6" t="s">
        <v>660</v>
      </c>
      <c r="DO2" s="6" t="s">
        <v>1899</v>
      </c>
      <c r="DP2" s="6" t="s">
        <v>662</v>
      </c>
      <c r="DQ2" s="6" t="s">
        <v>679</v>
      </c>
      <c r="DR2" s="6" t="s">
        <v>630</v>
      </c>
      <c r="DS2" s="6" t="s">
        <v>637</v>
      </c>
      <c r="DT2" s="6" t="s">
        <v>638</v>
      </c>
      <c r="DU2" s="6" t="s">
        <v>414</v>
      </c>
      <c r="DV2" s="6" t="s">
        <v>646</v>
      </c>
      <c r="DW2" s="6" t="s">
        <v>678</v>
      </c>
      <c r="DX2" s="6" t="s">
        <v>710</v>
      </c>
      <c r="DY2" s="6" t="s">
        <v>739</v>
      </c>
      <c r="DZ2" s="6" t="s">
        <v>1900</v>
      </c>
      <c r="EA2" s="6" t="s">
        <v>1901</v>
      </c>
      <c r="EB2" s="6" t="s">
        <v>722</v>
      </c>
      <c r="EC2" s="6" t="s">
        <v>723</v>
      </c>
      <c r="ED2" s="6" t="s">
        <v>676</v>
      </c>
      <c r="EE2" s="6" t="s">
        <v>724</v>
      </c>
      <c r="EF2" s="6" t="s">
        <v>709</v>
      </c>
      <c r="EG2" s="6" t="s">
        <v>705</v>
      </c>
      <c r="EH2" s="6" t="s">
        <v>708</v>
      </c>
      <c r="EI2" s="6" t="s">
        <v>706</v>
      </c>
      <c r="EJ2" s="6" t="s">
        <v>704</v>
      </c>
      <c r="EK2" s="6" t="s">
        <v>707</v>
      </c>
      <c r="EL2" s="6" t="s">
        <v>642</v>
      </c>
      <c r="EM2" s="6" t="s">
        <v>691</v>
      </c>
      <c r="EN2" s="6" t="s">
        <v>632</v>
      </c>
      <c r="EO2" s="6" t="s">
        <v>741</v>
      </c>
      <c r="EP2" s="6" t="s">
        <v>743</v>
      </c>
      <c r="EQ2" s="6" t="s">
        <v>742</v>
      </c>
      <c r="ER2" s="6" t="s">
        <v>738</v>
      </c>
      <c r="ES2" s="6" t="s">
        <v>749</v>
      </c>
      <c r="ET2" s="6" t="s">
        <v>636</v>
      </c>
      <c r="EU2" s="6" t="s">
        <v>751</v>
      </c>
      <c r="EV2" s="6" t="s">
        <v>383</v>
      </c>
      <c r="EW2" s="6" t="s">
        <v>716</v>
      </c>
      <c r="EX2" s="6" t="s">
        <v>728</v>
      </c>
      <c r="EY2" s="6" t="s">
        <v>212</v>
      </c>
      <c r="EZ2" s="6" t="s">
        <v>729</v>
      </c>
      <c r="FA2" s="6" t="s">
        <v>720</v>
      </c>
      <c r="FB2" s="6" t="s">
        <v>725</v>
      </c>
      <c r="FC2" s="6" t="s">
        <v>727</v>
      </c>
      <c r="FD2" s="6" t="s">
        <v>731</v>
      </c>
      <c r="FE2" s="6" t="s">
        <v>213</v>
      </c>
      <c r="FF2" s="6" t="s">
        <v>730</v>
      </c>
      <c r="FG2" s="6" t="s">
        <v>714</v>
      </c>
      <c r="FH2" s="6" t="s">
        <v>715</v>
      </c>
      <c r="FI2" s="6" t="s">
        <v>713</v>
      </c>
      <c r="FJ2" s="6" t="s">
        <v>711</v>
      </c>
      <c r="FK2" s="6" t="s">
        <v>684</v>
      </c>
      <c r="FL2" s="6" t="s">
        <v>685</v>
      </c>
      <c r="FM2" s="6" t="s">
        <v>693</v>
      </c>
      <c r="FN2" s="6" t="s">
        <v>683</v>
      </c>
      <c r="FO2" s="6" t="s">
        <v>644</v>
      </c>
      <c r="FP2" s="6" t="s">
        <v>712</v>
      </c>
      <c r="FQ2" s="6" t="s">
        <v>768</v>
      </c>
      <c r="FR2" s="6" t="s">
        <v>752</v>
      </c>
      <c r="FS2" s="6" t="s">
        <v>696</v>
      </c>
      <c r="FT2" s="6" t="s">
        <v>681</v>
      </c>
      <c r="FU2" s="6" t="s">
        <v>682</v>
      </c>
      <c r="FV2" s="6" t="s">
        <v>694</v>
      </c>
      <c r="FW2" s="6" t="s">
        <v>680</v>
      </c>
      <c r="FX2" s="6" t="s">
        <v>703</v>
      </c>
      <c r="FY2" s="1" t="s">
        <v>301</v>
      </c>
      <c r="FZ2" s="1" t="s">
        <v>300</v>
      </c>
      <c r="GA2" s="6" t="s">
        <v>631</v>
      </c>
      <c r="GB2" s="6" t="s">
        <v>342</v>
      </c>
      <c r="GC2" s="6" t="s">
        <v>337</v>
      </c>
      <c r="GD2" s="6" t="s">
        <v>669</v>
      </c>
      <c r="GE2" s="6" t="s">
        <v>1902</v>
      </c>
      <c r="GF2" s="6" t="s">
        <v>626</v>
      </c>
      <c r="GG2" s="6" t="s">
        <v>157</v>
      </c>
      <c r="GH2" s="6" t="s">
        <v>501</v>
      </c>
      <c r="GI2" s="6" t="s">
        <v>609</v>
      </c>
      <c r="GJ2" s="6" t="s">
        <v>671</v>
      </c>
      <c r="GK2" s="6" t="s">
        <v>635</v>
      </c>
      <c r="GL2" s="6" t="s">
        <v>734</v>
      </c>
      <c r="GM2" s="6" t="s">
        <v>1903</v>
      </c>
      <c r="GN2" s="6" t="s">
        <v>197</v>
      </c>
      <c r="GO2" s="6" t="s">
        <v>663</v>
      </c>
      <c r="GP2" s="6" t="s">
        <v>664</v>
      </c>
      <c r="GQ2" s="6" t="s">
        <v>665</v>
      </c>
      <c r="GR2" s="6" t="s">
        <v>649</v>
      </c>
      <c r="GS2" s="6" t="s">
        <v>647</v>
      </c>
      <c r="GT2" s="6" t="s">
        <v>648</v>
      </c>
      <c r="GU2" s="6" t="s">
        <v>735</v>
      </c>
      <c r="GV2" s="6" t="s">
        <v>755</v>
      </c>
      <c r="GW2" s="6" t="s">
        <v>737</v>
      </c>
      <c r="GX2" s="6" t="s">
        <v>672</v>
      </c>
      <c r="GY2" s="6" t="s">
        <v>775</v>
      </c>
      <c r="GZ2" s="6" t="s">
        <v>777</v>
      </c>
      <c r="HA2" s="6" t="s">
        <v>776</v>
      </c>
      <c r="HB2" s="6" t="s">
        <v>766</v>
      </c>
      <c r="HC2" s="6" t="s">
        <v>641</v>
      </c>
      <c r="HD2" s="6" t="s">
        <v>700</v>
      </c>
      <c r="HE2" s="6" t="s">
        <v>633</v>
      </c>
    </row>
    <row r="3" spans="1:214" ht="50" x14ac:dyDescent="0.25">
      <c r="A3" s="6" t="s">
        <v>545</v>
      </c>
      <c r="B3" s="6" t="s">
        <v>88</v>
      </c>
      <c r="C3" s="2" t="s">
        <v>907</v>
      </c>
      <c r="D3" s="6" t="s">
        <v>780</v>
      </c>
      <c r="E3" s="6" t="s">
        <v>780</v>
      </c>
      <c r="F3" s="6" t="s">
        <v>780</v>
      </c>
      <c r="G3" s="6" t="s">
        <v>780</v>
      </c>
      <c r="H3" s="6" t="s">
        <v>780</v>
      </c>
      <c r="BD3" s="6" t="s">
        <v>780</v>
      </c>
      <c r="BE3" s="6" t="s">
        <v>780</v>
      </c>
      <c r="BF3" s="6" t="s">
        <v>780</v>
      </c>
      <c r="BG3" s="6" t="s">
        <v>780</v>
      </c>
      <c r="BH3" s="6" t="s">
        <v>780</v>
      </c>
      <c r="BI3" s="6" t="s">
        <v>780</v>
      </c>
      <c r="HF3" s="6">
        <f>SUM(D3:HE3)</f>
        <v>0</v>
      </c>
    </row>
    <row r="4" spans="1:214" ht="50" x14ac:dyDescent="0.25">
      <c r="A4" s="6" t="s">
        <v>545</v>
      </c>
      <c r="B4" s="6" t="s">
        <v>88</v>
      </c>
      <c r="C4" s="6" t="s">
        <v>908</v>
      </c>
      <c r="D4" s="6" t="s">
        <v>780</v>
      </c>
      <c r="E4" s="6" t="s">
        <v>780</v>
      </c>
      <c r="F4" s="6" t="s">
        <v>780</v>
      </c>
      <c r="G4" s="6" t="s">
        <v>780</v>
      </c>
      <c r="H4" s="6" t="s">
        <v>780</v>
      </c>
      <c r="AW4" s="6" t="s">
        <v>780</v>
      </c>
      <c r="BC4" s="6" t="s">
        <v>780</v>
      </c>
      <c r="GF4" s="6" t="s">
        <v>780</v>
      </c>
    </row>
    <row r="5" spans="1:214" ht="50" x14ac:dyDescent="0.25">
      <c r="A5" s="6" t="s">
        <v>545</v>
      </c>
      <c r="B5" s="6" t="s">
        <v>88</v>
      </c>
      <c r="C5" s="6" t="s">
        <v>909</v>
      </c>
      <c r="D5" s="6" t="s">
        <v>780</v>
      </c>
      <c r="E5" s="6" t="s">
        <v>780</v>
      </c>
      <c r="F5" s="6" t="s">
        <v>780</v>
      </c>
      <c r="G5" s="6" t="s">
        <v>780</v>
      </c>
      <c r="H5" s="6" t="s">
        <v>780</v>
      </c>
      <c r="S5" s="6" t="s">
        <v>780</v>
      </c>
      <c r="Z5" s="6" t="s">
        <v>780</v>
      </c>
      <c r="AW5" s="6" t="s">
        <v>780</v>
      </c>
      <c r="GF5" s="6" t="s">
        <v>780</v>
      </c>
      <c r="HF5" s="6">
        <f>SUM(D5:HE5)</f>
        <v>0</v>
      </c>
    </row>
    <row r="6" spans="1:214" ht="50" x14ac:dyDescent="0.25">
      <c r="A6" s="6" t="s">
        <v>545</v>
      </c>
      <c r="B6" s="6" t="s">
        <v>88</v>
      </c>
      <c r="C6" s="6" t="s">
        <v>910</v>
      </c>
      <c r="D6" s="6" t="s">
        <v>780</v>
      </c>
      <c r="E6" s="6" t="s">
        <v>780</v>
      </c>
      <c r="F6" s="6" t="s">
        <v>780</v>
      </c>
      <c r="G6" s="6" t="s">
        <v>780</v>
      </c>
      <c r="H6" s="6" t="s">
        <v>780</v>
      </c>
      <c r="AW6" s="6" t="s">
        <v>780</v>
      </c>
      <c r="BC6" s="6" t="s">
        <v>780</v>
      </c>
      <c r="BU6" s="6" t="s">
        <v>780</v>
      </c>
      <c r="GF6" s="6" t="s">
        <v>780</v>
      </c>
      <c r="HF6" s="6">
        <f t="shared" ref="HF6:HF7" si="0">SUM(D6:HE6)</f>
        <v>0</v>
      </c>
    </row>
    <row r="7" spans="1:214" ht="50" x14ac:dyDescent="0.25">
      <c r="A7" s="6" t="s">
        <v>545</v>
      </c>
      <c r="B7" s="6" t="s">
        <v>88</v>
      </c>
      <c r="C7" s="6" t="s">
        <v>911</v>
      </c>
      <c r="D7" s="6" t="s">
        <v>780</v>
      </c>
      <c r="E7" s="6" t="s">
        <v>780</v>
      </c>
      <c r="F7" s="6" t="s">
        <v>780</v>
      </c>
      <c r="G7" s="6" t="s">
        <v>780</v>
      </c>
      <c r="H7" s="6" t="s">
        <v>780</v>
      </c>
      <c r="I7" s="6" t="s">
        <v>780</v>
      </c>
      <c r="J7" s="6" t="s">
        <v>780</v>
      </c>
      <c r="AW7" s="6" t="s">
        <v>780</v>
      </c>
      <c r="BC7" s="6" t="s">
        <v>780</v>
      </c>
      <c r="GF7" s="6" t="s">
        <v>780</v>
      </c>
      <c r="HF7" s="6">
        <f t="shared" si="0"/>
        <v>0</v>
      </c>
    </row>
    <row r="8" spans="1:214" ht="50" x14ac:dyDescent="0.25">
      <c r="A8" s="6" t="s">
        <v>545</v>
      </c>
      <c r="B8" s="6" t="s">
        <v>88</v>
      </c>
      <c r="C8" s="6" t="s">
        <v>912</v>
      </c>
      <c r="D8" s="6" t="s">
        <v>780</v>
      </c>
      <c r="E8" s="6" t="s">
        <v>780</v>
      </c>
      <c r="F8" s="6" t="s">
        <v>780</v>
      </c>
      <c r="G8" s="6" t="s">
        <v>780</v>
      </c>
      <c r="H8" s="6" t="s">
        <v>780</v>
      </c>
      <c r="AW8" s="6" t="s">
        <v>780</v>
      </c>
      <c r="BC8" s="6" t="s">
        <v>780</v>
      </c>
      <c r="DD8" s="6" t="s">
        <v>780</v>
      </c>
      <c r="GF8" s="6" t="s">
        <v>780</v>
      </c>
      <c r="HF8" s="6">
        <f>SUM(D8:HE8)</f>
        <v>0</v>
      </c>
    </row>
    <row r="9" spans="1:214" ht="62.5" x14ac:dyDescent="0.25">
      <c r="A9" s="6" t="s">
        <v>545</v>
      </c>
      <c r="B9" s="6" t="s">
        <v>88</v>
      </c>
      <c r="C9" s="6" t="s">
        <v>914</v>
      </c>
      <c r="D9" s="6" t="s">
        <v>780</v>
      </c>
      <c r="E9" s="6" t="s">
        <v>780</v>
      </c>
      <c r="F9" s="6" t="s">
        <v>780</v>
      </c>
      <c r="G9" s="6" t="s">
        <v>780</v>
      </c>
      <c r="H9" s="6" t="s">
        <v>780</v>
      </c>
      <c r="AW9" s="6" t="s">
        <v>780</v>
      </c>
      <c r="DR9" s="6" t="s">
        <v>780</v>
      </c>
      <c r="GF9" s="6" t="s">
        <v>780</v>
      </c>
      <c r="HF9" s="6">
        <f>SUM(D9:HE9)</f>
        <v>0</v>
      </c>
    </row>
    <row r="10" spans="1:214" ht="50" x14ac:dyDescent="0.25">
      <c r="A10" s="6" t="s">
        <v>545</v>
      </c>
      <c r="B10" s="6" t="s">
        <v>88</v>
      </c>
      <c r="C10" s="6" t="s">
        <v>915</v>
      </c>
      <c r="D10" s="6" t="s">
        <v>780</v>
      </c>
      <c r="E10" s="6" t="s">
        <v>780</v>
      </c>
      <c r="F10" s="6" t="s">
        <v>780</v>
      </c>
      <c r="G10" s="6" t="s">
        <v>780</v>
      </c>
      <c r="H10" s="6" t="s">
        <v>780</v>
      </c>
      <c r="EN10" s="6" t="s">
        <v>780</v>
      </c>
      <c r="GA10" s="6" t="s">
        <v>780</v>
      </c>
      <c r="HF10" s="6">
        <f>SUM(D10:HE10)</f>
        <v>0</v>
      </c>
    </row>
    <row r="11" spans="1:214" ht="100" x14ac:dyDescent="0.25">
      <c r="A11" s="6" t="s">
        <v>545</v>
      </c>
      <c r="B11" s="6" t="s">
        <v>66</v>
      </c>
      <c r="C11" s="6" t="s">
        <v>916</v>
      </c>
      <c r="D11" s="6" t="s">
        <v>780</v>
      </c>
      <c r="E11" s="6" t="s">
        <v>780</v>
      </c>
      <c r="F11" s="6" t="s">
        <v>780</v>
      </c>
      <c r="G11" s="6" t="s">
        <v>780</v>
      </c>
      <c r="H11" s="6" t="s">
        <v>780</v>
      </c>
      <c r="I11" s="6" t="s">
        <v>780</v>
      </c>
      <c r="J11" s="6" t="s">
        <v>780</v>
      </c>
      <c r="BT11" s="6" t="s">
        <v>780</v>
      </c>
      <c r="BV11" s="6" t="s">
        <v>780</v>
      </c>
      <c r="BW11" s="6" t="s">
        <v>780</v>
      </c>
      <c r="BX11" s="6" t="s">
        <v>780</v>
      </c>
      <c r="DH11" s="6" t="s">
        <v>780</v>
      </c>
      <c r="DI11" s="6" t="s">
        <v>780</v>
      </c>
      <c r="DS11" s="6" t="s">
        <v>780</v>
      </c>
      <c r="DT11" s="6" t="s">
        <v>780</v>
      </c>
      <c r="EL11" s="6" t="s">
        <v>780</v>
      </c>
      <c r="ET11" s="6" t="s">
        <v>780</v>
      </c>
      <c r="FO11" s="6" t="s">
        <v>780</v>
      </c>
      <c r="GK11" s="6" t="s">
        <v>780</v>
      </c>
      <c r="HC11" s="6" t="s">
        <v>780</v>
      </c>
      <c r="HE11" s="6" t="s">
        <v>780</v>
      </c>
      <c r="HF11" s="6">
        <f>SUM(D11:HE11)</f>
        <v>0</v>
      </c>
    </row>
    <row r="12" spans="1:214" ht="87.5" x14ac:dyDescent="0.25">
      <c r="A12" s="6" t="s">
        <v>545</v>
      </c>
      <c r="B12" s="6" t="s">
        <v>66</v>
      </c>
      <c r="C12" s="6" t="s">
        <v>917</v>
      </c>
      <c r="D12" s="6" t="s">
        <v>780</v>
      </c>
      <c r="E12" s="6" t="s">
        <v>780</v>
      </c>
      <c r="F12" s="6" t="s">
        <v>780</v>
      </c>
      <c r="G12" s="6" t="s">
        <v>780</v>
      </c>
      <c r="H12" s="6" t="s">
        <v>780</v>
      </c>
      <c r="O12" s="6" t="s">
        <v>780</v>
      </c>
      <c r="P12" s="6" t="s">
        <v>780</v>
      </c>
      <c r="Y12" s="6" t="s">
        <v>780</v>
      </c>
      <c r="AH12" s="6" t="s">
        <v>780</v>
      </c>
      <c r="AJ12" s="6" t="s">
        <v>780</v>
      </c>
      <c r="AK12" s="6" t="s">
        <v>780</v>
      </c>
      <c r="AN12" s="6" t="s">
        <v>780</v>
      </c>
      <c r="AQ12" s="6" t="s">
        <v>780</v>
      </c>
      <c r="BS12" s="6" t="s">
        <v>780</v>
      </c>
      <c r="BV12" s="6" t="s">
        <v>780</v>
      </c>
      <c r="BW12" s="6" t="s">
        <v>780</v>
      </c>
      <c r="BX12" s="6" t="s">
        <v>780</v>
      </c>
      <c r="DH12" s="6" t="s">
        <v>780</v>
      </c>
      <c r="DV12" s="6" t="s">
        <v>780</v>
      </c>
      <c r="EL12" s="6" t="s">
        <v>780</v>
      </c>
      <c r="GC12" s="6" t="s">
        <v>780</v>
      </c>
      <c r="GR12" s="6" t="s">
        <v>780</v>
      </c>
      <c r="GS12" s="6" t="s">
        <v>780</v>
      </c>
      <c r="GT12" s="6" t="s">
        <v>780</v>
      </c>
      <c r="GU12" s="6" t="s">
        <v>780</v>
      </c>
      <c r="HC12" s="6" t="s">
        <v>780</v>
      </c>
      <c r="HE12" s="6" t="s">
        <v>780</v>
      </c>
      <c r="HF12" s="6">
        <f>SUM(D12:HE12)</f>
        <v>0</v>
      </c>
    </row>
    <row r="13" spans="1:214" ht="125" x14ac:dyDescent="0.25">
      <c r="A13" s="6" t="s">
        <v>545</v>
      </c>
      <c r="B13" s="6" t="s">
        <v>66</v>
      </c>
      <c r="C13" s="6" t="s">
        <v>918</v>
      </c>
      <c r="D13" s="6" t="s">
        <v>780</v>
      </c>
      <c r="E13" s="6" t="s">
        <v>780</v>
      </c>
      <c r="F13" s="6" t="s">
        <v>780</v>
      </c>
      <c r="G13" s="6" t="s">
        <v>780</v>
      </c>
      <c r="H13" s="6" t="s">
        <v>780</v>
      </c>
      <c r="O13" s="6" t="s">
        <v>780</v>
      </c>
      <c r="AH13" s="6" t="s">
        <v>780</v>
      </c>
      <c r="AJ13" s="6" t="s">
        <v>780</v>
      </c>
      <c r="AK13" s="6" t="s">
        <v>780</v>
      </c>
      <c r="AL13" s="6" t="s">
        <v>780</v>
      </c>
      <c r="AN13" s="6" t="s">
        <v>780</v>
      </c>
      <c r="AO13" s="6" t="s">
        <v>780</v>
      </c>
      <c r="AQ13" s="6" t="s">
        <v>780</v>
      </c>
      <c r="AR13" s="6" t="s">
        <v>780</v>
      </c>
      <c r="BW13" s="6" t="s">
        <v>780</v>
      </c>
      <c r="BX13" s="6" t="s">
        <v>780</v>
      </c>
      <c r="GC13" s="6" t="s">
        <v>780</v>
      </c>
      <c r="HE13" s="6" t="s">
        <v>780</v>
      </c>
    </row>
    <row r="14" spans="1:214" ht="112.5" x14ac:dyDescent="0.25">
      <c r="A14" s="6" t="s">
        <v>545</v>
      </c>
      <c r="B14" s="6" t="s">
        <v>66</v>
      </c>
      <c r="C14" s="6" t="s">
        <v>919</v>
      </c>
      <c r="D14" s="6" t="s">
        <v>780</v>
      </c>
      <c r="E14" s="6" t="s">
        <v>780</v>
      </c>
      <c r="F14" s="6" t="s">
        <v>780</v>
      </c>
      <c r="G14" s="6" t="s">
        <v>780</v>
      </c>
      <c r="H14" s="6" t="s">
        <v>780</v>
      </c>
      <c r="I14" s="6" t="s">
        <v>780</v>
      </c>
      <c r="J14" s="6" t="s">
        <v>780</v>
      </c>
      <c r="O14" s="6" t="s">
        <v>780</v>
      </c>
      <c r="P14" s="6" t="s">
        <v>780</v>
      </c>
      <c r="Q14" s="6" t="s">
        <v>780</v>
      </c>
      <c r="AH14" s="6" t="s">
        <v>780</v>
      </c>
      <c r="AJ14" s="6" t="s">
        <v>780</v>
      </c>
      <c r="AK14" s="6" t="s">
        <v>780</v>
      </c>
      <c r="AN14" s="6" t="s">
        <v>780</v>
      </c>
      <c r="AQ14" s="6" t="s">
        <v>780</v>
      </c>
      <c r="BL14" s="6" t="s">
        <v>780</v>
      </c>
      <c r="BO14" s="6" t="s">
        <v>780</v>
      </c>
      <c r="BP14" s="6" t="s">
        <v>780</v>
      </c>
      <c r="BS14" s="6" t="s">
        <v>780</v>
      </c>
      <c r="BT14" s="6" t="s">
        <v>780</v>
      </c>
      <c r="BV14" s="6" t="s">
        <v>780</v>
      </c>
      <c r="BW14" s="6" t="s">
        <v>780</v>
      </c>
      <c r="BX14" s="6" t="s">
        <v>780</v>
      </c>
      <c r="CP14" s="6" t="s">
        <v>780</v>
      </c>
      <c r="DC14" s="6" t="s">
        <v>780</v>
      </c>
      <c r="DH14" s="6" t="s">
        <v>780</v>
      </c>
      <c r="DV14" s="6" t="s">
        <v>780</v>
      </c>
      <c r="EL14" s="6" t="s">
        <v>780</v>
      </c>
      <c r="ET14" s="6" t="s">
        <v>780</v>
      </c>
      <c r="EV14" s="6" t="s">
        <v>780</v>
      </c>
      <c r="GC14" s="6" t="s">
        <v>780</v>
      </c>
      <c r="GG14" s="6" t="s">
        <v>780</v>
      </c>
      <c r="GM14" s="6" t="s">
        <v>780</v>
      </c>
      <c r="GN14" s="6" t="s">
        <v>780</v>
      </c>
      <c r="GR14" s="6" t="s">
        <v>780</v>
      </c>
      <c r="GS14" s="6" t="s">
        <v>780</v>
      </c>
      <c r="GT14" s="6" t="s">
        <v>780</v>
      </c>
      <c r="HC14" s="6" t="s">
        <v>780</v>
      </c>
      <c r="HE14" s="6" t="s">
        <v>780</v>
      </c>
      <c r="HF14" s="6">
        <f>SUM(D14:HE14)</f>
        <v>0</v>
      </c>
    </row>
    <row r="15" spans="1:214" ht="101.5" x14ac:dyDescent="0.35">
      <c r="A15" s="6" t="s">
        <v>545</v>
      </c>
      <c r="B15" s="6" t="s">
        <v>66</v>
      </c>
      <c r="C15" s="1" t="s">
        <v>920</v>
      </c>
      <c r="D15" s="6" t="s">
        <v>780</v>
      </c>
      <c r="E15" s="6" t="s">
        <v>780</v>
      </c>
      <c r="F15" s="6" t="s">
        <v>780</v>
      </c>
      <c r="G15" s="6" t="s">
        <v>780</v>
      </c>
      <c r="H15" s="6" t="s">
        <v>780</v>
      </c>
      <c r="DN15" s="6" t="s">
        <v>780</v>
      </c>
      <c r="DO15" s="6" t="s">
        <v>780</v>
      </c>
      <c r="DP15" s="6" t="s">
        <v>780</v>
      </c>
      <c r="GO15" s="6" t="s">
        <v>780</v>
      </c>
      <c r="GP15" s="6" t="s">
        <v>780</v>
      </c>
      <c r="GQ15" s="6" t="s">
        <v>780</v>
      </c>
      <c r="HF15" s="6">
        <f>SUM(D15:HE15)</f>
        <v>0</v>
      </c>
    </row>
    <row r="16" spans="1:214" ht="87.5" x14ac:dyDescent="0.25">
      <c r="A16" s="6" t="s">
        <v>545</v>
      </c>
      <c r="B16" s="6" t="s">
        <v>66</v>
      </c>
      <c r="C16" s="6" t="s">
        <v>921</v>
      </c>
      <c r="D16" s="6" t="s">
        <v>780</v>
      </c>
      <c r="E16" s="6" t="s">
        <v>780</v>
      </c>
      <c r="F16" s="6" t="s">
        <v>780</v>
      </c>
      <c r="G16" s="6" t="s">
        <v>780</v>
      </c>
      <c r="H16" s="6" t="s">
        <v>780</v>
      </c>
      <c r="X16" s="6" t="s">
        <v>780</v>
      </c>
      <c r="BV16" s="6" t="s">
        <v>780</v>
      </c>
      <c r="CY16" s="6" t="s">
        <v>780</v>
      </c>
      <c r="CZ16" s="6" t="s">
        <v>780</v>
      </c>
      <c r="GD16" s="6" t="s">
        <v>780</v>
      </c>
      <c r="GN16" s="6" t="s">
        <v>780</v>
      </c>
    </row>
    <row r="17" spans="1:214" ht="87.5" x14ac:dyDescent="0.25">
      <c r="A17" s="6" t="s">
        <v>545</v>
      </c>
      <c r="B17" s="6" t="s">
        <v>66</v>
      </c>
      <c r="C17" s="6" t="s">
        <v>922</v>
      </c>
      <c r="D17" s="6" t="s">
        <v>780</v>
      </c>
      <c r="E17" s="6" t="s">
        <v>780</v>
      </c>
      <c r="F17" s="6" t="s">
        <v>780</v>
      </c>
      <c r="G17" s="6" t="s">
        <v>780</v>
      </c>
      <c r="H17" s="6" t="s">
        <v>780</v>
      </c>
      <c r="X17" s="6" t="s">
        <v>780</v>
      </c>
      <c r="BV17" s="6" t="s">
        <v>780</v>
      </c>
      <c r="CZ17" s="6" t="s">
        <v>780</v>
      </c>
      <c r="DA17" s="6" t="s">
        <v>780</v>
      </c>
      <c r="GD17" s="6" t="s">
        <v>780</v>
      </c>
      <c r="GN17" s="6" t="s">
        <v>780</v>
      </c>
    </row>
    <row r="18" spans="1:214" ht="100" x14ac:dyDescent="0.25">
      <c r="A18" s="6" t="s">
        <v>545</v>
      </c>
      <c r="B18" s="6" t="s">
        <v>66</v>
      </c>
      <c r="C18" s="6" t="s">
        <v>923</v>
      </c>
      <c r="D18" s="6" t="s">
        <v>780</v>
      </c>
      <c r="E18" s="6" t="s">
        <v>780</v>
      </c>
      <c r="F18" s="6" t="s">
        <v>780</v>
      </c>
      <c r="G18" s="6" t="s">
        <v>780</v>
      </c>
      <c r="H18" s="6" t="s">
        <v>780</v>
      </c>
      <c r="I18" s="6" t="s">
        <v>780</v>
      </c>
      <c r="J18" s="6" t="s">
        <v>780</v>
      </c>
      <c r="AE18" s="6" t="s">
        <v>780</v>
      </c>
      <c r="AF18" s="6" t="s">
        <v>780</v>
      </c>
      <c r="AN18" s="6" t="s">
        <v>780</v>
      </c>
      <c r="DE18" s="6" t="s">
        <v>780</v>
      </c>
      <c r="ED18" s="6" t="s">
        <v>780</v>
      </c>
      <c r="GD18" s="6" t="s">
        <v>780</v>
      </c>
      <c r="GJ18" s="6" t="s">
        <v>780</v>
      </c>
      <c r="GN18" s="6" t="s">
        <v>780</v>
      </c>
      <c r="GX18" s="6" t="s">
        <v>780</v>
      </c>
      <c r="HE18" s="6" t="s">
        <v>780</v>
      </c>
      <c r="HF18" s="6">
        <f>SUM(D18:HE18)</f>
        <v>0</v>
      </c>
    </row>
    <row r="19" spans="1:214" ht="112.5" x14ac:dyDescent="0.25">
      <c r="A19" s="6" t="s">
        <v>545</v>
      </c>
      <c r="B19" s="6" t="s">
        <v>66</v>
      </c>
      <c r="C19" s="6" t="s">
        <v>924</v>
      </c>
      <c r="D19" s="6" t="s">
        <v>780</v>
      </c>
      <c r="E19" s="6" t="s">
        <v>780</v>
      </c>
      <c r="F19" s="6" t="s">
        <v>780</v>
      </c>
      <c r="G19" s="6" t="s">
        <v>780</v>
      </c>
      <c r="H19" s="6" t="s">
        <v>780</v>
      </c>
      <c r="X19" s="6" t="s">
        <v>780</v>
      </c>
      <c r="AA19" s="6" t="s">
        <v>780</v>
      </c>
      <c r="DB19" s="6" t="s">
        <v>780</v>
      </c>
      <c r="GD19" s="6" t="s">
        <v>780</v>
      </c>
      <c r="GJ19" s="6" t="s">
        <v>780</v>
      </c>
      <c r="GN19" s="6" t="s">
        <v>780</v>
      </c>
      <c r="HE19" s="6" t="s">
        <v>780</v>
      </c>
    </row>
    <row r="20" spans="1:214" ht="112.5" x14ac:dyDescent="0.25">
      <c r="A20" s="6" t="s">
        <v>545</v>
      </c>
      <c r="B20" s="6" t="s">
        <v>66</v>
      </c>
      <c r="C20" s="6" t="s">
        <v>925</v>
      </c>
      <c r="D20" s="6" t="s">
        <v>780</v>
      </c>
      <c r="E20" s="6" t="s">
        <v>780</v>
      </c>
      <c r="F20" s="6" t="s">
        <v>780</v>
      </c>
      <c r="G20" s="6" t="s">
        <v>780</v>
      </c>
      <c r="H20" s="6" t="s">
        <v>780</v>
      </c>
      <c r="X20" s="6" t="s">
        <v>780</v>
      </c>
      <c r="AA20" s="6" t="s">
        <v>780</v>
      </c>
      <c r="AN20" s="6" t="s">
        <v>780</v>
      </c>
      <c r="BO20" s="6" t="s">
        <v>780</v>
      </c>
      <c r="BT20" s="6" t="s">
        <v>780</v>
      </c>
      <c r="BV20" s="6" t="s">
        <v>780</v>
      </c>
      <c r="CE20" s="6" t="s">
        <v>780</v>
      </c>
      <c r="EV20" s="6" t="s">
        <v>780</v>
      </c>
      <c r="GD20" s="6" t="s">
        <v>780</v>
      </c>
      <c r="GJ20" s="6" t="s">
        <v>780</v>
      </c>
      <c r="GN20" s="6" t="s">
        <v>780</v>
      </c>
      <c r="HE20" s="6" t="s">
        <v>780</v>
      </c>
    </row>
    <row r="21" spans="1:214" ht="112.5" x14ac:dyDescent="0.25">
      <c r="A21" s="6" t="s">
        <v>545</v>
      </c>
      <c r="B21" s="6" t="s">
        <v>69</v>
      </c>
      <c r="C21" s="6" t="s">
        <v>926</v>
      </c>
      <c r="D21" s="6" t="s">
        <v>780</v>
      </c>
      <c r="E21" s="6" t="s">
        <v>780</v>
      </c>
      <c r="F21" s="6" t="s">
        <v>780</v>
      </c>
      <c r="G21" s="6" t="s">
        <v>780</v>
      </c>
      <c r="H21" s="6" t="s">
        <v>780</v>
      </c>
      <c r="I21" s="6" t="s">
        <v>780</v>
      </c>
      <c r="J21" s="6" t="s">
        <v>780</v>
      </c>
      <c r="DB21" s="6" t="s">
        <v>780</v>
      </c>
      <c r="DQ21" s="6" t="s">
        <v>780</v>
      </c>
      <c r="DW21" s="6" t="s">
        <v>780</v>
      </c>
    </row>
    <row r="22" spans="1:214" ht="100" x14ac:dyDescent="0.25">
      <c r="A22" s="6" t="s">
        <v>545</v>
      </c>
      <c r="B22" s="6" t="s">
        <v>69</v>
      </c>
      <c r="C22" s="6" t="s">
        <v>927</v>
      </c>
      <c r="D22" s="6" t="s">
        <v>780</v>
      </c>
      <c r="E22" s="6" t="s">
        <v>780</v>
      </c>
      <c r="F22" s="6" t="s">
        <v>780</v>
      </c>
      <c r="G22" s="6" t="s">
        <v>780</v>
      </c>
      <c r="H22" s="6" t="s">
        <v>780</v>
      </c>
      <c r="BJ22" s="6" t="s">
        <v>780</v>
      </c>
      <c r="BQ22" s="6" t="s">
        <v>780</v>
      </c>
      <c r="BR22" s="6" t="s">
        <v>780</v>
      </c>
      <c r="DF22" s="6" t="s">
        <v>780</v>
      </c>
      <c r="DG22" s="6" t="s">
        <v>780</v>
      </c>
      <c r="DW22" s="6" t="s">
        <v>780</v>
      </c>
      <c r="FK22" s="6" t="s">
        <v>780</v>
      </c>
      <c r="FL22" s="6" t="s">
        <v>780</v>
      </c>
      <c r="FN22" s="6" t="s">
        <v>780</v>
      </c>
      <c r="FT22" s="6" t="s">
        <v>780</v>
      </c>
      <c r="FU22" s="6" t="s">
        <v>780</v>
      </c>
      <c r="FW22" s="6" t="s">
        <v>780</v>
      </c>
      <c r="GN22" s="6" t="s">
        <v>780</v>
      </c>
    </row>
    <row r="23" spans="1:214" ht="101.5" x14ac:dyDescent="0.35">
      <c r="A23" s="6" t="s">
        <v>545</v>
      </c>
      <c r="B23" s="6" t="s">
        <v>69</v>
      </c>
      <c r="C23" s="1" t="s">
        <v>928</v>
      </c>
      <c r="D23" s="6" t="s">
        <v>780</v>
      </c>
      <c r="E23" s="6" t="s">
        <v>780</v>
      </c>
      <c r="F23" s="6" t="s">
        <v>780</v>
      </c>
      <c r="G23" s="6" t="s">
        <v>780</v>
      </c>
      <c r="H23" s="6" t="s">
        <v>780</v>
      </c>
      <c r="AK23" s="6" t="s">
        <v>780</v>
      </c>
      <c r="AM23" s="6" t="s">
        <v>780</v>
      </c>
      <c r="AN23" s="6" t="s">
        <v>780</v>
      </c>
      <c r="AP23" s="6" t="s">
        <v>780</v>
      </c>
      <c r="AQ23" s="6" t="s">
        <v>780</v>
      </c>
      <c r="EM23" s="6" t="s">
        <v>780</v>
      </c>
      <c r="FM23" s="6" t="s">
        <v>780</v>
      </c>
      <c r="FV23" s="6" t="s">
        <v>780</v>
      </c>
      <c r="GN23" s="6" t="s">
        <v>780</v>
      </c>
    </row>
    <row r="24" spans="1:214" ht="100" x14ac:dyDescent="0.25">
      <c r="A24" s="6" t="s">
        <v>545</v>
      </c>
      <c r="B24" s="6" t="s">
        <v>69</v>
      </c>
      <c r="C24" s="6" t="s">
        <v>929</v>
      </c>
      <c r="D24" s="6" t="s">
        <v>780</v>
      </c>
      <c r="E24" s="6" t="s">
        <v>780</v>
      </c>
      <c r="F24" s="6" t="s">
        <v>780</v>
      </c>
      <c r="G24" s="6" t="s">
        <v>780</v>
      </c>
      <c r="H24" s="6" t="s">
        <v>780</v>
      </c>
      <c r="AA24" s="6" t="s">
        <v>780</v>
      </c>
      <c r="AI24" s="6" t="s">
        <v>780</v>
      </c>
      <c r="AK24" s="6" t="s">
        <v>780</v>
      </c>
      <c r="AM24" s="6" t="s">
        <v>780</v>
      </c>
      <c r="AN24" s="6" t="s">
        <v>780</v>
      </c>
      <c r="AP24" s="6" t="s">
        <v>780</v>
      </c>
      <c r="AQ24" s="6" t="s">
        <v>780</v>
      </c>
      <c r="FS24" s="6" t="s">
        <v>780</v>
      </c>
    </row>
    <row r="25" spans="1:214" ht="112.5" x14ac:dyDescent="0.25">
      <c r="A25" s="6" t="s">
        <v>545</v>
      </c>
      <c r="B25" s="6" t="s">
        <v>69</v>
      </c>
      <c r="C25" s="6" t="s">
        <v>930</v>
      </c>
      <c r="D25" s="6" t="s">
        <v>780</v>
      </c>
      <c r="E25" s="6" t="s">
        <v>780</v>
      </c>
      <c r="F25" s="6" t="s">
        <v>780</v>
      </c>
      <c r="G25" s="6" t="s">
        <v>780</v>
      </c>
      <c r="H25" s="6" t="s">
        <v>780</v>
      </c>
      <c r="AB25" s="6" t="s">
        <v>780</v>
      </c>
      <c r="AC25" s="6" t="s">
        <v>780</v>
      </c>
      <c r="CV25" s="6" t="s">
        <v>780</v>
      </c>
      <c r="CW25" s="6" t="s">
        <v>780</v>
      </c>
      <c r="DB25" s="6" t="s">
        <v>780</v>
      </c>
      <c r="DW25" s="6" t="s">
        <v>780</v>
      </c>
      <c r="HD25" s="6" t="s">
        <v>780</v>
      </c>
    </row>
    <row r="26" spans="1:214" ht="87.5" x14ac:dyDescent="0.25">
      <c r="A26" s="6" t="s">
        <v>545</v>
      </c>
      <c r="B26" s="6" t="s">
        <v>69</v>
      </c>
      <c r="C26" s="6" t="s">
        <v>931</v>
      </c>
      <c r="D26" s="6" t="s">
        <v>780</v>
      </c>
      <c r="E26" s="6" t="s">
        <v>780</v>
      </c>
      <c r="F26" s="6" t="s">
        <v>780</v>
      </c>
      <c r="G26" s="6" t="s">
        <v>780</v>
      </c>
      <c r="H26" s="6" t="s">
        <v>780</v>
      </c>
      <c r="AI26" s="6" t="s">
        <v>780</v>
      </c>
      <c r="AK26" s="6" t="s">
        <v>780</v>
      </c>
      <c r="AM26" s="6" t="s">
        <v>780</v>
      </c>
      <c r="AN26" s="6" t="s">
        <v>780</v>
      </c>
      <c r="AP26" s="6" t="s">
        <v>780</v>
      </c>
      <c r="AQ26" s="6" t="s">
        <v>780</v>
      </c>
      <c r="EF26" s="6" t="s">
        <v>780</v>
      </c>
      <c r="EG26" s="6" t="s">
        <v>780</v>
      </c>
      <c r="EH26" s="6" t="s">
        <v>780</v>
      </c>
      <c r="EI26" s="6" t="s">
        <v>780</v>
      </c>
      <c r="EJ26" s="6" t="s">
        <v>780</v>
      </c>
      <c r="EK26" s="6" t="s">
        <v>780</v>
      </c>
      <c r="FS26" s="6" t="s">
        <v>780</v>
      </c>
      <c r="FX26" s="6" t="s">
        <v>780</v>
      </c>
      <c r="GN26" s="6" t="s">
        <v>780</v>
      </c>
    </row>
    <row r="27" spans="1:214" ht="112.5" x14ac:dyDescent="0.25">
      <c r="A27" s="6" t="s">
        <v>545</v>
      </c>
      <c r="B27" s="6" t="s">
        <v>69</v>
      </c>
      <c r="C27" s="2" t="s">
        <v>932</v>
      </c>
      <c r="D27" s="6" t="s">
        <v>780</v>
      </c>
      <c r="E27" s="6" t="s">
        <v>780</v>
      </c>
      <c r="F27" s="6" t="s">
        <v>780</v>
      </c>
      <c r="G27" s="6" t="s">
        <v>780</v>
      </c>
      <c r="H27" s="6" t="s">
        <v>780</v>
      </c>
      <c r="DX27" s="6" t="s">
        <v>780</v>
      </c>
      <c r="FG27" s="6" t="s">
        <v>780</v>
      </c>
      <c r="FH27" s="6" t="s">
        <v>780</v>
      </c>
      <c r="FI27" s="6" t="s">
        <v>780</v>
      </c>
      <c r="FJ27" s="6" t="s">
        <v>780</v>
      </c>
      <c r="FP27" s="6" t="s">
        <v>780</v>
      </c>
      <c r="GN27" s="6" t="s">
        <v>780</v>
      </c>
    </row>
    <row r="28" spans="1:214" ht="50" x14ac:dyDescent="0.25">
      <c r="A28" s="6" t="s">
        <v>545</v>
      </c>
      <c r="B28" s="6" t="s">
        <v>100</v>
      </c>
      <c r="C28" s="6" t="s">
        <v>933</v>
      </c>
      <c r="D28" s="6" t="s">
        <v>780</v>
      </c>
      <c r="E28" s="6" t="s">
        <v>780</v>
      </c>
      <c r="F28" s="6" t="s">
        <v>780</v>
      </c>
      <c r="G28" s="6" t="s">
        <v>780</v>
      </c>
      <c r="H28" s="6" t="s">
        <v>780</v>
      </c>
      <c r="V28" s="6" t="s">
        <v>780</v>
      </c>
      <c r="W28" s="6" t="s">
        <v>780</v>
      </c>
      <c r="CI28" s="6" t="s">
        <v>780</v>
      </c>
      <c r="EB28" s="6" t="s">
        <v>780</v>
      </c>
      <c r="EC28" s="6" t="s">
        <v>780</v>
      </c>
      <c r="EE28" s="6" t="s">
        <v>780</v>
      </c>
      <c r="EW28" s="6" t="s">
        <v>780</v>
      </c>
    </row>
    <row r="29" spans="1:214" ht="50" x14ac:dyDescent="0.25">
      <c r="A29" s="6" t="s">
        <v>545</v>
      </c>
      <c r="B29" s="6" t="s">
        <v>100</v>
      </c>
      <c r="C29" s="6" t="s">
        <v>934</v>
      </c>
      <c r="D29" s="6" t="s">
        <v>780</v>
      </c>
      <c r="E29" s="6" t="s">
        <v>780</v>
      </c>
      <c r="F29" s="6" t="s">
        <v>780</v>
      </c>
      <c r="G29" s="6" t="s">
        <v>780</v>
      </c>
      <c r="H29" s="6" t="s">
        <v>780</v>
      </c>
      <c r="I29" s="6" t="s">
        <v>780</v>
      </c>
      <c r="J29" s="6" t="s">
        <v>780</v>
      </c>
      <c r="K29" s="6" t="s">
        <v>780</v>
      </c>
      <c r="L29" s="6" t="s">
        <v>780</v>
      </c>
      <c r="M29" s="6" t="s">
        <v>780</v>
      </c>
      <c r="BM29" s="6" t="s">
        <v>780</v>
      </c>
      <c r="BN29" s="6" t="s">
        <v>780</v>
      </c>
      <c r="CI29" s="6" t="s">
        <v>780</v>
      </c>
      <c r="EB29" s="6" t="s">
        <v>780</v>
      </c>
      <c r="EC29" s="6" t="s">
        <v>780</v>
      </c>
      <c r="EE29" s="6" t="s">
        <v>780</v>
      </c>
      <c r="EW29" s="6" t="s">
        <v>780</v>
      </c>
    </row>
    <row r="30" spans="1:214" ht="50" x14ac:dyDescent="0.25">
      <c r="A30" s="6" t="s">
        <v>545</v>
      </c>
      <c r="B30" s="6" t="s">
        <v>100</v>
      </c>
      <c r="C30" s="6" t="s">
        <v>935</v>
      </c>
      <c r="D30" s="6" t="s">
        <v>780</v>
      </c>
      <c r="E30" s="6" t="s">
        <v>780</v>
      </c>
      <c r="F30" s="6" t="s">
        <v>780</v>
      </c>
      <c r="G30" s="6" t="s">
        <v>780</v>
      </c>
      <c r="H30" s="6" t="s">
        <v>780</v>
      </c>
      <c r="I30" s="6" t="s">
        <v>780</v>
      </c>
      <c r="J30" s="6" t="s">
        <v>780</v>
      </c>
      <c r="K30" s="6" t="s">
        <v>780</v>
      </c>
      <c r="L30" s="6" t="s">
        <v>780</v>
      </c>
      <c r="M30" s="6" t="s">
        <v>780</v>
      </c>
      <c r="CI30" s="6" t="s">
        <v>780</v>
      </c>
      <c r="EB30" s="6" t="s">
        <v>780</v>
      </c>
      <c r="EC30" s="6" t="s">
        <v>780</v>
      </c>
      <c r="EE30" s="6" t="s">
        <v>780</v>
      </c>
      <c r="EW30" s="6" t="s">
        <v>780</v>
      </c>
    </row>
    <row r="31" spans="1:214" ht="51" x14ac:dyDescent="0.35">
      <c r="A31" s="6" t="s">
        <v>545</v>
      </c>
      <c r="B31" s="6" t="s">
        <v>100</v>
      </c>
      <c r="C31" s="1" t="s">
        <v>936</v>
      </c>
      <c r="D31" s="6" t="s">
        <v>780</v>
      </c>
      <c r="E31" s="6" t="s">
        <v>780</v>
      </c>
      <c r="F31" s="6" t="s">
        <v>780</v>
      </c>
      <c r="G31" s="6" t="s">
        <v>780</v>
      </c>
      <c r="H31" s="6" t="s">
        <v>780</v>
      </c>
      <c r="I31" s="6" t="s">
        <v>780</v>
      </c>
      <c r="J31" s="6" t="s">
        <v>780</v>
      </c>
      <c r="K31" s="6" t="s">
        <v>780</v>
      </c>
      <c r="L31" s="6" t="s">
        <v>780</v>
      </c>
      <c r="M31" s="6" t="s">
        <v>780</v>
      </c>
      <c r="CI31" s="6" t="s">
        <v>780</v>
      </c>
      <c r="CJ31" s="6" t="s">
        <v>780</v>
      </c>
      <c r="CK31" s="6" t="s">
        <v>780</v>
      </c>
      <c r="CM31" s="6" t="s">
        <v>780</v>
      </c>
      <c r="EW31" s="6" t="s">
        <v>780</v>
      </c>
      <c r="EY31" s="6" t="s">
        <v>780</v>
      </c>
      <c r="FA31" s="6" t="s">
        <v>780</v>
      </c>
      <c r="FE31" s="6" t="s">
        <v>780</v>
      </c>
    </row>
    <row r="32" spans="1:214" ht="50" x14ac:dyDescent="0.25">
      <c r="A32" s="6" t="s">
        <v>545</v>
      </c>
      <c r="B32" s="6" t="s">
        <v>100</v>
      </c>
      <c r="C32" s="6" t="s">
        <v>937</v>
      </c>
      <c r="D32" s="6" t="s">
        <v>780</v>
      </c>
      <c r="E32" s="6" t="s">
        <v>780</v>
      </c>
      <c r="F32" s="6" t="s">
        <v>780</v>
      </c>
      <c r="G32" s="6" t="s">
        <v>780</v>
      </c>
      <c r="H32" s="6" t="s">
        <v>780</v>
      </c>
      <c r="BM32" s="6" t="s">
        <v>780</v>
      </c>
      <c r="BN32" s="6" t="s">
        <v>780</v>
      </c>
      <c r="BT32" s="6" t="s">
        <v>780</v>
      </c>
      <c r="BU32" s="6" t="s">
        <v>780</v>
      </c>
      <c r="CI32" s="6" t="s">
        <v>780</v>
      </c>
      <c r="EB32" s="6" t="s">
        <v>780</v>
      </c>
      <c r="EC32" s="6" t="s">
        <v>780</v>
      </c>
      <c r="EE32" s="6" t="s">
        <v>780</v>
      </c>
      <c r="EW32" s="6" t="s">
        <v>780</v>
      </c>
    </row>
    <row r="33" spans="1:214" ht="50" x14ac:dyDescent="0.25">
      <c r="A33" s="6" t="s">
        <v>545</v>
      </c>
      <c r="B33" s="6" t="s">
        <v>100</v>
      </c>
      <c r="C33" s="6" t="s">
        <v>938</v>
      </c>
      <c r="D33" s="6" t="s">
        <v>780</v>
      </c>
      <c r="E33" s="6" t="s">
        <v>780</v>
      </c>
      <c r="F33" s="6" t="s">
        <v>780</v>
      </c>
      <c r="G33" s="6" t="s">
        <v>780</v>
      </c>
      <c r="H33" s="6" t="s">
        <v>780</v>
      </c>
      <c r="I33" s="6" t="s">
        <v>780</v>
      </c>
      <c r="J33" s="6" t="s">
        <v>780</v>
      </c>
      <c r="BM33" s="6" t="s">
        <v>780</v>
      </c>
      <c r="BT33" s="6" t="s">
        <v>780</v>
      </c>
      <c r="BU33" s="6" t="s">
        <v>780</v>
      </c>
      <c r="CI33" s="6" t="s">
        <v>780</v>
      </c>
      <c r="EB33" s="6" t="s">
        <v>780</v>
      </c>
      <c r="EC33" s="6" t="s">
        <v>780</v>
      </c>
      <c r="EE33" s="6" t="s">
        <v>780</v>
      </c>
      <c r="EW33" s="6" t="s">
        <v>780</v>
      </c>
    </row>
    <row r="34" spans="1:214" ht="50" x14ac:dyDescent="0.25">
      <c r="A34" s="6" t="s">
        <v>545</v>
      </c>
      <c r="B34" s="6" t="s">
        <v>100</v>
      </c>
      <c r="C34" s="6" t="s">
        <v>939</v>
      </c>
      <c r="D34" s="6" t="s">
        <v>780</v>
      </c>
      <c r="E34" s="6" t="s">
        <v>780</v>
      </c>
      <c r="F34" s="6" t="s">
        <v>780</v>
      </c>
      <c r="G34" s="6" t="s">
        <v>780</v>
      </c>
      <c r="H34" s="6" t="s">
        <v>780</v>
      </c>
      <c r="I34" s="6" t="s">
        <v>780</v>
      </c>
      <c r="J34" s="6" t="s">
        <v>780</v>
      </c>
      <c r="K34" s="6" t="s">
        <v>780</v>
      </c>
      <c r="L34" s="6" t="s">
        <v>780</v>
      </c>
      <c r="M34" s="6" t="s">
        <v>780</v>
      </c>
      <c r="BU34" s="6" t="s">
        <v>780</v>
      </c>
      <c r="CI34" s="6" t="s">
        <v>780</v>
      </c>
      <c r="EB34" s="6" t="s">
        <v>780</v>
      </c>
      <c r="EC34" s="6" t="s">
        <v>780</v>
      </c>
      <c r="EE34" s="6" t="s">
        <v>780</v>
      </c>
      <c r="EW34" s="6" t="s">
        <v>780</v>
      </c>
    </row>
    <row r="35" spans="1:214" ht="50" x14ac:dyDescent="0.25">
      <c r="A35" s="6" t="s">
        <v>545</v>
      </c>
      <c r="B35" s="6" t="s">
        <v>100</v>
      </c>
      <c r="C35" s="6" t="s">
        <v>940</v>
      </c>
      <c r="D35" s="6" t="s">
        <v>780</v>
      </c>
      <c r="E35" s="6" t="s">
        <v>780</v>
      </c>
      <c r="F35" s="6" t="s">
        <v>780</v>
      </c>
      <c r="G35" s="6" t="s">
        <v>780</v>
      </c>
      <c r="H35" s="6" t="s">
        <v>780</v>
      </c>
      <c r="CO35" s="6" t="s">
        <v>780</v>
      </c>
      <c r="EX35" s="6" t="s">
        <v>780</v>
      </c>
      <c r="EY35" s="6" t="s">
        <v>780</v>
      </c>
      <c r="EZ35" s="6" t="s">
        <v>780</v>
      </c>
      <c r="FB35" s="6" t="s">
        <v>780</v>
      </c>
      <c r="FC35" s="6" t="s">
        <v>780</v>
      </c>
    </row>
    <row r="36" spans="1:214" ht="51" x14ac:dyDescent="0.35">
      <c r="A36" s="6" t="s">
        <v>545</v>
      </c>
      <c r="B36" s="6" t="s">
        <v>100</v>
      </c>
      <c r="C36" s="1" t="s">
        <v>941</v>
      </c>
      <c r="D36" s="6" t="s">
        <v>780</v>
      </c>
      <c r="E36" s="6" t="s">
        <v>780</v>
      </c>
      <c r="F36" s="6" t="s">
        <v>780</v>
      </c>
      <c r="G36" s="6" t="s">
        <v>780</v>
      </c>
      <c r="H36" s="6" t="s">
        <v>780</v>
      </c>
      <c r="N36" s="6" t="s">
        <v>780</v>
      </c>
      <c r="CI36" s="6" t="s">
        <v>780</v>
      </c>
      <c r="EB36" s="6" t="s">
        <v>780</v>
      </c>
      <c r="EC36" s="6" t="s">
        <v>780</v>
      </c>
      <c r="EE36" s="6" t="s">
        <v>780</v>
      </c>
      <c r="EW36" s="6" t="s">
        <v>780</v>
      </c>
      <c r="GI36" s="6" t="s">
        <v>780</v>
      </c>
    </row>
    <row r="37" spans="1:214" ht="50" x14ac:dyDescent="0.25">
      <c r="A37" s="6" t="s">
        <v>545</v>
      </c>
      <c r="B37" s="6" t="s">
        <v>100</v>
      </c>
      <c r="C37" s="6" t="s">
        <v>942</v>
      </c>
      <c r="D37" s="6" t="s">
        <v>780</v>
      </c>
      <c r="E37" s="6" t="s">
        <v>780</v>
      </c>
      <c r="F37" s="6" t="s">
        <v>780</v>
      </c>
      <c r="G37" s="6" t="s">
        <v>780</v>
      </c>
      <c r="H37" s="6" t="s">
        <v>780</v>
      </c>
      <c r="N37" s="6" t="s">
        <v>780</v>
      </c>
      <c r="CK37" s="6" t="s">
        <v>780</v>
      </c>
      <c r="CL37" s="6" t="s">
        <v>780</v>
      </c>
      <c r="CN37" s="6" t="s">
        <v>780</v>
      </c>
      <c r="FA37" s="6" t="s">
        <v>780</v>
      </c>
      <c r="FD37" s="6" t="s">
        <v>780</v>
      </c>
      <c r="FF37" s="6" t="s">
        <v>780</v>
      </c>
    </row>
    <row r="38" spans="1:214" ht="50" x14ac:dyDescent="0.25">
      <c r="A38" s="6" t="s">
        <v>545</v>
      </c>
      <c r="B38" s="6" t="s">
        <v>100</v>
      </c>
      <c r="C38" s="6" t="s">
        <v>943</v>
      </c>
      <c r="D38" s="6" t="s">
        <v>780</v>
      </c>
      <c r="E38" s="6" t="s">
        <v>780</v>
      </c>
      <c r="F38" s="6" t="s">
        <v>780</v>
      </c>
      <c r="G38" s="6" t="s">
        <v>780</v>
      </c>
      <c r="H38" s="6" t="s">
        <v>780</v>
      </c>
      <c r="I38" s="6" t="s">
        <v>780</v>
      </c>
      <c r="J38" s="6" t="s">
        <v>780</v>
      </c>
      <c r="K38" s="6" t="s">
        <v>780</v>
      </c>
      <c r="L38" s="6" t="s">
        <v>780</v>
      </c>
      <c r="M38" s="6" t="s">
        <v>780</v>
      </c>
      <c r="CI38" s="6" t="s">
        <v>780</v>
      </c>
      <c r="EB38" s="6" t="s">
        <v>780</v>
      </c>
      <c r="EC38" s="6" t="s">
        <v>780</v>
      </c>
      <c r="EE38" s="6" t="s">
        <v>780</v>
      </c>
      <c r="EW38" s="6" t="s">
        <v>780</v>
      </c>
      <c r="GL38" s="6" t="s">
        <v>780</v>
      </c>
    </row>
    <row r="39" spans="1:214" ht="50" x14ac:dyDescent="0.25">
      <c r="A39" s="6" t="s">
        <v>545</v>
      </c>
      <c r="B39" s="6" t="s">
        <v>100</v>
      </c>
      <c r="C39" s="6" t="s">
        <v>944</v>
      </c>
      <c r="D39" s="6" t="s">
        <v>780</v>
      </c>
      <c r="E39" s="6" t="s">
        <v>780</v>
      </c>
      <c r="F39" s="6" t="s">
        <v>780</v>
      </c>
      <c r="G39" s="6" t="s">
        <v>780</v>
      </c>
      <c r="H39" s="6" t="s">
        <v>780</v>
      </c>
      <c r="DJ39" s="6" t="s">
        <v>780</v>
      </c>
      <c r="FY39" s="6" t="s">
        <v>780</v>
      </c>
      <c r="FZ39" s="6" t="s">
        <v>780</v>
      </c>
      <c r="GU39" s="6" t="s">
        <v>780</v>
      </c>
    </row>
    <row r="40" spans="1:214" ht="62.5" x14ac:dyDescent="0.25">
      <c r="A40" s="6" t="s">
        <v>545</v>
      </c>
      <c r="B40" s="6" t="s">
        <v>100</v>
      </c>
      <c r="C40" s="6" t="s">
        <v>945</v>
      </c>
      <c r="D40" s="6" t="s">
        <v>780</v>
      </c>
      <c r="E40" s="6" t="s">
        <v>780</v>
      </c>
      <c r="F40" s="6" t="s">
        <v>780</v>
      </c>
      <c r="G40" s="6" t="s">
        <v>780</v>
      </c>
      <c r="H40" s="6" t="s">
        <v>780</v>
      </c>
      <c r="EB40" s="6" t="s">
        <v>780</v>
      </c>
      <c r="ER40" s="6" t="s">
        <v>780</v>
      </c>
      <c r="EW40" s="6" t="s">
        <v>780</v>
      </c>
      <c r="GI40" s="6" t="s">
        <v>780</v>
      </c>
      <c r="GW40" s="6" t="s">
        <v>780</v>
      </c>
    </row>
    <row r="41" spans="1:214" ht="37.5" x14ac:dyDescent="0.25">
      <c r="A41" s="6" t="s">
        <v>545</v>
      </c>
      <c r="B41" s="6" t="s">
        <v>61</v>
      </c>
      <c r="C41" s="6" t="s">
        <v>946</v>
      </c>
      <c r="D41" s="6" t="s">
        <v>780</v>
      </c>
      <c r="E41" s="6" t="s">
        <v>780</v>
      </c>
      <c r="F41" s="6" t="s">
        <v>780</v>
      </c>
      <c r="G41" s="6" t="s">
        <v>780</v>
      </c>
      <c r="H41" s="6" t="s">
        <v>780</v>
      </c>
      <c r="AX41" s="6" t="s">
        <v>780</v>
      </c>
      <c r="AY41" s="6" t="s">
        <v>780</v>
      </c>
      <c r="AZ41" s="6" t="s">
        <v>780</v>
      </c>
      <c r="BA41" s="6" t="s">
        <v>780</v>
      </c>
      <c r="BB41" s="6" t="s">
        <v>780</v>
      </c>
      <c r="ES41" s="6">
        <f>IF(ISERROR(HLOOKUP(ES2,[4]headline_stats_summary!$A$1:$K$1,1,FALSE)),0,1)</f>
        <v>1</v>
      </c>
    </row>
    <row r="42" spans="1:214" ht="62.5" x14ac:dyDescent="0.25">
      <c r="A42" s="6" t="s">
        <v>545</v>
      </c>
      <c r="B42" s="6" t="s">
        <v>61</v>
      </c>
      <c r="C42" s="6" t="s">
        <v>947</v>
      </c>
      <c r="D42" s="6" t="s">
        <v>780</v>
      </c>
      <c r="E42" s="6" t="s">
        <v>780</v>
      </c>
      <c r="F42" s="6" t="s">
        <v>780</v>
      </c>
      <c r="G42" s="6" t="s">
        <v>780</v>
      </c>
      <c r="H42" s="6" t="s">
        <v>780</v>
      </c>
      <c r="R42" s="6" t="s">
        <v>780</v>
      </c>
      <c r="CG42" s="6" t="s">
        <v>780</v>
      </c>
      <c r="DD42" s="6" t="s">
        <v>780</v>
      </c>
      <c r="DU42" s="6" t="s">
        <v>780</v>
      </c>
      <c r="DY42" s="6" t="s">
        <v>780</v>
      </c>
      <c r="EO42" s="6" t="s">
        <v>780</v>
      </c>
    </row>
    <row r="43" spans="1:214" ht="37.5" x14ac:dyDescent="0.25">
      <c r="A43" s="6" t="s">
        <v>545</v>
      </c>
      <c r="B43" s="6" t="s">
        <v>61</v>
      </c>
      <c r="C43" s="6" t="s">
        <v>948</v>
      </c>
      <c r="D43" s="6" t="s">
        <v>780</v>
      </c>
      <c r="E43" s="6" t="s">
        <v>780</v>
      </c>
      <c r="F43" s="6" t="s">
        <v>780</v>
      </c>
      <c r="G43" s="6" t="s">
        <v>780</v>
      </c>
      <c r="H43" s="6" t="s">
        <v>780</v>
      </c>
      <c r="AG43" s="6" t="s">
        <v>780</v>
      </c>
      <c r="CG43" s="6" t="s">
        <v>780</v>
      </c>
      <c r="DD43" s="6" t="s">
        <v>780</v>
      </c>
      <c r="DY43" s="6" t="s">
        <v>780</v>
      </c>
      <c r="EO43" s="6" t="s">
        <v>780</v>
      </c>
    </row>
    <row r="44" spans="1:214" ht="37.5" x14ac:dyDescent="0.25">
      <c r="A44" s="6" t="s">
        <v>545</v>
      </c>
      <c r="B44" s="6" t="s">
        <v>61</v>
      </c>
      <c r="C44" s="6" t="s">
        <v>949</v>
      </c>
      <c r="D44" s="6" t="s">
        <v>780</v>
      </c>
      <c r="E44" s="6" t="s">
        <v>780</v>
      </c>
      <c r="F44" s="6" t="s">
        <v>780</v>
      </c>
      <c r="G44" s="6" t="s">
        <v>780</v>
      </c>
      <c r="H44" s="6" t="s">
        <v>780</v>
      </c>
      <c r="BO44" s="6" t="s">
        <v>780</v>
      </c>
      <c r="CG44" s="6" t="s">
        <v>780</v>
      </c>
      <c r="DD44" s="6" t="s">
        <v>780</v>
      </c>
      <c r="DY44" s="6" t="s">
        <v>780</v>
      </c>
      <c r="EO44" s="6" t="s">
        <v>780</v>
      </c>
      <c r="HF44" s="6">
        <f>SUM(A44:HE44)</f>
        <v>0</v>
      </c>
    </row>
    <row r="45" spans="1:214" ht="62.5" x14ac:dyDescent="0.25">
      <c r="A45" s="6" t="s">
        <v>545</v>
      </c>
      <c r="B45" s="6" t="s">
        <v>61</v>
      </c>
      <c r="C45" s="6" t="s">
        <v>950</v>
      </c>
      <c r="D45" s="6" t="s">
        <v>780</v>
      </c>
      <c r="E45" s="6" t="s">
        <v>780</v>
      </c>
      <c r="F45" s="6" t="s">
        <v>780</v>
      </c>
      <c r="G45" s="6" t="s">
        <v>780</v>
      </c>
      <c r="H45" s="6" t="s">
        <v>780</v>
      </c>
      <c r="CG45" s="6" t="s">
        <v>780</v>
      </c>
      <c r="CT45" s="6" t="s">
        <v>780</v>
      </c>
      <c r="DD45" s="6" t="s">
        <v>780</v>
      </c>
      <c r="DY45" s="6" t="s">
        <v>780</v>
      </c>
      <c r="EO45" s="6" t="s">
        <v>780</v>
      </c>
      <c r="HF45" s="6">
        <f t="shared" ref="HF45:HF76" si="1">SUM(D45:HE45)</f>
        <v>0</v>
      </c>
    </row>
    <row r="46" spans="1:214" ht="50" x14ac:dyDescent="0.25">
      <c r="A46" s="6" t="s">
        <v>545</v>
      </c>
      <c r="B46" s="6" t="s">
        <v>61</v>
      </c>
      <c r="C46" s="6" t="s">
        <v>951</v>
      </c>
      <c r="D46" s="6" t="s">
        <v>780</v>
      </c>
      <c r="E46" s="6" t="s">
        <v>780</v>
      </c>
      <c r="F46" s="6" t="s">
        <v>780</v>
      </c>
      <c r="G46" s="6" t="s">
        <v>780</v>
      </c>
      <c r="H46" s="6" t="s">
        <v>780</v>
      </c>
      <c r="CG46" s="6" t="s">
        <v>780</v>
      </c>
      <c r="DD46" s="6" t="s">
        <v>780</v>
      </c>
      <c r="DU46" s="6" t="s">
        <v>780</v>
      </c>
      <c r="DY46" s="6" t="s">
        <v>780</v>
      </c>
      <c r="EO46" s="6" t="s">
        <v>780</v>
      </c>
      <c r="HF46" s="6">
        <f t="shared" si="1"/>
        <v>0</v>
      </c>
    </row>
    <row r="47" spans="1:214" ht="62.5" x14ac:dyDescent="0.25">
      <c r="A47" s="6" t="s">
        <v>545</v>
      </c>
      <c r="B47" s="6" t="s">
        <v>61</v>
      </c>
      <c r="C47" s="6" t="s">
        <v>952</v>
      </c>
      <c r="D47" s="6" t="s">
        <v>780</v>
      </c>
      <c r="E47" s="6" t="s">
        <v>780</v>
      </c>
      <c r="F47" s="6" t="s">
        <v>780</v>
      </c>
      <c r="G47" s="6" t="s">
        <v>780</v>
      </c>
      <c r="H47" s="6" t="s">
        <v>780</v>
      </c>
      <c r="CG47" s="6" t="s">
        <v>780</v>
      </c>
      <c r="DD47" s="6" t="s">
        <v>780</v>
      </c>
      <c r="DU47" s="6" t="s">
        <v>780</v>
      </c>
      <c r="DY47" s="6" t="s">
        <v>780</v>
      </c>
      <c r="EO47" s="6" t="s">
        <v>780</v>
      </c>
      <c r="EU47" s="6" t="s">
        <v>780</v>
      </c>
      <c r="HF47" s="6">
        <f t="shared" si="1"/>
        <v>0</v>
      </c>
    </row>
    <row r="48" spans="1:214" ht="62.5" x14ac:dyDescent="0.25">
      <c r="A48" s="6" t="s">
        <v>545</v>
      </c>
      <c r="B48" s="6" t="s">
        <v>61</v>
      </c>
      <c r="C48" s="6" t="s">
        <v>953</v>
      </c>
      <c r="D48" s="6" t="s">
        <v>780</v>
      </c>
      <c r="E48" s="6" t="s">
        <v>780</v>
      </c>
      <c r="F48" s="6" t="s">
        <v>780</v>
      </c>
      <c r="G48" s="6" t="s">
        <v>780</v>
      </c>
      <c r="H48" s="6" t="s">
        <v>780</v>
      </c>
      <c r="CG48" s="6" t="s">
        <v>780</v>
      </c>
      <c r="DD48" s="6" t="s">
        <v>780</v>
      </c>
      <c r="DY48" s="6" t="s">
        <v>780</v>
      </c>
      <c r="EO48" s="6" t="s">
        <v>780</v>
      </c>
      <c r="FR48" s="6" t="s">
        <v>780</v>
      </c>
      <c r="HF48" s="6">
        <f t="shared" si="1"/>
        <v>0</v>
      </c>
    </row>
    <row r="49" spans="1:214" ht="50" x14ac:dyDescent="0.25">
      <c r="A49" s="6" t="s">
        <v>545</v>
      </c>
      <c r="B49" s="6" t="s">
        <v>61</v>
      </c>
      <c r="C49" s="6" t="s">
        <v>954</v>
      </c>
      <c r="D49" s="6" t="s">
        <v>780</v>
      </c>
      <c r="E49" s="6" t="s">
        <v>780</v>
      </c>
      <c r="F49" s="6" t="s">
        <v>780</v>
      </c>
      <c r="G49" s="6" t="s">
        <v>780</v>
      </c>
      <c r="H49" s="6" t="s">
        <v>780</v>
      </c>
      <c r="I49" s="6" t="s">
        <v>780</v>
      </c>
      <c r="J49" s="6" t="s">
        <v>780</v>
      </c>
      <c r="CG49" s="6" t="s">
        <v>780</v>
      </c>
      <c r="DD49" s="6" t="s">
        <v>780</v>
      </c>
      <c r="DY49" s="6" t="s">
        <v>780</v>
      </c>
      <c r="EO49" s="6" t="s">
        <v>780</v>
      </c>
      <c r="HF49" s="6">
        <f t="shared" si="1"/>
        <v>0</v>
      </c>
    </row>
    <row r="50" spans="1:214" ht="37.5" x14ac:dyDescent="0.25">
      <c r="A50" s="6" t="s">
        <v>545</v>
      </c>
      <c r="B50" s="6" t="s">
        <v>61</v>
      </c>
      <c r="C50" s="6" t="s">
        <v>955</v>
      </c>
      <c r="D50" s="6" t="s">
        <v>780</v>
      </c>
      <c r="E50" s="6" t="s">
        <v>780</v>
      </c>
      <c r="F50" s="6" t="s">
        <v>780</v>
      </c>
      <c r="G50" s="6" t="s">
        <v>780</v>
      </c>
      <c r="H50" s="6" t="s">
        <v>780</v>
      </c>
      <c r="BV50" s="6" t="s">
        <v>780</v>
      </c>
      <c r="CG50" s="6" t="s">
        <v>780</v>
      </c>
      <c r="DD50" s="6" t="s">
        <v>780</v>
      </c>
      <c r="DY50" s="6" t="s">
        <v>780</v>
      </c>
      <c r="EO50" s="6" t="s">
        <v>780</v>
      </c>
      <c r="HF50" s="6">
        <f t="shared" si="1"/>
        <v>0</v>
      </c>
    </row>
    <row r="51" spans="1:214" ht="75" x14ac:dyDescent="0.25">
      <c r="A51" s="6" t="s">
        <v>545</v>
      </c>
      <c r="B51" s="6" t="s">
        <v>61</v>
      </c>
      <c r="C51" s="6" t="s">
        <v>956</v>
      </c>
      <c r="D51" s="6" t="s">
        <v>780</v>
      </c>
      <c r="E51" s="6" t="s">
        <v>780</v>
      </c>
      <c r="F51" s="6" t="s">
        <v>780</v>
      </c>
      <c r="G51" s="6" t="s">
        <v>780</v>
      </c>
      <c r="H51" s="6" t="s">
        <v>780</v>
      </c>
      <c r="T51" s="6" t="s">
        <v>780</v>
      </c>
      <c r="CG51" s="6" t="s">
        <v>780</v>
      </c>
      <c r="DD51" s="6" t="s">
        <v>780</v>
      </c>
      <c r="DY51" s="6" t="s">
        <v>780</v>
      </c>
      <c r="EO51" s="6" t="s">
        <v>780</v>
      </c>
      <c r="HF51" s="6">
        <f t="shared" si="1"/>
        <v>0</v>
      </c>
    </row>
    <row r="52" spans="1:214" ht="75" x14ac:dyDescent="0.25">
      <c r="A52" s="6" t="s">
        <v>545</v>
      </c>
      <c r="B52" s="6" t="s">
        <v>61</v>
      </c>
      <c r="C52" s="6" t="s">
        <v>957</v>
      </c>
      <c r="D52" s="6" t="s">
        <v>780</v>
      </c>
      <c r="E52" s="6" t="s">
        <v>780</v>
      </c>
      <c r="F52" s="6" t="s">
        <v>780</v>
      </c>
      <c r="G52" s="6" t="s">
        <v>780</v>
      </c>
      <c r="H52" s="6" t="s">
        <v>780</v>
      </c>
      <c r="U52" s="6" t="s">
        <v>780</v>
      </c>
      <c r="CG52" s="6" t="s">
        <v>780</v>
      </c>
      <c r="DD52" s="6" t="s">
        <v>780</v>
      </c>
      <c r="DY52" s="6" t="s">
        <v>780</v>
      </c>
      <c r="EO52" s="6" t="s">
        <v>780</v>
      </c>
      <c r="HF52" s="6">
        <f t="shared" si="1"/>
        <v>0</v>
      </c>
    </row>
    <row r="53" spans="1:214" ht="100" x14ac:dyDescent="0.25">
      <c r="A53" s="6" t="s">
        <v>545</v>
      </c>
      <c r="B53" s="6" t="s">
        <v>61</v>
      </c>
      <c r="C53" s="6" t="s">
        <v>958</v>
      </c>
      <c r="D53" s="6" t="s">
        <v>780</v>
      </c>
      <c r="E53" s="6" t="s">
        <v>780</v>
      </c>
      <c r="F53" s="6" t="s">
        <v>780</v>
      </c>
      <c r="G53" s="6" t="s">
        <v>780</v>
      </c>
      <c r="H53" s="6" t="s">
        <v>780</v>
      </c>
      <c r="CG53" s="6" t="s">
        <v>780</v>
      </c>
      <c r="DD53" s="6" t="s">
        <v>780</v>
      </c>
      <c r="DY53" s="6" t="s">
        <v>780</v>
      </c>
      <c r="EO53" s="6" t="s">
        <v>780</v>
      </c>
      <c r="GV53" s="6" t="s">
        <v>780</v>
      </c>
      <c r="HF53" s="6">
        <f t="shared" si="1"/>
        <v>0</v>
      </c>
    </row>
    <row r="54" spans="1:214" ht="50" x14ac:dyDescent="0.25">
      <c r="A54" s="6" t="s">
        <v>545</v>
      </c>
      <c r="B54" s="6" t="s">
        <v>61</v>
      </c>
      <c r="C54" s="6" t="s">
        <v>959</v>
      </c>
      <c r="D54" s="6" t="s">
        <v>780</v>
      </c>
      <c r="E54" s="6" t="s">
        <v>780</v>
      </c>
      <c r="F54" s="6" t="s">
        <v>780</v>
      </c>
      <c r="G54" s="6" t="s">
        <v>780</v>
      </c>
      <c r="H54" s="6" t="s">
        <v>780</v>
      </c>
      <c r="CF54" s="6" t="s">
        <v>780</v>
      </c>
      <c r="DD54" s="6" t="s">
        <v>780</v>
      </c>
      <c r="DY54" s="6" t="s">
        <v>780</v>
      </c>
      <c r="EO54" s="6" t="s">
        <v>780</v>
      </c>
      <c r="HF54" s="6">
        <f t="shared" si="1"/>
        <v>0</v>
      </c>
    </row>
    <row r="55" spans="1:214" ht="62.5" x14ac:dyDescent="0.25">
      <c r="A55" s="6" t="s">
        <v>545</v>
      </c>
      <c r="B55" s="6" t="s">
        <v>61</v>
      </c>
      <c r="C55" s="6" t="s">
        <v>960</v>
      </c>
      <c r="D55" s="6" t="s">
        <v>780</v>
      </c>
      <c r="E55" s="6" t="s">
        <v>780</v>
      </c>
      <c r="F55" s="6" t="s">
        <v>780</v>
      </c>
      <c r="G55" s="6" t="s">
        <v>780</v>
      </c>
      <c r="H55" s="6" t="s">
        <v>780</v>
      </c>
      <c r="R55" s="6" t="s">
        <v>780</v>
      </c>
      <c r="CG55" s="6" t="s">
        <v>780</v>
      </c>
      <c r="DD55" s="6" t="s">
        <v>780</v>
      </c>
      <c r="DU55" s="6" t="s">
        <v>780</v>
      </c>
      <c r="DZ55" s="6" t="s">
        <v>780</v>
      </c>
      <c r="EA55" s="6" t="s">
        <v>780</v>
      </c>
      <c r="EP55" s="6" t="s">
        <v>780</v>
      </c>
      <c r="EQ55" s="6" t="s">
        <v>780</v>
      </c>
      <c r="HF55" s="6">
        <f t="shared" si="1"/>
        <v>0</v>
      </c>
    </row>
    <row r="56" spans="1:214" ht="50" x14ac:dyDescent="0.25">
      <c r="A56" s="6" t="s">
        <v>545</v>
      </c>
      <c r="B56" s="6" t="s">
        <v>61</v>
      </c>
      <c r="C56" s="6" t="s">
        <v>961</v>
      </c>
      <c r="D56" s="6" t="s">
        <v>780</v>
      </c>
      <c r="E56" s="6" t="s">
        <v>780</v>
      </c>
      <c r="F56" s="6" t="s">
        <v>780</v>
      </c>
      <c r="G56" s="6" t="s">
        <v>780</v>
      </c>
      <c r="H56" s="6" t="s">
        <v>780</v>
      </c>
      <c r="AG56" s="6" t="s">
        <v>780</v>
      </c>
      <c r="CG56" s="6" t="s">
        <v>780</v>
      </c>
      <c r="DD56" s="6" t="s">
        <v>780</v>
      </c>
      <c r="DZ56" s="6" t="s">
        <v>780</v>
      </c>
      <c r="EA56" s="6" t="s">
        <v>780</v>
      </c>
      <c r="EP56" s="6" t="s">
        <v>780</v>
      </c>
      <c r="EQ56" s="6" t="s">
        <v>780</v>
      </c>
      <c r="HF56" s="6">
        <f t="shared" si="1"/>
        <v>0</v>
      </c>
    </row>
    <row r="57" spans="1:214" ht="50" x14ac:dyDescent="0.25">
      <c r="A57" s="6" t="s">
        <v>545</v>
      </c>
      <c r="B57" s="6" t="s">
        <v>61</v>
      </c>
      <c r="C57" s="6" t="s">
        <v>962</v>
      </c>
      <c r="D57" s="6" t="s">
        <v>780</v>
      </c>
      <c r="E57" s="6" t="s">
        <v>780</v>
      </c>
      <c r="F57" s="6" t="s">
        <v>780</v>
      </c>
      <c r="G57" s="6" t="s">
        <v>780</v>
      </c>
      <c r="H57" s="6" t="s">
        <v>780</v>
      </c>
      <c r="BK57" s="6" t="s">
        <v>780</v>
      </c>
      <c r="CG57" s="6" t="s">
        <v>780</v>
      </c>
      <c r="DD57" s="6" t="s">
        <v>780</v>
      </c>
      <c r="DZ57" s="6" t="s">
        <v>780</v>
      </c>
      <c r="EA57" s="6" t="s">
        <v>780</v>
      </c>
      <c r="EP57" s="6" t="s">
        <v>780</v>
      </c>
      <c r="EQ57" s="6" t="s">
        <v>780</v>
      </c>
      <c r="HF57" s="6">
        <f t="shared" si="1"/>
        <v>0</v>
      </c>
    </row>
    <row r="58" spans="1:214" ht="50" x14ac:dyDescent="0.25">
      <c r="A58" s="6" t="s">
        <v>545</v>
      </c>
      <c r="B58" s="6" t="s">
        <v>61</v>
      </c>
      <c r="C58" s="6" t="s">
        <v>963</v>
      </c>
      <c r="D58" s="6" t="s">
        <v>780</v>
      </c>
      <c r="E58" s="6" t="s">
        <v>780</v>
      </c>
      <c r="F58" s="6" t="s">
        <v>780</v>
      </c>
      <c r="G58" s="6" t="s">
        <v>780</v>
      </c>
      <c r="H58" s="6" t="s">
        <v>780</v>
      </c>
      <c r="BO58" s="6" t="s">
        <v>780</v>
      </c>
      <c r="CG58" s="6" t="s">
        <v>780</v>
      </c>
      <c r="DD58" s="6" t="s">
        <v>780</v>
      </c>
      <c r="DZ58" s="6" t="s">
        <v>780</v>
      </c>
      <c r="EA58" s="6" t="s">
        <v>780</v>
      </c>
      <c r="EP58" s="6" t="s">
        <v>780</v>
      </c>
      <c r="EQ58" s="6" t="s">
        <v>780</v>
      </c>
      <c r="HF58" s="6">
        <f t="shared" si="1"/>
        <v>0</v>
      </c>
    </row>
    <row r="59" spans="1:214" ht="75" x14ac:dyDescent="0.25">
      <c r="A59" s="6" t="s">
        <v>545</v>
      </c>
      <c r="B59" s="6" t="s">
        <v>61</v>
      </c>
      <c r="C59" s="6" t="s">
        <v>964</v>
      </c>
      <c r="D59" s="6" t="s">
        <v>780</v>
      </c>
      <c r="E59" s="6" t="s">
        <v>780</v>
      </c>
      <c r="F59" s="6" t="s">
        <v>780</v>
      </c>
      <c r="G59" s="6" t="s">
        <v>780</v>
      </c>
      <c r="H59" s="6" t="s">
        <v>780</v>
      </c>
      <c r="CG59" s="6" t="s">
        <v>780</v>
      </c>
      <c r="CT59" s="6" t="s">
        <v>780</v>
      </c>
      <c r="DD59" s="6" t="s">
        <v>780</v>
      </c>
      <c r="DZ59" s="6" t="s">
        <v>780</v>
      </c>
      <c r="EA59" s="6" t="s">
        <v>780</v>
      </c>
      <c r="EP59" s="6" t="s">
        <v>780</v>
      </c>
      <c r="EQ59" s="6" t="s">
        <v>780</v>
      </c>
      <c r="HF59" s="6">
        <f t="shared" si="1"/>
        <v>0</v>
      </c>
    </row>
    <row r="60" spans="1:214" ht="62.5" x14ac:dyDescent="0.25">
      <c r="A60" s="6" t="s">
        <v>545</v>
      </c>
      <c r="B60" s="6" t="s">
        <v>61</v>
      </c>
      <c r="C60" s="6" t="s">
        <v>965</v>
      </c>
      <c r="D60" s="6" t="s">
        <v>780</v>
      </c>
      <c r="E60" s="6" t="s">
        <v>780</v>
      </c>
      <c r="F60" s="6" t="s">
        <v>780</v>
      </c>
      <c r="G60" s="6" t="s">
        <v>780</v>
      </c>
      <c r="H60" s="6" t="s">
        <v>780</v>
      </c>
      <c r="CG60" s="6" t="s">
        <v>780</v>
      </c>
      <c r="DD60" s="6" t="s">
        <v>780</v>
      </c>
      <c r="DU60" s="6" t="s">
        <v>780</v>
      </c>
      <c r="DZ60" s="6" t="s">
        <v>780</v>
      </c>
      <c r="EA60" s="6" t="s">
        <v>780</v>
      </c>
      <c r="EP60" s="6" t="s">
        <v>780</v>
      </c>
      <c r="EQ60" s="6" t="s">
        <v>780</v>
      </c>
      <c r="HF60" s="6">
        <f t="shared" si="1"/>
        <v>0</v>
      </c>
    </row>
    <row r="61" spans="1:214" ht="75" x14ac:dyDescent="0.25">
      <c r="A61" s="6" t="s">
        <v>545</v>
      </c>
      <c r="B61" s="6" t="s">
        <v>61</v>
      </c>
      <c r="C61" s="6" t="s">
        <v>966</v>
      </c>
      <c r="D61" s="6" t="s">
        <v>780</v>
      </c>
      <c r="E61" s="6" t="s">
        <v>780</v>
      </c>
      <c r="F61" s="6" t="s">
        <v>780</v>
      </c>
      <c r="G61" s="6" t="s">
        <v>780</v>
      </c>
      <c r="H61" s="6" t="s">
        <v>780</v>
      </c>
      <c r="CG61" s="6" t="s">
        <v>780</v>
      </c>
      <c r="DD61" s="6" t="s">
        <v>780</v>
      </c>
      <c r="DU61" s="6" t="s">
        <v>780</v>
      </c>
      <c r="DZ61" s="6" t="s">
        <v>780</v>
      </c>
      <c r="EA61" s="6" t="s">
        <v>780</v>
      </c>
      <c r="EP61" s="6" t="s">
        <v>780</v>
      </c>
      <c r="EQ61" s="6" t="s">
        <v>780</v>
      </c>
      <c r="EU61" s="6" t="s">
        <v>780</v>
      </c>
      <c r="HF61" s="6">
        <f t="shared" si="1"/>
        <v>0</v>
      </c>
    </row>
    <row r="62" spans="1:214" ht="50" x14ac:dyDescent="0.25">
      <c r="A62" s="6" t="s">
        <v>545</v>
      </c>
      <c r="B62" s="6" t="s">
        <v>61</v>
      </c>
      <c r="C62" s="6" t="s">
        <v>967</v>
      </c>
      <c r="D62" s="6" t="s">
        <v>780</v>
      </c>
      <c r="E62" s="6" t="s">
        <v>780</v>
      </c>
      <c r="F62" s="6" t="s">
        <v>780</v>
      </c>
      <c r="G62" s="6" t="s">
        <v>780</v>
      </c>
      <c r="H62" s="6" t="s">
        <v>780</v>
      </c>
      <c r="CG62" s="6" t="s">
        <v>780</v>
      </c>
      <c r="DD62" s="6" t="s">
        <v>780</v>
      </c>
      <c r="DZ62" s="6" t="s">
        <v>780</v>
      </c>
      <c r="EA62" s="6" t="s">
        <v>780</v>
      </c>
      <c r="EP62" s="6" t="s">
        <v>780</v>
      </c>
      <c r="EQ62" s="6" t="s">
        <v>780</v>
      </c>
      <c r="FR62" s="6" t="s">
        <v>780</v>
      </c>
      <c r="HF62" s="6">
        <f t="shared" si="1"/>
        <v>0</v>
      </c>
    </row>
    <row r="63" spans="1:214" ht="62.5" x14ac:dyDescent="0.25">
      <c r="A63" s="6" t="s">
        <v>545</v>
      </c>
      <c r="B63" s="6" t="s">
        <v>61</v>
      </c>
      <c r="C63" s="6" t="s">
        <v>968</v>
      </c>
      <c r="D63" s="6" t="s">
        <v>780</v>
      </c>
      <c r="E63" s="6" t="s">
        <v>780</v>
      </c>
      <c r="F63" s="6" t="s">
        <v>780</v>
      </c>
      <c r="G63" s="6" t="s">
        <v>780</v>
      </c>
      <c r="H63" s="6" t="s">
        <v>780</v>
      </c>
      <c r="CG63" s="6" t="s">
        <v>780</v>
      </c>
      <c r="DD63" s="6" t="s">
        <v>780</v>
      </c>
      <c r="DZ63" s="6" t="s">
        <v>780</v>
      </c>
      <c r="EA63" s="6" t="s">
        <v>780</v>
      </c>
      <c r="EP63" s="6" t="s">
        <v>780</v>
      </c>
      <c r="EQ63" s="6" t="s">
        <v>780</v>
      </c>
      <c r="GB63" s="6" t="s">
        <v>780</v>
      </c>
      <c r="HF63" s="6">
        <f t="shared" si="1"/>
        <v>0</v>
      </c>
    </row>
    <row r="64" spans="1:214" ht="50" x14ac:dyDescent="0.25">
      <c r="A64" s="6" t="s">
        <v>545</v>
      </c>
      <c r="B64" s="6" t="s">
        <v>61</v>
      </c>
      <c r="C64" s="6" t="s">
        <v>969</v>
      </c>
      <c r="D64" s="6" t="s">
        <v>780</v>
      </c>
      <c r="E64" s="6" t="s">
        <v>780</v>
      </c>
      <c r="F64" s="6" t="s">
        <v>780</v>
      </c>
      <c r="G64" s="6" t="s">
        <v>780</v>
      </c>
      <c r="H64" s="6" t="s">
        <v>780</v>
      </c>
      <c r="I64" s="6" t="s">
        <v>780</v>
      </c>
      <c r="J64" s="6" t="s">
        <v>780</v>
      </c>
      <c r="CG64" s="6" t="s">
        <v>780</v>
      </c>
      <c r="DD64" s="6" t="s">
        <v>780</v>
      </c>
      <c r="DZ64" s="6" t="s">
        <v>780</v>
      </c>
      <c r="EA64" s="6" t="s">
        <v>780</v>
      </c>
      <c r="EP64" s="6" t="s">
        <v>780</v>
      </c>
      <c r="EQ64" s="6" t="s">
        <v>780</v>
      </c>
      <c r="HF64" s="6">
        <f t="shared" si="1"/>
        <v>0</v>
      </c>
    </row>
    <row r="65" spans="1:214" ht="50" x14ac:dyDescent="0.25">
      <c r="A65" s="6" t="s">
        <v>545</v>
      </c>
      <c r="B65" s="6" t="s">
        <v>61</v>
      </c>
      <c r="C65" s="6" t="s">
        <v>970</v>
      </c>
      <c r="D65" s="6" t="s">
        <v>780</v>
      </c>
      <c r="E65" s="6" t="s">
        <v>780</v>
      </c>
      <c r="F65" s="6" t="s">
        <v>780</v>
      </c>
      <c r="G65" s="6" t="s">
        <v>780</v>
      </c>
      <c r="H65" s="6" t="s">
        <v>780</v>
      </c>
      <c r="BV65" s="6" t="s">
        <v>780</v>
      </c>
      <c r="CG65" s="6" t="s">
        <v>780</v>
      </c>
      <c r="DD65" s="6" t="s">
        <v>780</v>
      </c>
      <c r="DZ65" s="6" t="s">
        <v>780</v>
      </c>
      <c r="EA65" s="6" t="s">
        <v>780</v>
      </c>
      <c r="EP65" s="6" t="s">
        <v>780</v>
      </c>
      <c r="EQ65" s="6" t="s">
        <v>780</v>
      </c>
      <c r="HF65" s="6">
        <f t="shared" si="1"/>
        <v>0</v>
      </c>
    </row>
    <row r="66" spans="1:214" ht="75" x14ac:dyDescent="0.25">
      <c r="A66" s="6" t="s">
        <v>545</v>
      </c>
      <c r="B66" s="6" t="s">
        <v>61</v>
      </c>
      <c r="C66" s="6" t="s">
        <v>971</v>
      </c>
      <c r="D66" s="6" t="s">
        <v>780</v>
      </c>
      <c r="E66" s="6" t="s">
        <v>780</v>
      </c>
      <c r="F66" s="6" t="s">
        <v>780</v>
      </c>
      <c r="G66" s="6" t="s">
        <v>780</v>
      </c>
      <c r="H66" s="6" t="s">
        <v>780</v>
      </c>
      <c r="T66" s="6" t="s">
        <v>780</v>
      </c>
      <c r="CG66" s="6" t="s">
        <v>780</v>
      </c>
      <c r="DD66" s="6" t="s">
        <v>780</v>
      </c>
      <c r="DZ66" s="6" t="s">
        <v>780</v>
      </c>
      <c r="EA66" s="6" t="s">
        <v>780</v>
      </c>
      <c r="EP66" s="6" t="s">
        <v>780</v>
      </c>
      <c r="EQ66" s="6" t="s">
        <v>780</v>
      </c>
      <c r="HF66" s="6">
        <f t="shared" si="1"/>
        <v>0</v>
      </c>
    </row>
    <row r="67" spans="1:214" ht="75" x14ac:dyDescent="0.25">
      <c r="A67" s="6" t="s">
        <v>545</v>
      </c>
      <c r="B67" s="6" t="s">
        <v>61</v>
      </c>
      <c r="C67" s="6" t="s">
        <v>972</v>
      </c>
      <c r="D67" s="6" t="s">
        <v>780</v>
      </c>
      <c r="E67" s="6" t="s">
        <v>780</v>
      </c>
      <c r="F67" s="6" t="s">
        <v>780</v>
      </c>
      <c r="G67" s="6" t="s">
        <v>780</v>
      </c>
      <c r="H67" s="6" t="s">
        <v>780</v>
      </c>
      <c r="U67" s="6" t="s">
        <v>780</v>
      </c>
      <c r="CG67" s="6" t="s">
        <v>780</v>
      </c>
      <c r="DD67" s="6" t="s">
        <v>780</v>
      </c>
      <c r="DZ67" s="6" t="s">
        <v>780</v>
      </c>
      <c r="EA67" s="6" t="s">
        <v>780</v>
      </c>
      <c r="EP67" s="6" t="s">
        <v>780</v>
      </c>
      <c r="EQ67" s="6" t="s">
        <v>780</v>
      </c>
      <c r="HF67" s="6">
        <f t="shared" si="1"/>
        <v>0</v>
      </c>
    </row>
    <row r="68" spans="1:214" ht="87.5" x14ac:dyDescent="0.25">
      <c r="A68" s="6" t="s">
        <v>545</v>
      </c>
      <c r="B68" s="6" t="s">
        <v>61</v>
      </c>
      <c r="C68" s="6" t="s">
        <v>973</v>
      </c>
      <c r="D68" s="6" t="s">
        <v>780</v>
      </c>
      <c r="E68" s="6" t="s">
        <v>780</v>
      </c>
      <c r="F68" s="6" t="s">
        <v>780</v>
      </c>
      <c r="G68" s="6" t="s">
        <v>780</v>
      </c>
      <c r="H68" s="6" t="s">
        <v>780</v>
      </c>
      <c r="CG68" s="6" t="s">
        <v>780</v>
      </c>
      <c r="DD68" s="6" t="s">
        <v>780</v>
      </c>
      <c r="DZ68" s="6" t="s">
        <v>780</v>
      </c>
      <c r="EA68" s="6" t="s">
        <v>780</v>
      </c>
      <c r="EP68" s="6" t="s">
        <v>780</v>
      </c>
      <c r="EQ68" s="6" t="s">
        <v>780</v>
      </c>
      <c r="GV68" s="6" t="s">
        <v>780</v>
      </c>
      <c r="HF68" s="6">
        <f t="shared" si="1"/>
        <v>0</v>
      </c>
    </row>
    <row r="69" spans="1:214" ht="50" x14ac:dyDescent="0.25">
      <c r="A69" s="6" t="s">
        <v>545</v>
      </c>
      <c r="B69" s="6" t="s">
        <v>61</v>
      </c>
      <c r="C69" s="6" t="s">
        <v>974</v>
      </c>
      <c r="D69" s="6" t="s">
        <v>780</v>
      </c>
      <c r="E69" s="6" t="s">
        <v>780</v>
      </c>
      <c r="F69" s="6" t="s">
        <v>780</v>
      </c>
      <c r="G69" s="6" t="s">
        <v>780</v>
      </c>
      <c r="H69" s="6" t="s">
        <v>780</v>
      </c>
      <c r="CF69" s="6" t="s">
        <v>780</v>
      </c>
      <c r="DD69" s="6" t="s">
        <v>780</v>
      </c>
      <c r="DZ69" s="6" t="s">
        <v>780</v>
      </c>
      <c r="EA69" s="6" t="s">
        <v>780</v>
      </c>
      <c r="EP69" s="6" t="s">
        <v>780</v>
      </c>
      <c r="EQ69" s="6" t="s">
        <v>780</v>
      </c>
      <c r="HF69" s="6">
        <f t="shared" si="1"/>
        <v>0</v>
      </c>
    </row>
    <row r="70" spans="1:214" ht="37.5" x14ac:dyDescent="0.25">
      <c r="A70" s="6" t="s">
        <v>545</v>
      </c>
      <c r="B70" s="6" t="s">
        <v>975</v>
      </c>
      <c r="C70" s="6" t="s">
        <v>976</v>
      </c>
      <c r="D70" s="6" t="s">
        <v>780</v>
      </c>
      <c r="E70" s="6" t="s">
        <v>780</v>
      </c>
      <c r="F70" s="6" t="s">
        <v>780</v>
      </c>
      <c r="G70" s="6" t="s">
        <v>780</v>
      </c>
      <c r="H70" s="6" t="s">
        <v>780</v>
      </c>
      <c r="AG70" s="6" t="s">
        <v>780</v>
      </c>
      <c r="AV70" s="6" t="s">
        <v>780</v>
      </c>
      <c r="CC70" s="6" t="s">
        <v>780</v>
      </c>
      <c r="CH70" s="6" t="s">
        <v>780</v>
      </c>
      <c r="CU70" s="6" t="s">
        <v>780</v>
      </c>
      <c r="HB70" s="6" t="s">
        <v>780</v>
      </c>
      <c r="HF70" s="6">
        <f t="shared" si="1"/>
        <v>0</v>
      </c>
    </row>
    <row r="71" spans="1:214" ht="37.5" x14ac:dyDescent="0.25">
      <c r="A71" s="6" t="s">
        <v>545</v>
      </c>
      <c r="B71" s="6" t="s">
        <v>975</v>
      </c>
      <c r="C71" s="6" t="s">
        <v>977</v>
      </c>
      <c r="D71" s="6" t="s">
        <v>780</v>
      </c>
      <c r="E71" s="6" t="s">
        <v>780</v>
      </c>
      <c r="F71" s="6" t="s">
        <v>780</v>
      </c>
      <c r="G71" s="6" t="s">
        <v>780</v>
      </c>
      <c r="H71" s="6" t="s">
        <v>780</v>
      </c>
      <c r="AV71" s="6" t="s">
        <v>780</v>
      </c>
      <c r="BO71" s="6" t="s">
        <v>780</v>
      </c>
      <c r="CC71" s="6" t="s">
        <v>780</v>
      </c>
      <c r="CH71" s="6" t="s">
        <v>780</v>
      </c>
      <c r="CU71" s="6" t="s">
        <v>780</v>
      </c>
      <c r="HB71" s="6" t="s">
        <v>780</v>
      </c>
      <c r="HF71" s="6">
        <f t="shared" si="1"/>
        <v>0</v>
      </c>
    </row>
    <row r="72" spans="1:214" ht="37.5" x14ac:dyDescent="0.25">
      <c r="A72" s="6" t="s">
        <v>545</v>
      </c>
      <c r="B72" s="6" t="s">
        <v>975</v>
      </c>
      <c r="C72" s="6" t="s">
        <v>978</v>
      </c>
      <c r="D72" s="6" t="s">
        <v>780</v>
      </c>
      <c r="E72" s="6" t="s">
        <v>780</v>
      </c>
      <c r="F72" s="6" t="s">
        <v>780</v>
      </c>
      <c r="G72" s="6" t="s">
        <v>780</v>
      </c>
      <c r="H72" s="6" t="s">
        <v>780</v>
      </c>
      <c r="AV72" s="6" t="s">
        <v>780</v>
      </c>
      <c r="CA72" s="6" t="s">
        <v>780</v>
      </c>
      <c r="CB72" s="6" t="s">
        <v>780</v>
      </c>
      <c r="CH72" s="6" t="s">
        <v>780</v>
      </c>
      <c r="CU72" s="6" t="s">
        <v>780</v>
      </c>
      <c r="DK72" s="6" t="s">
        <v>780</v>
      </c>
      <c r="HB72" s="6" t="s">
        <v>780</v>
      </c>
      <c r="HF72" s="6">
        <f t="shared" si="1"/>
        <v>0</v>
      </c>
    </row>
    <row r="73" spans="1:214" ht="37.5" x14ac:dyDescent="0.25">
      <c r="A73" s="6" t="s">
        <v>545</v>
      </c>
      <c r="B73" s="6" t="s">
        <v>975</v>
      </c>
      <c r="C73" s="6" t="s">
        <v>979</v>
      </c>
      <c r="D73" s="6" t="s">
        <v>780</v>
      </c>
      <c r="E73" s="6" t="s">
        <v>780</v>
      </c>
      <c r="F73" s="6" t="s">
        <v>780</v>
      </c>
      <c r="G73" s="6" t="s">
        <v>780</v>
      </c>
      <c r="H73" s="6" t="s">
        <v>780</v>
      </c>
      <c r="AD73" s="6" t="s">
        <v>780</v>
      </c>
      <c r="AV73" s="6" t="s">
        <v>780</v>
      </c>
      <c r="CC73" s="6" t="s">
        <v>780</v>
      </c>
      <c r="CH73" s="6" t="s">
        <v>780</v>
      </c>
      <c r="CU73" s="6" t="s">
        <v>780</v>
      </c>
      <c r="HB73" s="6" t="s">
        <v>780</v>
      </c>
      <c r="HF73" s="6">
        <f t="shared" si="1"/>
        <v>0</v>
      </c>
    </row>
    <row r="74" spans="1:214" ht="37.5" x14ac:dyDescent="0.25">
      <c r="A74" s="6" t="s">
        <v>545</v>
      </c>
      <c r="B74" s="6" t="s">
        <v>975</v>
      </c>
      <c r="C74" s="6" t="s">
        <v>980</v>
      </c>
      <c r="D74" s="6" t="s">
        <v>780</v>
      </c>
      <c r="E74" s="6" t="s">
        <v>780</v>
      </c>
      <c r="F74" s="6" t="s">
        <v>780</v>
      </c>
      <c r="G74" s="6" t="s">
        <v>780</v>
      </c>
      <c r="H74" s="6" t="s">
        <v>780</v>
      </c>
      <c r="AV74" s="6" t="s">
        <v>780</v>
      </c>
      <c r="CA74" s="6" t="s">
        <v>780</v>
      </c>
      <c r="CB74" s="6" t="s">
        <v>780</v>
      </c>
      <c r="CC74" s="6" t="s">
        <v>780</v>
      </c>
      <c r="CH74" s="6" t="s">
        <v>780</v>
      </c>
      <c r="CU74" s="6" t="s">
        <v>780</v>
      </c>
      <c r="HB74" s="6" t="s">
        <v>780</v>
      </c>
      <c r="HF74" s="6">
        <f t="shared" si="1"/>
        <v>0</v>
      </c>
    </row>
    <row r="75" spans="1:214" ht="37.5" x14ac:dyDescent="0.25">
      <c r="A75" s="6" t="s">
        <v>545</v>
      </c>
      <c r="B75" s="6" t="s">
        <v>975</v>
      </c>
      <c r="C75" s="6" t="s">
        <v>981</v>
      </c>
      <c r="D75" s="6" t="s">
        <v>780</v>
      </c>
      <c r="E75" s="6" t="s">
        <v>780</v>
      </c>
      <c r="F75" s="6" t="s">
        <v>780</v>
      </c>
      <c r="G75" s="6" t="s">
        <v>780</v>
      </c>
      <c r="H75" s="6" t="s">
        <v>780</v>
      </c>
      <c r="CA75" s="6" t="s">
        <v>780</v>
      </c>
      <c r="CB75" s="6" t="s">
        <v>780</v>
      </c>
      <c r="CC75" s="6" t="s">
        <v>780</v>
      </c>
      <c r="DK75" s="6" t="s">
        <v>780</v>
      </c>
      <c r="GH75" s="6" t="s">
        <v>780</v>
      </c>
      <c r="HF75" s="6">
        <f t="shared" si="1"/>
        <v>0</v>
      </c>
    </row>
    <row r="76" spans="1:214" ht="37.5" x14ac:dyDescent="0.25">
      <c r="A76" s="6" t="s">
        <v>545</v>
      </c>
      <c r="B76" s="6" t="s">
        <v>975</v>
      </c>
      <c r="C76" s="6" t="s">
        <v>982</v>
      </c>
      <c r="D76" s="6" t="s">
        <v>780</v>
      </c>
      <c r="E76" s="6" t="s">
        <v>780</v>
      </c>
      <c r="F76" s="6" t="s">
        <v>780</v>
      </c>
      <c r="G76" s="6" t="s">
        <v>780</v>
      </c>
      <c r="H76" s="6" t="s">
        <v>780</v>
      </c>
      <c r="BU76" s="6" t="s">
        <v>780</v>
      </c>
      <c r="CC76" s="6" t="s">
        <v>780</v>
      </c>
      <c r="CX76" s="6" t="s">
        <v>780</v>
      </c>
      <c r="DK76" s="6" t="s">
        <v>780</v>
      </c>
      <c r="GH76" s="6" t="s">
        <v>780</v>
      </c>
      <c r="HF76" s="6">
        <f t="shared" si="1"/>
        <v>0</v>
      </c>
    </row>
    <row r="77" spans="1:214" ht="37.5" x14ac:dyDescent="0.25">
      <c r="A77" s="6" t="s">
        <v>545</v>
      </c>
      <c r="B77" s="6" t="s">
        <v>975</v>
      </c>
      <c r="C77" s="6" t="s">
        <v>983</v>
      </c>
      <c r="D77" s="6" t="s">
        <v>780</v>
      </c>
      <c r="E77" s="6" t="s">
        <v>780</v>
      </c>
      <c r="F77" s="6" t="s">
        <v>780</v>
      </c>
      <c r="G77" s="6" t="s">
        <v>780</v>
      </c>
      <c r="H77" s="6" t="s">
        <v>780</v>
      </c>
      <c r="R77" s="6" t="s">
        <v>780</v>
      </c>
      <c r="BY77" s="6" t="s">
        <v>780</v>
      </c>
      <c r="BZ77" s="6" t="s">
        <v>780</v>
      </c>
      <c r="DL77" s="6" t="s">
        <v>780</v>
      </c>
      <c r="DM77" s="6" t="s">
        <v>780</v>
      </c>
      <c r="HF77" s="6">
        <f t="shared" ref="HF77:HF81" si="2">SUM(D77:HE77)</f>
        <v>0</v>
      </c>
    </row>
    <row r="78" spans="1:214" ht="37.5" x14ac:dyDescent="0.25">
      <c r="A78" s="6" t="s">
        <v>545</v>
      </c>
      <c r="B78" s="6" t="s">
        <v>975</v>
      </c>
      <c r="C78" s="6" t="s">
        <v>984</v>
      </c>
      <c r="D78" s="6" t="s">
        <v>780</v>
      </c>
      <c r="E78" s="6" t="s">
        <v>780</v>
      </c>
      <c r="F78" s="6" t="s">
        <v>780</v>
      </c>
      <c r="G78" s="6" t="s">
        <v>780</v>
      </c>
      <c r="H78" s="6" t="s">
        <v>780</v>
      </c>
      <c r="R78" s="6" t="s">
        <v>780</v>
      </c>
      <c r="AV78" s="6" t="s">
        <v>780</v>
      </c>
      <c r="CD78" s="6" t="s">
        <v>780</v>
      </c>
      <c r="CH78" s="6" t="s">
        <v>780</v>
      </c>
      <c r="CU78" s="6" t="s">
        <v>780</v>
      </c>
      <c r="HB78" s="6" t="s">
        <v>780</v>
      </c>
      <c r="HF78" s="6">
        <f t="shared" si="2"/>
        <v>0</v>
      </c>
    </row>
    <row r="79" spans="1:214" ht="37.5" x14ac:dyDescent="0.25">
      <c r="A79" s="6" t="s">
        <v>545</v>
      </c>
      <c r="B79" s="6" t="s">
        <v>975</v>
      </c>
      <c r="C79" s="6" t="s">
        <v>985</v>
      </c>
      <c r="D79" s="6" t="s">
        <v>780</v>
      </c>
      <c r="E79" s="6" t="s">
        <v>780</v>
      </c>
      <c r="F79" s="6" t="s">
        <v>780</v>
      </c>
      <c r="G79" s="6" t="s">
        <v>780</v>
      </c>
      <c r="H79" s="6" t="s">
        <v>780</v>
      </c>
      <c r="CA79" s="6" t="s">
        <v>780</v>
      </c>
      <c r="CB79" s="6" t="s">
        <v>780</v>
      </c>
      <c r="CD79" s="6" t="s">
        <v>780</v>
      </c>
      <c r="FQ79" s="6" t="s">
        <v>780</v>
      </c>
      <c r="HF79" s="6">
        <f t="shared" si="2"/>
        <v>0</v>
      </c>
    </row>
    <row r="80" spans="1:214" ht="37.5" x14ac:dyDescent="0.25">
      <c r="A80" s="6" t="s">
        <v>545</v>
      </c>
      <c r="B80" s="6" t="s">
        <v>975</v>
      </c>
      <c r="C80" s="6" t="s">
        <v>986</v>
      </c>
      <c r="D80" s="6" t="s">
        <v>780</v>
      </c>
      <c r="E80" s="6" t="s">
        <v>780</v>
      </c>
      <c r="F80" s="6" t="s">
        <v>780</v>
      </c>
      <c r="G80" s="6" t="s">
        <v>780</v>
      </c>
      <c r="H80" s="6" t="s">
        <v>780</v>
      </c>
      <c r="R80" s="6" t="s">
        <v>780</v>
      </c>
      <c r="AS80" s="6" t="s">
        <v>780</v>
      </c>
      <c r="AT80" s="6" t="s">
        <v>780</v>
      </c>
      <c r="AU80" s="6" t="s">
        <v>780</v>
      </c>
      <c r="CD80" s="6" t="s">
        <v>780</v>
      </c>
      <c r="CQ80" s="6" t="s">
        <v>780</v>
      </c>
      <c r="CR80" s="6" t="s">
        <v>780</v>
      </c>
      <c r="CS80" s="6" t="s">
        <v>780</v>
      </c>
      <c r="GE80" s="6" t="s">
        <v>780</v>
      </c>
      <c r="GY80" s="6" t="s">
        <v>780</v>
      </c>
      <c r="GZ80" s="6" t="s">
        <v>780</v>
      </c>
      <c r="HA80" s="6" t="s">
        <v>780</v>
      </c>
      <c r="HF80" s="6">
        <f t="shared" si="2"/>
        <v>0</v>
      </c>
    </row>
    <row r="81" spans="1:214" ht="37.5" x14ac:dyDescent="0.25">
      <c r="A81" s="6" t="s">
        <v>545</v>
      </c>
      <c r="B81" s="6" t="s">
        <v>975</v>
      </c>
      <c r="C81" s="6" t="s">
        <v>987</v>
      </c>
      <c r="D81" s="6" t="s">
        <v>780</v>
      </c>
      <c r="E81" s="6" t="s">
        <v>780</v>
      </c>
      <c r="F81" s="6" t="s">
        <v>780</v>
      </c>
      <c r="G81" s="6" t="s">
        <v>780</v>
      </c>
      <c r="H81" s="6" t="s">
        <v>780</v>
      </c>
      <c r="R81" s="6" t="s">
        <v>780</v>
      </c>
      <c r="BU81" s="6" t="s">
        <v>780</v>
      </c>
      <c r="CD81" s="6" t="s">
        <v>780</v>
      </c>
      <c r="DK81" s="6" t="s">
        <v>780</v>
      </c>
      <c r="HF81" s="6">
        <f t="shared" si="2"/>
        <v>0</v>
      </c>
    </row>
    <row r="82" spans="1:214" x14ac:dyDescent="0.25">
      <c r="A82" s="6" t="s">
        <v>545</v>
      </c>
    </row>
    <row r="83" spans="1:214" x14ac:dyDescent="0.25">
      <c r="A83" s="6" t="s">
        <v>545</v>
      </c>
    </row>
    <row r="84" spans="1:214" x14ac:dyDescent="0.25">
      <c r="A84" s="6" t="s">
        <v>545</v>
      </c>
    </row>
    <row r="85" spans="1:214" x14ac:dyDescent="0.25">
      <c r="A85" s="6" t="s">
        <v>545</v>
      </c>
    </row>
    <row r="86" spans="1:214" x14ac:dyDescent="0.25">
      <c r="A86" s="6" t="s">
        <v>545</v>
      </c>
    </row>
    <row r="87" spans="1:214" x14ac:dyDescent="0.25">
      <c r="A87" s="6" t="s">
        <v>545</v>
      </c>
    </row>
    <row r="88" spans="1:214" x14ac:dyDescent="0.25">
      <c r="A88" s="6" t="s">
        <v>545</v>
      </c>
    </row>
    <row r="89" spans="1:214" x14ac:dyDescent="0.25">
      <c r="A89" s="6" t="s">
        <v>545</v>
      </c>
    </row>
    <row r="90" spans="1:214" x14ac:dyDescent="0.25">
      <c r="A90" s="6" t="s">
        <v>545</v>
      </c>
    </row>
    <row r="91" spans="1:214" x14ac:dyDescent="0.25">
      <c r="A91" s="6" t="s">
        <v>545</v>
      </c>
    </row>
    <row r="92" spans="1:214" x14ac:dyDescent="0.25">
      <c r="A92" s="6" t="s">
        <v>545</v>
      </c>
    </row>
    <row r="93" spans="1:214" x14ac:dyDescent="0.25">
      <c r="A93" s="6" t="s">
        <v>545</v>
      </c>
    </row>
    <row r="94" spans="1:214" x14ac:dyDescent="0.25">
      <c r="A94" s="6" t="s">
        <v>545</v>
      </c>
    </row>
    <row r="95" spans="1:214" x14ac:dyDescent="0.25">
      <c r="A95" s="6" t="s">
        <v>545</v>
      </c>
    </row>
    <row r="96" spans="1:214" x14ac:dyDescent="0.25">
      <c r="A96" s="6" t="s">
        <v>545</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zoomScale="102" workbookViewId="0">
      <selection activeCell="B207" sqref="B207"/>
    </sheetView>
  </sheetViews>
  <sheetFormatPr defaultRowHeight="14.5" x14ac:dyDescent="0.35"/>
  <cols>
    <col min="1" max="1" width="37.1796875" customWidth="1"/>
    <col min="2" max="2" width="55.453125" customWidth="1"/>
  </cols>
  <sheetData>
    <row r="2" spans="1:2" x14ac:dyDescent="0.35">
      <c r="A2" t="s">
        <v>611</v>
      </c>
      <c r="B2" t="s">
        <v>1904</v>
      </c>
    </row>
    <row r="3" spans="1:2" x14ac:dyDescent="0.35">
      <c r="A3" t="s">
        <v>645</v>
      </c>
      <c r="B3" t="s">
        <v>1905</v>
      </c>
    </row>
    <row r="4" spans="1:2" x14ac:dyDescent="0.35">
      <c r="A4" t="s">
        <v>185</v>
      </c>
      <c r="B4" t="s">
        <v>1906</v>
      </c>
    </row>
    <row r="5" spans="1:2" x14ac:dyDescent="0.35">
      <c r="A5" t="s">
        <v>181</v>
      </c>
      <c r="B5" t="s">
        <v>1293</v>
      </c>
    </row>
    <row r="6" spans="1:2" x14ac:dyDescent="0.35">
      <c r="A6" t="s">
        <v>627</v>
      </c>
      <c r="B6" t="s">
        <v>1907</v>
      </c>
    </row>
    <row r="7" spans="1:2" x14ac:dyDescent="0.35">
      <c r="A7" t="s">
        <v>1908</v>
      </c>
      <c r="B7" t="s">
        <v>1909</v>
      </c>
    </row>
    <row r="8" spans="1:2" x14ac:dyDescent="0.35">
      <c r="A8" t="s">
        <v>753</v>
      </c>
      <c r="B8" t="s">
        <v>1910</v>
      </c>
    </row>
    <row r="9" spans="1:2" x14ac:dyDescent="0.35">
      <c r="A9" t="s">
        <v>754</v>
      </c>
      <c r="B9" t="s">
        <v>1911</v>
      </c>
    </row>
    <row r="10" spans="1:2" x14ac:dyDescent="0.35">
      <c r="A10" t="s">
        <v>169</v>
      </c>
      <c r="B10" t="s">
        <v>1318</v>
      </c>
    </row>
    <row r="11" spans="1:2" x14ac:dyDescent="0.35">
      <c r="A11" t="s">
        <v>670</v>
      </c>
      <c r="B11" t="s">
        <v>1912</v>
      </c>
    </row>
    <row r="12" spans="1:2" x14ac:dyDescent="0.35">
      <c r="A12" t="s">
        <v>658</v>
      </c>
      <c r="B12" t="s">
        <v>1913</v>
      </c>
    </row>
    <row r="13" spans="1:2" x14ac:dyDescent="0.35">
      <c r="A13" t="s">
        <v>628</v>
      </c>
      <c r="B13" t="s">
        <v>1914</v>
      </c>
    </row>
    <row r="14" spans="1:2" x14ac:dyDescent="0.35">
      <c r="A14" t="s">
        <v>155</v>
      </c>
      <c r="B14" t="s">
        <v>1915</v>
      </c>
    </row>
    <row r="15" spans="1:2" x14ac:dyDescent="0.35">
      <c r="A15" t="s">
        <v>699</v>
      </c>
      <c r="B15" t="s">
        <v>1916</v>
      </c>
    </row>
    <row r="16" spans="1:2" x14ac:dyDescent="0.35">
      <c r="A16" t="s">
        <v>698</v>
      </c>
      <c r="B16" t="s">
        <v>1917</v>
      </c>
    </row>
    <row r="17" spans="1:2" x14ac:dyDescent="0.35">
      <c r="A17" t="s">
        <v>588</v>
      </c>
      <c r="B17" t="s">
        <v>1918</v>
      </c>
    </row>
    <row r="18" spans="1:2" x14ac:dyDescent="0.35">
      <c r="A18" t="s">
        <v>674</v>
      </c>
      <c r="B18" t="s">
        <v>1919</v>
      </c>
    </row>
    <row r="19" spans="1:2" x14ac:dyDescent="0.35">
      <c r="A19" t="s">
        <v>675</v>
      </c>
      <c r="B19" t="s">
        <v>1920</v>
      </c>
    </row>
    <row r="20" spans="1:2" x14ac:dyDescent="0.35">
      <c r="A20" t="s">
        <v>201</v>
      </c>
      <c r="B20" t="s">
        <v>1921</v>
      </c>
    </row>
    <row r="21" spans="1:2" x14ac:dyDescent="0.35">
      <c r="A21" t="s">
        <v>659</v>
      </c>
      <c r="B21" t="s">
        <v>1922</v>
      </c>
    </row>
    <row r="22" spans="1:2" x14ac:dyDescent="0.35">
      <c r="A22" t="s">
        <v>697</v>
      </c>
      <c r="B22" t="s">
        <v>1923</v>
      </c>
    </row>
    <row r="23" spans="1:2" x14ac:dyDescent="0.35">
      <c r="A23" t="s">
        <v>651</v>
      </c>
      <c r="B23" t="s">
        <v>1909</v>
      </c>
    </row>
    <row r="24" spans="1:2" x14ac:dyDescent="0.35">
      <c r="A24" t="s">
        <v>652</v>
      </c>
      <c r="B24" t="s">
        <v>1924</v>
      </c>
    </row>
    <row r="25" spans="1:2" x14ac:dyDescent="0.35">
      <c r="A25" t="s">
        <v>655</v>
      </c>
      <c r="B25" t="s">
        <v>1925</v>
      </c>
    </row>
    <row r="26" spans="1:2" x14ac:dyDescent="0.35">
      <c r="A26" t="s">
        <v>692</v>
      </c>
      <c r="B26" t="s">
        <v>1926</v>
      </c>
    </row>
    <row r="27" spans="1:2" x14ac:dyDescent="0.35">
      <c r="A27" t="s">
        <v>653</v>
      </c>
      <c r="B27" t="s">
        <v>1927</v>
      </c>
    </row>
    <row r="28" spans="1:2" x14ac:dyDescent="0.35">
      <c r="A28" t="s">
        <v>656</v>
      </c>
      <c r="B28" t="s">
        <v>1928</v>
      </c>
    </row>
    <row r="29" spans="1:2" x14ac:dyDescent="0.35">
      <c r="A29" t="s">
        <v>695</v>
      </c>
      <c r="B29" t="s">
        <v>1929</v>
      </c>
    </row>
    <row r="30" spans="1:2" x14ac:dyDescent="0.35">
      <c r="A30" t="s">
        <v>654</v>
      </c>
      <c r="B30" t="s">
        <v>1930</v>
      </c>
    </row>
    <row r="31" spans="1:2" x14ac:dyDescent="0.35">
      <c r="A31" t="s">
        <v>657</v>
      </c>
      <c r="B31" t="s">
        <v>1931</v>
      </c>
    </row>
    <row r="32" spans="1:2" x14ac:dyDescent="0.35">
      <c r="A32" t="s">
        <v>769</v>
      </c>
      <c r="B32" t="s">
        <v>1932</v>
      </c>
    </row>
    <row r="33" spans="1:2" x14ac:dyDescent="0.35">
      <c r="A33" t="s">
        <v>771</v>
      </c>
      <c r="B33" t="s">
        <v>1933</v>
      </c>
    </row>
    <row r="34" spans="1:2" x14ac:dyDescent="0.35">
      <c r="A34" t="s">
        <v>770</v>
      </c>
      <c r="B34" t="s">
        <v>1934</v>
      </c>
    </row>
    <row r="35" spans="1:2" x14ac:dyDescent="0.35">
      <c r="A35" t="s">
        <v>764</v>
      </c>
      <c r="B35" t="s">
        <v>1932</v>
      </c>
    </row>
    <row r="36" spans="1:2" x14ac:dyDescent="0.35">
      <c r="A36" t="s">
        <v>764</v>
      </c>
      <c r="B36" t="s">
        <v>1935</v>
      </c>
    </row>
    <row r="37" spans="1:2" x14ac:dyDescent="0.35">
      <c r="A37" t="s">
        <v>625</v>
      </c>
      <c r="B37" t="s">
        <v>1936</v>
      </c>
    </row>
    <row r="38" spans="1:2" x14ac:dyDescent="0.35">
      <c r="A38" t="s">
        <v>744</v>
      </c>
      <c r="B38" t="s">
        <v>1937</v>
      </c>
    </row>
    <row r="39" spans="1:2" x14ac:dyDescent="0.35">
      <c r="A39" t="s">
        <v>745</v>
      </c>
      <c r="B39" t="s">
        <v>1938</v>
      </c>
    </row>
    <row r="40" spans="1:2" x14ac:dyDescent="0.35">
      <c r="A40" t="s">
        <v>1939</v>
      </c>
      <c r="B40" t="s">
        <v>1940</v>
      </c>
    </row>
    <row r="41" spans="1:2" x14ac:dyDescent="0.35">
      <c r="A41" t="s">
        <v>747</v>
      </c>
      <c r="B41" t="s">
        <v>1941</v>
      </c>
    </row>
    <row r="42" spans="1:2" x14ac:dyDescent="0.35">
      <c r="A42" t="s">
        <v>748</v>
      </c>
      <c r="B42" t="s">
        <v>1942</v>
      </c>
    </row>
    <row r="43" spans="1:2" x14ac:dyDescent="0.35">
      <c r="A43" t="s">
        <v>624</v>
      </c>
      <c r="B43" t="s">
        <v>1907</v>
      </c>
    </row>
    <row r="44" spans="1:2" x14ac:dyDescent="0.35">
      <c r="A44" t="s">
        <v>619</v>
      </c>
      <c r="B44" t="s">
        <v>1943</v>
      </c>
    </row>
    <row r="45" spans="1:2" x14ac:dyDescent="0.35">
      <c r="A45" t="s">
        <v>622</v>
      </c>
      <c r="B45" t="s">
        <v>1944</v>
      </c>
    </row>
    <row r="46" spans="1:2" x14ac:dyDescent="0.35">
      <c r="A46" t="s">
        <v>623</v>
      </c>
      <c r="B46" t="s">
        <v>1945</v>
      </c>
    </row>
    <row r="47" spans="1:2" x14ac:dyDescent="0.35">
      <c r="A47" t="s">
        <v>620</v>
      </c>
      <c r="B47" t="s">
        <v>1946</v>
      </c>
    </row>
    <row r="48" spans="1:2" x14ac:dyDescent="0.35">
      <c r="A48" t="s">
        <v>621</v>
      </c>
      <c r="B48" t="s">
        <v>1947</v>
      </c>
    </row>
    <row r="49" spans="1:2" x14ac:dyDescent="0.35">
      <c r="A49" t="s">
        <v>1948</v>
      </c>
      <c r="B49" t="s">
        <v>1949</v>
      </c>
    </row>
    <row r="50" spans="1:2" x14ac:dyDescent="0.35">
      <c r="A50" t="s">
        <v>688</v>
      </c>
      <c r="B50" t="s">
        <v>1950</v>
      </c>
    </row>
    <row r="51" spans="1:2" x14ac:dyDescent="0.35">
      <c r="A51" t="s">
        <v>340</v>
      </c>
      <c r="B51" t="s">
        <v>1951</v>
      </c>
    </row>
    <row r="52" spans="1:2" x14ac:dyDescent="0.35">
      <c r="A52" t="s">
        <v>1892</v>
      </c>
      <c r="B52" t="s">
        <v>1952</v>
      </c>
    </row>
    <row r="53" spans="1:2" x14ac:dyDescent="0.35">
      <c r="A53" t="s">
        <v>204</v>
      </c>
      <c r="B53" t="s">
        <v>1531</v>
      </c>
    </row>
    <row r="54" spans="1:2" x14ac:dyDescent="0.35">
      <c r="A54" t="s">
        <v>209</v>
      </c>
      <c r="B54" t="s">
        <v>1953</v>
      </c>
    </row>
    <row r="55" spans="1:2" x14ac:dyDescent="0.35">
      <c r="A55" t="s">
        <v>687</v>
      </c>
      <c r="B55" t="s">
        <v>1954</v>
      </c>
    </row>
    <row r="56" spans="1:2" x14ac:dyDescent="0.35">
      <c r="A56" t="s">
        <v>686</v>
      </c>
      <c r="B56" t="s">
        <v>1955</v>
      </c>
    </row>
    <row r="57" spans="1:2" x14ac:dyDescent="0.35">
      <c r="A57" t="s">
        <v>1956</v>
      </c>
      <c r="B57" t="s">
        <v>1957</v>
      </c>
    </row>
    <row r="58" spans="1:2" x14ac:dyDescent="0.35">
      <c r="A58" t="s">
        <v>211</v>
      </c>
      <c r="B58" t="s">
        <v>1958</v>
      </c>
    </row>
    <row r="59" spans="1:2" x14ac:dyDescent="0.35">
      <c r="A59" t="s">
        <v>1894</v>
      </c>
      <c r="B59" t="s">
        <v>1894</v>
      </c>
    </row>
    <row r="60" spans="1:2" x14ac:dyDescent="0.35">
      <c r="A60" t="s">
        <v>1529</v>
      </c>
      <c r="B60" t="s">
        <v>1959</v>
      </c>
    </row>
    <row r="61" spans="1:2" x14ac:dyDescent="0.35">
      <c r="A61" t="s">
        <v>639</v>
      </c>
      <c r="B61" t="s">
        <v>1912</v>
      </c>
    </row>
    <row r="62" spans="1:2" x14ac:dyDescent="0.35">
      <c r="A62" t="s">
        <v>640</v>
      </c>
      <c r="B62" t="s">
        <v>1960</v>
      </c>
    </row>
    <row r="63" spans="1:2" x14ac:dyDescent="0.35">
      <c r="A63" t="s">
        <v>760</v>
      </c>
      <c r="B63" t="s">
        <v>760</v>
      </c>
    </row>
    <row r="64" spans="1:2" x14ac:dyDescent="0.35">
      <c r="A64" t="s">
        <v>761</v>
      </c>
      <c r="B64" t="s">
        <v>761</v>
      </c>
    </row>
    <row r="65" spans="1:2" x14ac:dyDescent="0.35">
      <c r="A65" t="s">
        <v>757</v>
      </c>
      <c r="B65" t="s">
        <v>1961</v>
      </c>
    </row>
    <row r="66" spans="1:2" x14ac:dyDescent="0.35">
      <c r="A66" t="s">
        <v>1962</v>
      </c>
      <c r="B66" t="s">
        <v>1963</v>
      </c>
    </row>
    <row r="67" spans="1:2" x14ac:dyDescent="0.35">
      <c r="A67" t="s">
        <v>759</v>
      </c>
      <c r="B67" t="s">
        <v>1964</v>
      </c>
    </row>
    <row r="68" spans="1:2" x14ac:dyDescent="0.35">
      <c r="A68" t="s">
        <v>758</v>
      </c>
      <c r="B68" t="s">
        <v>1965</v>
      </c>
    </row>
    <row r="69" spans="1:2" x14ac:dyDescent="0.35">
      <c r="A69" t="s">
        <v>677</v>
      </c>
      <c r="B69" t="s">
        <v>1966</v>
      </c>
    </row>
    <row r="70" spans="1:2" x14ac:dyDescent="0.35">
      <c r="A70" t="s">
        <v>1895</v>
      </c>
      <c r="B70" t="s">
        <v>1967</v>
      </c>
    </row>
    <row r="71" spans="1:2" x14ac:dyDescent="0.35">
      <c r="A71" t="s">
        <v>740</v>
      </c>
      <c r="B71" t="s">
        <v>1967</v>
      </c>
    </row>
    <row r="72" spans="1:2" x14ac:dyDescent="0.35">
      <c r="A72" t="s">
        <v>765</v>
      </c>
      <c r="B72" t="s">
        <v>761</v>
      </c>
    </row>
    <row r="73" spans="1:2" x14ac:dyDescent="0.35">
      <c r="A73" t="s">
        <v>765</v>
      </c>
      <c r="B73" t="s">
        <v>1968</v>
      </c>
    </row>
    <row r="74" spans="1:2" x14ac:dyDescent="0.35">
      <c r="A74" t="s">
        <v>719</v>
      </c>
      <c r="B74" t="s">
        <v>1969</v>
      </c>
    </row>
    <row r="75" spans="1:2" x14ac:dyDescent="0.35">
      <c r="A75" t="s">
        <v>717</v>
      </c>
      <c r="B75" t="s">
        <v>1970</v>
      </c>
    </row>
    <row r="76" spans="1:2" x14ac:dyDescent="0.35">
      <c r="A76" t="s">
        <v>721</v>
      </c>
      <c r="B76" t="s">
        <v>1971</v>
      </c>
    </row>
    <row r="77" spans="1:2" x14ac:dyDescent="0.35">
      <c r="A77" t="s">
        <v>733</v>
      </c>
      <c r="B77" t="s">
        <v>1972</v>
      </c>
    </row>
    <row r="78" spans="1:2" x14ac:dyDescent="0.35">
      <c r="A78" t="s">
        <v>718</v>
      </c>
      <c r="B78" t="s">
        <v>1973</v>
      </c>
    </row>
    <row r="79" spans="1:2" x14ac:dyDescent="0.35">
      <c r="A79" t="s">
        <v>732</v>
      </c>
      <c r="B79" t="s">
        <v>1974</v>
      </c>
    </row>
    <row r="80" spans="1:2" x14ac:dyDescent="0.35">
      <c r="A80" t="s">
        <v>726</v>
      </c>
      <c r="B80" t="s">
        <v>1975</v>
      </c>
    </row>
    <row r="81" spans="1:2" x14ac:dyDescent="0.35">
      <c r="A81" t="s">
        <v>156</v>
      </c>
      <c r="B81" t="s">
        <v>1976</v>
      </c>
    </row>
    <row r="82" spans="1:2" x14ac:dyDescent="0.35">
      <c r="A82" t="s">
        <v>772</v>
      </c>
      <c r="B82" t="s">
        <v>1968</v>
      </c>
    </row>
    <row r="83" spans="1:2" x14ac:dyDescent="0.35">
      <c r="A83" t="s">
        <v>774</v>
      </c>
      <c r="B83" t="s">
        <v>1977</v>
      </c>
    </row>
    <row r="84" spans="1:2" x14ac:dyDescent="0.35">
      <c r="A84" t="s">
        <v>773</v>
      </c>
      <c r="B84" t="s">
        <v>1978</v>
      </c>
    </row>
    <row r="85" spans="1:2" x14ac:dyDescent="0.35">
      <c r="A85" t="s">
        <v>1979</v>
      </c>
      <c r="B85" t="s">
        <v>1980</v>
      </c>
    </row>
    <row r="86" spans="1:2" x14ac:dyDescent="0.35">
      <c r="A86" t="s">
        <v>767</v>
      </c>
      <c r="B86" t="s">
        <v>1981</v>
      </c>
    </row>
    <row r="87" spans="1:2" x14ac:dyDescent="0.35">
      <c r="A87" t="s">
        <v>701</v>
      </c>
      <c r="B87" t="s">
        <v>1982</v>
      </c>
    </row>
    <row r="88" spans="1:2" x14ac:dyDescent="0.35">
      <c r="A88" t="s">
        <v>702</v>
      </c>
      <c r="B88" t="s">
        <v>1983</v>
      </c>
    </row>
    <row r="89" spans="1:2" x14ac:dyDescent="0.35">
      <c r="A89" t="s">
        <v>1896</v>
      </c>
      <c r="B89" t="s">
        <v>1984</v>
      </c>
    </row>
    <row r="90" spans="1:2" x14ac:dyDescent="0.35">
      <c r="A90" t="s">
        <v>666</v>
      </c>
      <c r="B90" t="s">
        <v>1985</v>
      </c>
    </row>
    <row r="91" spans="1:2" x14ac:dyDescent="0.35">
      <c r="A91" t="s">
        <v>667</v>
      </c>
      <c r="B91" t="s">
        <v>1986</v>
      </c>
    </row>
    <row r="92" spans="1:2" x14ac:dyDescent="0.35">
      <c r="A92" t="s">
        <v>668</v>
      </c>
      <c r="B92" t="s">
        <v>1987</v>
      </c>
    </row>
    <row r="93" spans="1:2" x14ac:dyDescent="0.35">
      <c r="A93" t="s">
        <v>154</v>
      </c>
      <c r="B93" t="s">
        <v>1988</v>
      </c>
    </row>
    <row r="94" spans="1:2" x14ac:dyDescent="0.35">
      <c r="A94" t="s">
        <v>154</v>
      </c>
      <c r="B94" t="s">
        <v>1989</v>
      </c>
    </row>
    <row r="95" spans="1:2" x14ac:dyDescent="0.35">
      <c r="A95" t="s">
        <v>154</v>
      </c>
      <c r="B95" t="s">
        <v>1990</v>
      </c>
    </row>
    <row r="96" spans="1:2" x14ac:dyDescent="0.35">
      <c r="A96" t="s">
        <v>1897</v>
      </c>
      <c r="B96" t="s">
        <v>1991</v>
      </c>
    </row>
    <row r="97" spans="1:2" x14ac:dyDescent="0.35">
      <c r="A97" t="s">
        <v>172</v>
      </c>
      <c r="B97" t="s">
        <v>1992</v>
      </c>
    </row>
    <row r="98" spans="1:2" x14ac:dyDescent="0.35">
      <c r="A98" t="s">
        <v>172</v>
      </c>
      <c r="B98" t="s">
        <v>1993</v>
      </c>
    </row>
    <row r="99" spans="1:2" x14ac:dyDescent="0.35">
      <c r="A99" t="s">
        <v>673</v>
      </c>
      <c r="B99" t="s">
        <v>1994</v>
      </c>
    </row>
    <row r="100" spans="1:2" x14ac:dyDescent="0.35">
      <c r="A100" t="s">
        <v>689</v>
      </c>
      <c r="B100" t="s">
        <v>1995</v>
      </c>
    </row>
    <row r="101" spans="1:2" x14ac:dyDescent="0.35">
      <c r="A101" t="s">
        <v>690</v>
      </c>
      <c r="B101" t="s">
        <v>1996</v>
      </c>
    </row>
    <row r="102" spans="1:2" x14ac:dyDescent="0.35">
      <c r="A102" t="s">
        <v>643</v>
      </c>
      <c r="B102" t="s">
        <v>1997</v>
      </c>
    </row>
    <row r="103" spans="1:2" x14ac:dyDescent="0.35">
      <c r="A103" t="s">
        <v>736</v>
      </c>
      <c r="B103" t="s">
        <v>1998</v>
      </c>
    </row>
    <row r="104" spans="1:2" x14ac:dyDescent="0.35">
      <c r="A104" t="s">
        <v>1898</v>
      </c>
      <c r="B104" t="s">
        <v>1999</v>
      </c>
    </row>
    <row r="105" spans="1:2" x14ac:dyDescent="0.35">
      <c r="A105" t="s">
        <v>763</v>
      </c>
      <c r="B105" t="s">
        <v>2000</v>
      </c>
    </row>
    <row r="106" spans="1:2" x14ac:dyDescent="0.35">
      <c r="A106" t="s">
        <v>660</v>
      </c>
      <c r="B106" t="s">
        <v>2001</v>
      </c>
    </row>
    <row r="107" spans="1:2" x14ac:dyDescent="0.35">
      <c r="A107" t="s">
        <v>1899</v>
      </c>
      <c r="B107" t="s">
        <v>2002</v>
      </c>
    </row>
    <row r="108" spans="1:2" x14ac:dyDescent="0.35">
      <c r="A108" t="s">
        <v>662</v>
      </c>
      <c r="B108" t="s">
        <v>2003</v>
      </c>
    </row>
    <row r="109" spans="1:2" x14ac:dyDescent="0.35">
      <c r="A109" t="s">
        <v>679</v>
      </c>
      <c r="B109" t="s">
        <v>2004</v>
      </c>
    </row>
    <row r="110" spans="1:2" x14ac:dyDescent="0.35">
      <c r="A110" t="s">
        <v>630</v>
      </c>
      <c r="B110" t="s">
        <v>2005</v>
      </c>
    </row>
    <row r="111" spans="1:2" x14ac:dyDescent="0.35">
      <c r="A111" t="s">
        <v>637</v>
      </c>
      <c r="B111" t="s">
        <v>2006</v>
      </c>
    </row>
    <row r="112" spans="1:2" x14ac:dyDescent="0.35">
      <c r="A112" t="s">
        <v>638</v>
      </c>
      <c r="B112" t="s">
        <v>2007</v>
      </c>
    </row>
    <row r="113" spans="1:2" x14ac:dyDescent="0.35">
      <c r="A113" t="s">
        <v>2008</v>
      </c>
      <c r="B113" t="s">
        <v>2009</v>
      </c>
    </row>
    <row r="114" spans="1:2" x14ac:dyDescent="0.35">
      <c r="A114" t="s">
        <v>646</v>
      </c>
      <c r="B114" t="s">
        <v>2010</v>
      </c>
    </row>
    <row r="115" spans="1:2" x14ac:dyDescent="0.35">
      <c r="A115" t="s">
        <v>678</v>
      </c>
      <c r="B115" t="s">
        <v>2011</v>
      </c>
    </row>
    <row r="116" spans="1:2" x14ac:dyDescent="0.35">
      <c r="A116" t="s">
        <v>2012</v>
      </c>
      <c r="B116" t="s">
        <v>2013</v>
      </c>
    </row>
    <row r="117" spans="1:2" x14ac:dyDescent="0.35">
      <c r="A117" t="s">
        <v>678</v>
      </c>
      <c r="B117" t="s">
        <v>2014</v>
      </c>
    </row>
    <row r="118" spans="1:2" x14ac:dyDescent="0.35">
      <c r="A118" t="s">
        <v>710</v>
      </c>
      <c r="B118" t="s">
        <v>2015</v>
      </c>
    </row>
    <row r="119" spans="1:2" x14ac:dyDescent="0.35">
      <c r="A119" t="s">
        <v>739</v>
      </c>
      <c r="B119" t="s">
        <v>2016</v>
      </c>
    </row>
    <row r="120" spans="1:2" x14ac:dyDescent="0.35">
      <c r="A120" t="s">
        <v>2017</v>
      </c>
      <c r="B120" t="s">
        <v>2018</v>
      </c>
    </row>
    <row r="121" spans="1:2" x14ac:dyDescent="0.35">
      <c r="A121" t="s">
        <v>1901</v>
      </c>
      <c r="B121" t="s">
        <v>2019</v>
      </c>
    </row>
    <row r="122" spans="1:2" x14ac:dyDescent="0.35">
      <c r="A122" t="s">
        <v>722</v>
      </c>
      <c r="B122" t="s">
        <v>2020</v>
      </c>
    </row>
    <row r="123" spans="1:2" x14ac:dyDescent="0.35">
      <c r="A123" t="s">
        <v>723</v>
      </c>
      <c r="B123" t="s">
        <v>2021</v>
      </c>
    </row>
    <row r="124" spans="1:2" x14ac:dyDescent="0.35">
      <c r="A124" t="s">
        <v>676</v>
      </c>
      <c r="B124" t="s">
        <v>2022</v>
      </c>
    </row>
    <row r="125" spans="1:2" x14ac:dyDescent="0.35">
      <c r="A125" t="s">
        <v>724</v>
      </c>
      <c r="B125" t="s">
        <v>2023</v>
      </c>
    </row>
    <row r="126" spans="1:2" x14ac:dyDescent="0.35">
      <c r="A126" t="s">
        <v>724</v>
      </c>
      <c r="B126" t="s">
        <v>2024</v>
      </c>
    </row>
    <row r="127" spans="1:2" x14ac:dyDescent="0.35">
      <c r="A127" t="s">
        <v>709</v>
      </c>
      <c r="B127" t="s">
        <v>2025</v>
      </c>
    </row>
    <row r="128" spans="1:2" x14ac:dyDescent="0.35">
      <c r="A128" t="s">
        <v>705</v>
      </c>
      <c r="B128" t="s">
        <v>2026</v>
      </c>
    </row>
    <row r="129" spans="1:2" x14ac:dyDescent="0.35">
      <c r="A129" t="s">
        <v>708</v>
      </c>
      <c r="B129" t="s">
        <v>2027</v>
      </c>
    </row>
    <row r="130" spans="1:2" x14ac:dyDescent="0.35">
      <c r="A130" t="s">
        <v>2028</v>
      </c>
      <c r="B130" t="s">
        <v>2029</v>
      </c>
    </row>
    <row r="131" spans="1:2" x14ac:dyDescent="0.35">
      <c r="A131" t="s">
        <v>704</v>
      </c>
      <c r="B131" t="s">
        <v>2030</v>
      </c>
    </row>
    <row r="132" spans="1:2" x14ac:dyDescent="0.35">
      <c r="A132" t="s">
        <v>707</v>
      </c>
      <c r="B132" t="s">
        <v>2031</v>
      </c>
    </row>
    <row r="133" spans="1:2" x14ac:dyDescent="0.35">
      <c r="A133" t="s">
        <v>642</v>
      </c>
      <c r="B133" t="s">
        <v>2032</v>
      </c>
    </row>
    <row r="134" spans="1:2" x14ac:dyDescent="0.35">
      <c r="A134" t="s">
        <v>691</v>
      </c>
      <c r="B134" t="s">
        <v>2033</v>
      </c>
    </row>
    <row r="135" spans="1:2" x14ac:dyDescent="0.35">
      <c r="A135" t="s">
        <v>632</v>
      </c>
      <c r="B135" t="s">
        <v>2034</v>
      </c>
    </row>
    <row r="136" spans="1:2" x14ac:dyDescent="0.35">
      <c r="A136" t="s">
        <v>741</v>
      </c>
      <c r="B136" t="s">
        <v>2035</v>
      </c>
    </row>
    <row r="137" spans="1:2" x14ac:dyDescent="0.35">
      <c r="A137" t="s">
        <v>743</v>
      </c>
      <c r="B137" t="s">
        <v>2036</v>
      </c>
    </row>
    <row r="138" spans="1:2" x14ac:dyDescent="0.35">
      <c r="A138" t="s">
        <v>2037</v>
      </c>
      <c r="B138" t="s">
        <v>2038</v>
      </c>
    </row>
    <row r="139" spans="1:2" x14ac:dyDescent="0.35">
      <c r="A139" t="s">
        <v>738</v>
      </c>
      <c r="B139" t="s">
        <v>2039</v>
      </c>
    </row>
    <row r="140" spans="1:2" x14ac:dyDescent="0.35">
      <c r="A140" t="s">
        <v>749</v>
      </c>
      <c r="B140" t="s">
        <v>2040</v>
      </c>
    </row>
    <row r="141" spans="1:2" x14ac:dyDescent="0.35">
      <c r="A141" t="s">
        <v>636</v>
      </c>
      <c r="B141" t="s">
        <v>2041</v>
      </c>
    </row>
    <row r="142" spans="1:2" x14ac:dyDescent="0.35">
      <c r="A142" t="s">
        <v>751</v>
      </c>
      <c r="B142" t="s">
        <v>2042</v>
      </c>
    </row>
    <row r="143" spans="1:2" x14ac:dyDescent="0.35">
      <c r="A143" t="s">
        <v>383</v>
      </c>
      <c r="B143" t="s">
        <v>2043</v>
      </c>
    </row>
    <row r="144" spans="1:2" x14ac:dyDescent="0.35">
      <c r="A144" t="s">
        <v>383</v>
      </c>
      <c r="B144" t="s">
        <v>2043</v>
      </c>
    </row>
    <row r="145" spans="1:2" x14ac:dyDescent="0.35">
      <c r="A145" t="s">
        <v>716</v>
      </c>
      <c r="B145" t="s">
        <v>2044</v>
      </c>
    </row>
    <row r="146" spans="1:2" x14ac:dyDescent="0.35">
      <c r="A146" t="s">
        <v>728</v>
      </c>
      <c r="B146" t="s">
        <v>2045</v>
      </c>
    </row>
    <row r="147" spans="1:2" x14ac:dyDescent="0.35">
      <c r="A147" t="s">
        <v>212</v>
      </c>
      <c r="B147" t="s">
        <v>2046</v>
      </c>
    </row>
    <row r="148" spans="1:2" x14ac:dyDescent="0.35">
      <c r="A148" t="s">
        <v>729</v>
      </c>
      <c r="B148" t="s">
        <v>2047</v>
      </c>
    </row>
    <row r="149" spans="1:2" x14ac:dyDescent="0.35">
      <c r="A149" t="s">
        <v>720</v>
      </c>
      <c r="B149" t="s">
        <v>2048</v>
      </c>
    </row>
    <row r="150" spans="1:2" x14ac:dyDescent="0.35">
      <c r="A150" t="s">
        <v>725</v>
      </c>
      <c r="B150" t="s">
        <v>2049</v>
      </c>
    </row>
    <row r="151" spans="1:2" x14ac:dyDescent="0.35">
      <c r="A151" t="s">
        <v>727</v>
      </c>
      <c r="B151" t="s">
        <v>2050</v>
      </c>
    </row>
    <row r="152" spans="1:2" x14ac:dyDescent="0.35">
      <c r="A152" t="s">
        <v>731</v>
      </c>
      <c r="B152" t="s">
        <v>2051</v>
      </c>
    </row>
    <row r="153" spans="1:2" x14ac:dyDescent="0.35">
      <c r="A153" t="s">
        <v>213</v>
      </c>
      <c r="B153" t="s">
        <v>2052</v>
      </c>
    </row>
    <row r="154" spans="1:2" x14ac:dyDescent="0.35">
      <c r="A154" t="s">
        <v>730</v>
      </c>
      <c r="B154" t="s">
        <v>2053</v>
      </c>
    </row>
    <row r="155" spans="1:2" x14ac:dyDescent="0.35">
      <c r="A155" t="s">
        <v>714</v>
      </c>
      <c r="B155" t="s">
        <v>2054</v>
      </c>
    </row>
    <row r="156" spans="1:2" x14ac:dyDescent="0.35">
      <c r="A156" t="s">
        <v>715</v>
      </c>
      <c r="B156" t="s">
        <v>2055</v>
      </c>
    </row>
    <row r="157" spans="1:2" x14ac:dyDescent="0.35">
      <c r="A157" t="s">
        <v>713</v>
      </c>
      <c r="B157" t="s">
        <v>2056</v>
      </c>
    </row>
    <row r="158" spans="1:2" x14ac:dyDescent="0.35">
      <c r="A158" t="s">
        <v>711</v>
      </c>
      <c r="B158" t="s">
        <v>2057</v>
      </c>
    </row>
    <row r="159" spans="1:2" x14ac:dyDescent="0.35">
      <c r="A159" t="s">
        <v>684</v>
      </c>
      <c r="B159" t="s">
        <v>2058</v>
      </c>
    </row>
    <row r="160" spans="1:2" x14ac:dyDescent="0.35">
      <c r="A160" t="s">
        <v>685</v>
      </c>
      <c r="B160" t="s">
        <v>2059</v>
      </c>
    </row>
    <row r="161" spans="1:2" x14ac:dyDescent="0.35">
      <c r="A161" t="s">
        <v>693</v>
      </c>
      <c r="B161" t="s">
        <v>2060</v>
      </c>
    </row>
    <row r="162" spans="1:2" x14ac:dyDescent="0.35">
      <c r="A162" t="s">
        <v>683</v>
      </c>
      <c r="B162" t="s">
        <v>2061</v>
      </c>
    </row>
    <row r="163" spans="1:2" x14ac:dyDescent="0.35">
      <c r="A163" t="s">
        <v>644</v>
      </c>
      <c r="B163" t="s">
        <v>2062</v>
      </c>
    </row>
    <row r="164" spans="1:2" x14ac:dyDescent="0.35">
      <c r="A164" t="s">
        <v>712</v>
      </c>
      <c r="B164" t="s">
        <v>2063</v>
      </c>
    </row>
    <row r="165" spans="1:2" x14ac:dyDescent="0.35">
      <c r="A165" t="s">
        <v>768</v>
      </c>
      <c r="B165" t="s">
        <v>2064</v>
      </c>
    </row>
    <row r="166" spans="1:2" x14ac:dyDescent="0.35">
      <c r="A166" t="s">
        <v>752</v>
      </c>
      <c r="B166" t="s">
        <v>2065</v>
      </c>
    </row>
    <row r="167" spans="1:2" x14ac:dyDescent="0.35">
      <c r="A167" t="s">
        <v>696</v>
      </c>
      <c r="B167" t="s">
        <v>2066</v>
      </c>
    </row>
    <row r="168" spans="1:2" x14ac:dyDescent="0.35">
      <c r="A168" t="s">
        <v>681</v>
      </c>
      <c r="B168" t="s">
        <v>2067</v>
      </c>
    </row>
    <row r="169" spans="1:2" x14ac:dyDescent="0.35">
      <c r="A169" t="s">
        <v>682</v>
      </c>
      <c r="B169" t="s">
        <v>2068</v>
      </c>
    </row>
    <row r="170" spans="1:2" x14ac:dyDescent="0.35">
      <c r="A170" t="s">
        <v>694</v>
      </c>
      <c r="B170" t="s">
        <v>2069</v>
      </c>
    </row>
    <row r="171" spans="1:2" x14ac:dyDescent="0.35">
      <c r="A171" t="s">
        <v>680</v>
      </c>
      <c r="B171" t="s">
        <v>2070</v>
      </c>
    </row>
    <row r="172" spans="1:2" x14ac:dyDescent="0.35">
      <c r="A172" t="s">
        <v>703</v>
      </c>
      <c r="B172" t="s">
        <v>2071</v>
      </c>
    </row>
    <row r="173" spans="1:2" x14ac:dyDescent="0.35">
      <c r="A173" t="s">
        <v>631</v>
      </c>
      <c r="B173" t="s">
        <v>2072</v>
      </c>
    </row>
    <row r="174" spans="1:2" x14ac:dyDescent="0.35">
      <c r="A174" t="s">
        <v>342</v>
      </c>
      <c r="B174" t="s">
        <v>2073</v>
      </c>
    </row>
    <row r="175" spans="1:2" x14ac:dyDescent="0.35">
      <c r="A175" t="s">
        <v>337</v>
      </c>
      <c r="B175" t="s">
        <v>2074</v>
      </c>
    </row>
    <row r="176" spans="1:2" x14ac:dyDescent="0.35">
      <c r="A176" t="s">
        <v>669</v>
      </c>
      <c r="B176" t="s">
        <v>2074</v>
      </c>
    </row>
    <row r="177" spans="1:2" x14ac:dyDescent="0.35">
      <c r="A177" t="s">
        <v>1902</v>
      </c>
      <c r="B177" t="s">
        <v>2075</v>
      </c>
    </row>
    <row r="178" spans="1:2" x14ac:dyDescent="0.35">
      <c r="A178" t="s">
        <v>626</v>
      </c>
      <c r="B178" t="s">
        <v>2076</v>
      </c>
    </row>
    <row r="179" spans="1:2" x14ac:dyDescent="0.35">
      <c r="A179" t="s">
        <v>157</v>
      </c>
      <c r="B179" t="s">
        <v>2077</v>
      </c>
    </row>
    <row r="180" spans="1:2" x14ac:dyDescent="0.35">
      <c r="A180" t="s">
        <v>501</v>
      </c>
      <c r="B180" t="s">
        <v>2078</v>
      </c>
    </row>
    <row r="181" spans="1:2" x14ac:dyDescent="0.35">
      <c r="A181" t="s">
        <v>609</v>
      </c>
      <c r="B181" t="s">
        <v>2079</v>
      </c>
    </row>
    <row r="182" spans="1:2" x14ac:dyDescent="0.35">
      <c r="A182" t="s">
        <v>671</v>
      </c>
      <c r="B182" t="s">
        <v>2080</v>
      </c>
    </row>
    <row r="183" spans="1:2" x14ac:dyDescent="0.35">
      <c r="A183" t="s">
        <v>635</v>
      </c>
      <c r="B183" t="s">
        <v>2081</v>
      </c>
    </row>
    <row r="184" spans="1:2" x14ac:dyDescent="0.35">
      <c r="A184" t="s">
        <v>734</v>
      </c>
      <c r="B184" t="s">
        <v>2082</v>
      </c>
    </row>
    <row r="185" spans="1:2" x14ac:dyDescent="0.35">
      <c r="A185" t="s">
        <v>186</v>
      </c>
      <c r="B185" t="s">
        <v>1894</v>
      </c>
    </row>
    <row r="186" spans="1:2" x14ac:dyDescent="0.35">
      <c r="A186" t="s">
        <v>1903</v>
      </c>
      <c r="B186" t="s">
        <v>2083</v>
      </c>
    </row>
    <row r="187" spans="1:2" x14ac:dyDescent="0.35">
      <c r="A187" t="s">
        <v>197</v>
      </c>
      <c r="B187" t="s">
        <v>2084</v>
      </c>
    </row>
    <row r="188" spans="1:2" x14ac:dyDescent="0.35">
      <c r="A188" t="s">
        <v>663</v>
      </c>
      <c r="B188" t="s">
        <v>2085</v>
      </c>
    </row>
    <row r="189" spans="1:2" x14ac:dyDescent="0.35">
      <c r="A189" t="s">
        <v>664</v>
      </c>
      <c r="B189" t="s">
        <v>2086</v>
      </c>
    </row>
    <row r="190" spans="1:2" x14ac:dyDescent="0.35">
      <c r="A190" t="s">
        <v>665</v>
      </c>
      <c r="B190" t="s">
        <v>2087</v>
      </c>
    </row>
    <row r="191" spans="1:2" x14ac:dyDescent="0.35">
      <c r="A191" t="s">
        <v>649</v>
      </c>
      <c r="B191" t="s">
        <v>2088</v>
      </c>
    </row>
    <row r="192" spans="1:2" x14ac:dyDescent="0.35">
      <c r="A192" t="s">
        <v>647</v>
      </c>
      <c r="B192" t="s">
        <v>2089</v>
      </c>
    </row>
    <row r="193" spans="1:2" x14ac:dyDescent="0.35">
      <c r="A193" t="s">
        <v>648</v>
      </c>
      <c r="B193" t="s">
        <v>2090</v>
      </c>
    </row>
    <row r="194" spans="1:2" x14ac:dyDescent="0.35">
      <c r="A194" t="s">
        <v>648</v>
      </c>
      <c r="B194" t="s">
        <v>2090</v>
      </c>
    </row>
    <row r="195" spans="1:2" x14ac:dyDescent="0.35">
      <c r="A195" t="s">
        <v>735</v>
      </c>
      <c r="B195" t="s">
        <v>2091</v>
      </c>
    </row>
    <row r="196" spans="1:2" x14ac:dyDescent="0.35">
      <c r="A196" t="s">
        <v>755</v>
      </c>
      <c r="B196" t="s">
        <v>2092</v>
      </c>
    </row>
    <row r="197" spans="1:2" x14ac:dyDescent="0.35">
      <c r="A197" t="s">
        <v>737</v>
      </c>
      <c r="B197" t="s">
        <v>2093</v>
      </c>
    </row>
    <row r="198" spans="1:2" x14ac:dyDescent="0.35">
      <c r="A198" t="s">
        <v>672</v>
      </c>
      <c r="B198" t="s">
        <v>2094</v>
      </c>
    </row>
    <row r="199" spans="1:2" x14ac:dyDescent="0.35">
      <c r="A199" t="s">
        <v>775</v>
      </c>
      <c r="B199" t="s">
        <v>2095</v>
      </c>
    </row>
    <row r="200" spans="1:2" x14ac:dyDescent="0.35">
      <c r="A200" t="s">
        <v>777</v>
      </c>
      <c r="B200" t="s">
        <v>2096</v>
      </c>
    </row>
    <row r="201" spans="1:2" x14ac:dyDescent="0.35">
      <c r="A201" t="s">
        <v>776</v>
      </c>
      <c r="B201" t="s">
        <v>2097</v>
      </c>
    </row>
    <row r="202" spans="1:2" x14ac:dyDescent="0.35">
      <c r="A202" t="s">
        <v>766</v>
      </c>
      <c r="B202" t="s">
        <v>2098</v>
      </c>
    </row>
    <row r="203" spans="1:2" x14ac:dyDescent="0.35">
      <c r="A203" t="s">
        <v>766</v>
      </c>
      <c r="B203" t="s">
        <v>2095</v>
      </c>
    </row>
    <row r="204" spans="1:2" x14ac:dyDescent="0.35">
      <c r="A204" t="s">
        <v>641</v>
      </c>
      <c r="B204" t="s">
        <v>2099</v>
      </c>
    </row>
    <row r="205" spans="1:2" x14ac:dyDescent="0.35">
      <c r="A205" t="s">
        <v>700</v>
      </c>
      <c r="B205" t="s">
        <v>2100</v>
      </c>
    </row>
    <row r="206" spans="1:2" x14ac:dyDescent="0.35">
      <c r="A206" t="s">
        <v>633</v>
      </c>
      <c r="B206" t="s">
        <v>2101</v>
      </c>
    </row>
  </sheetData>
  <sortState xmlns:xlrd2="http://schemas.microsoft.com/office/spreadsheetml/2017/richdata2" ref="A2:A206">
    <sortCondition ref="A2:A206"/>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138</v>
      </c>
      <c r="C2" s="1" t="s">
        <v>139</v>
      </c>
      <c r="D2" s="1" t="s">
        <v>140</v>
      </c>
      <c r="E2" s="1" t="s">
        <v>141</v>
      </c>
      <c r="F2" s="1" t="s">
        <v>142</v>
      </c>
      <c r="G2" s="1" t="s">
        <v>143</v>
      </c>
      <c r="H2" s="1" t="s">
        <v>144</v>
      </c>
      <c r="I2" s="1" t="s">
        <v>145</v>
      </c>
      <c r="J2" s="1" t="s">
        <v>146</v>
      </c>
      <c r="K2" s="1" t="s">
        <v>147</v>
      </c>
      <c r="L2" s="1" t="s">
        <v>148</v>
      </c>
      <c r="M2" s="1" t="s">
        <v>149</v>
      </c>
      <c r="N2" s="1" t="s">
        <v>150</v>
      </c>
      <c r="O2" s="1" t="s">
        <v>151</v>
      </c>
      <c r="P2" s="1" t="s">
        <v>152</v>
      </c>
      <c r="Q2" s="1" t="s">
        <v>153</v>
      </c>
      <c r="R2" s="1" t="s">
        <v>154</v>
      </c>
      <c r="S2" s="1" t="s">
        <v>155</v>
      </c>
      <c r="T2" s="1" t="s">
        <v>156</v>
      </c>
      <c r="U2" s="1" t="s">
        <v>157</v>
      </c>
      <c r="V2" s="1" t="s">
        <v>158</v>
      </c>
      <c r="W2" s="1" t="s">
        <v>159</v>
      </c>
      <c r="X2" s="1" t="s">
        <v>160</v>
      </c>
      <c r="Y2" s="1" t="s">
        <v>161</v>
      </c>
      <c r="Z2" s="1" t="s">
        <v>162</v>
      </c>
      <c r="AA2" s="1" t="s">
        <v>163</v>
      </c>
      <c r="AB2" s="1" t="s">
        <v>164</v>
      </c>
      <c r="AC2" s="1" t="s">
        <v>165</v>
      </c>
      <c r="AD2" s="1" t="s">
        <v>166</v>
      </c>
      <c r="AE2" s="1" t="s">
        <v>167</v>
      </c>
      <c r="AF2" s="1" t="s">
        <v>168</v>
      </c>
      <c r="AG2" s="1" t="s">
        <v>169</v>
      </c>
      <c r="AH2" s="1" t="s">
        <v>170</v>
      </c>
      <c r="AI2" s="1" t="s">
        <v>171</v>
      </c>
      <c r="AJ2" s="1" t="s">
        <v>172</v>
      </c>
      <c r="AK2" s="1" t="s">
        <v>173</v>
      </c>
      <c r="AL2" s="1" t="s">
        <v>174</v>
      </c>
      <c r="AM2" s="1" t="s">
        <v>175</v>
      </c>
      <c r="AN2" s="1" t="s">
        <v>176</v>
      </c>
      <c r="AO2" s="1" t="s">
        <v>177</v>
      </c>
      <c r="AP2" s="1" t="s">
        <v>178</v>
      </c>
      <c r="AQ2" s="1" t="s">
        <v>179</v>
      </c>
      <c r="AR2" s="1" t="s">
        <v>180</v>
      </c>
      <c r="AS2" s="1" t="s">
        <v>181</v>
      </c>
      <c r="AT2" s="1" t="s">
        <v>182</v>
      </c>
      <c r="AU2" s="1" t="s">
        <v>183</v>
      </c>
      <c r="AV2" s="1" t="s">
        <v>184</v>
      </c>
      <c r="AW2" s="1" t="s">
        <v>185</v>
      </c>
      <c r="AX2" s="1" t="s">
        <v>186</v>
      </c>
      <c r="AY2" s="1" t="s">
        <v>187</v>
      </c>
      <c r="AZ2" s="1" t="s">
        <v>188</v>
      </c>
      <c r="BA2" s="1" t="s">
        <v>189</v>
      </c>
      <c r="BB2" s="1" t="s">
        <v>190</v>
      </c>
      <c r="BC2" s="1" t="s">
        <v>191</v>
      </c>
      <c r="BD2" s="1" t="s">
        <v>192</v>
      </c>
      <c r="BE2" s="1" t="s">
        <v>193</v>
      </c>
      <c r="BF2" s="1" t="s">
        <v>194</v>
      </c>
      <c r="BG2" s="1" t="s">
        <v>195</v>
      </c>
      <c r="BH2" s="1" t="s">
        <v>196</v>
      </c>
      <c r="BI2" s="1" t="s">
        <v>197</v>
      </c>
      <c r="BJ2" s="1" t="s">
        <v>198</v>
      </c>
      <c r="BK2" s="1" t="s">
        <v>199</v>
      </c>
      <c r="BL2" s="1" t="s">
        <v>200</v>
      </c>
      <c r="BM2" s="1" t="s">
        <v>201</v>
      </c>
      <c r="BN2" s="1" t="s">
        <v>202</v>
      </c>
      <c r="BO2" s="1" t="s">
        <v>203</v>
      </c>
      <c r="BP2" s="1" t="s">
        <v>204</v>
      </c>
      <c r="BQ2" s="1" t="s">
        <v>205</v>
      </c>
      <c r="BR2" s="1" t="s">
        <v>206</v>
      </c>
      <c r="BS2" s="1" t="s">
        <v>207</v>
      </c>
      <c r="BT2" s="1" t="s">
        <v>208</v>
      </c>
      <c r="BU2" s="1" t="s">
        <v>209</v>
      </c>
      <c r="BV2" s="1" t="s">
        <v>210</v>
      </c>
      <c r="BW2" s="1" t="s">
        <v>211</v>
      </c>
      <c r="BX2" s="1" t="s">
        <v>212</v>
      </c>
      <c r="BY2" s="1" t="s">
        <v>213</v>
      </c>
      <c r="BZ2" s="1" t="s">
        <v>214</v>
      </c>
      <c r="CA2" s="1" t="s">
        <v>215</v>
      </c>
      <c r="CB2" s="1" t="s">
        <v>216</v>
      </c>
      <c r="CC2" s="1" t="s">
        <v>217</v>
      </c>
      <c r="CD2" s="1" t="s">
        <v>218</v>
      </c>
      <c r="CE2" s="1" t="s">
        <v>219</v>
      </c>
      <c r="CF2" s="1" t="s">
        <v>220</v>
      </c>
      <c r="CG2" s="1" t="s">
        <v>221</v>
      </c>
      <c r="CH2" s="1" t="s">
        <v>222</v>
      </c>
      <c r="CI2" s="1" t="s">
        <v>223</v>
      </c>
      <c r="CJ2" s="1" t="s">
        <v>224</v>
      </c>
      <c r="CK2" s="1" t="s">
        <v>225</v>
      </c>
      <c r="CL2" s="1" t="s">
        <v>226</v>
      </c>
      <c r="CM2" s="1" t="s">
        <v>227</v>
      </c>
      <c r="CN2" s="1" t="s">
        <v>228</v>
      </c>
      <c r="CO2" s="1" t="s">
        <v>229</v>
      </c>
      <c r="CP2" s="1" t="s">
        <v>230</v>
      </c>
      <c r="CQ2" s="1" t="s">
        <v>231</v>
      </c>
      <c r="CR2" s="1" t="s">
        <v>232</v>
      </c>
      <c r="CS2" s="1" t="s">
        <v>233</v>
      </c>
      <c r="CT2" s="1" t="s">
        <v>234</v>
      </c>
      <c r="CU2" s="1" t="s">
        <v>235</v>
      </c>
      <c r="CV2" s="1" t="s">
        <v>236</v>
      </c>
      <c r="CW2" s="1" t="s">
        <v>237</v>
      </c>
      <c r="CX2" s="1" t="s">
        <v>238</v>
      </c>
      <c r="CY2" s="1" t="s">
        <v>239</v>
      </c>
      <c r="CZ2" s="1" t="s">
        <v>240</v>
      </c>
      <c r="DA2" s="1" t="s">
        <v>241</v>
      </c>
      <c r="DB2" s="1" t="s">
        <v>242</v>
      </c>
      <c r="DC2" s="1" t="s">
        <v>243</v>
      </c>
      <c r="DD2" s="1" t="s">
        <v>244</v>
      </c>
      <c r="DE2" s="1" t="s">
        <v>245</v>
      </c>
      <c r="DF2" s="1" t="s">
        <v>246</v>
      </c>
      <c r="DG2" s="1" t="s">
        <v>247</v>
      </c>
      <c r="DH2" s="1" t="s">
        <v>248</v>
      </c>
      <c r="DI2" s="1" t="s">
        <v>249</v>
      </c>
      <c r="DJ2" s="1" t="s">
        <v>250</v>
      </c>
      <c r="DK2" s="1" t="s">
        <v>251</v>
      </c>
      <c r="DL2" s="1" t="s">
        <v>252</v>
      </c>
      <c r="DM2" s="1" t="s">
        <v>253</v>
      </c>
      <c r="DN2" s="1" t="s">
        <v>254</v>
      </c>
      <c r="DO2" s="1" t="s">
        <v>255</v>
      </c>
      <c r="DP2" s="1" t="s">
        <v>256</v>
      </c>
      <c r="DQ2" s="1" t="s">
        <v>257</v>
      </c>
      <c r="DR2" s="1" t="s">
        <v>258</v>
      </c>
      <c r="DS2" s="1" t="s">
        <v>259</v>
      </c>
      <c r="DT2" s="1" t="s">
        <v>260</v>
      </c>
      <c r="DU2" s="1" t="s">
        <v>261</v>
      </c>
      <c r="DV2" s="1" t="s">
        <v>262</v>
      </c>
      <c r="DW2" s="1" t="s">
        <v>263</v>
      </c>
      <c r="DX2" s="1" t="s">
        <v>264</v>
      </c>
      <c r="DY2" s="1" t="s">
        <v>265</v>
      </c>
      <c r="DZ2" s="1" t="s">
        <v>266</v>
      </c>
      <c r="EA2" s="1" t="s">
        <v>267</v>
      </c>
      <c r="EB2" s="1" t="s">
        <v>268</v>
      </c>
      <c r="EC2" s="1" t="s">
        <v>269</v>
      </c>
      <c r="ED2" s="1" t="s">
        <v>270</v>
      </c>
      <c r="EE2" s="1" t="s">
        <v>271</v>
      </c>
      <c r="EF2" s="1" t="s">
        <v>272</v>
      </c>
      <c r="EG2" s="1" t="s">
        <v>273</v>
      </c>
      <c r="EH2" s="1" t="s">
        <v>274</v>
      </c>
      <c r="EI2" s="1" t="s">
        <v>275</v>
      </c>
      <c r="EJ2" s="1" t="s">
        <v>276</v>
      </c>
      <c r="EK2" s="1" t="s">
        <v>277</v>
      </c>
      <c r="EL2" s="1" t="s">
        <v>278</v>
      </c>
      <c r="EM2" s="1" t="s">
        <v>279</v>
      </c>
      <c r="EN2" s="1" t="s">
        <v>280</v>
      </c>
      <c r="EO2" s="1" t="s">
        <v>281</v>
      </c>
      <c r="EP2" s="1" t="s">
        <v>282</v>
      </c>
      <c r="EQ2" s="1" t="s">
        <v>283</v>
      </c>
      <c r="ER2" s="1" t="s">
        <v>284</v>
      </c>
      <c r="ES2" s="1" t="s">
        <v>285</v>
      </c>
      <c r="ET2" s="1" t="s">
        <v>286</v>
      </c>
      <c r="EU2" s="1" t="s">
        <v>287</v>
      </c>
      <c r="EV2" s="1" t="s">
        <v>288</v>
      </c>
      <c r="EW2" s="1" t="s">
        <v>289</v>
      </c>
      <c r="EX2" s="1" t="s">
        <v>290</v>
      </c>
      <c r="EY2" s="1" t="s">
        <v>291</v>
      </c>
      <c r="EZ2" s="1" t="s">
        <v>292</v>
      </c>
      <c r="FA2" s="1" t="s">
        <v>293</v>
      </c>
      <c r="FB2" s="1" t="s">
        <v>294</v>
      </c>
      <c r="FC2" s="1" t="s">
        <v>295</v>
      </c>
      <c r="FD2" s="1" t="s">
        <v>296</v>
      </c>
      <c r="FE2" s="1" t="s">
        <v>297</v>
      </c>
      <c r="FF2" s="1" t="s">
        <v>298</v>
      </c>
      <c r="FG2" s="1" t="s">
        <v>299</v>
      </c>
      <c r="FH2" s="1" t="s">
        <v>300</v>
      </c>
      <c r="FI2" s="1" t="s">
        <v>301</v>
      </c>
      <c r="FJ2" s="1" t="s">
        <v>302</v>
      </c>
      <c r="FK2" s="1" t="s">
        <v>303</v>
      </c>
      <c r="FL2" s="1" t="s">
        <v>304</v>
      </c>
      <c r="FM2" s="1" t="s">
        <v>305</v>
      </c>
      <c r="FN2" s="1" t="s">
        <v>306</v>
      </c>
      <c r="FO2" s="1" t="s">
        <v>307</v>
      </c>
      <c r="FP2" s="1" t="s">
        <v>308</v>
      </c>
      <c r="FQ2" s="1" t="s">
        <v>309</v>
      </c>
      <c r="FR2" s="1" t="s">
        <v>310</v>
      </c>
      <c r="FS2" s="1" t="s">
        <v>311</v>
      </c>
      <c r="FT2" s="1" t="s">
        <v>312</v>
      </c>
      <c r="FU2" s="1" t="s">
        <v>313</v>
      </c>
      <c r="FV2" s="1" t="s">
        <v>314</v>
      </c>
      <c r="FW2" s="1" t="s">
        <v>315</v>
      </c>
      <c r="FX2" s="1" t="s">
        <v>316</v>
      </c>
      <c r="FY2" s="1" t="s">
        <v>317</v>
      </c>
      <c r="FZ2" s="1" t="s">
        <v>318</v>
      </c>
      <c r="GA2" s="1" t="s">
        <v>319</v>
      </c>
      <c r="GB2" s="1" t="s">
        <v>320</v>
      </c>
      <c r="GC2" s="1" t="s">
        <v>321</v>
      </c>
      <c r="GD2" s="1" t="s">
        <v>322</v>
      </c>
      <c r="GE2" s="1" t="s">
        <v>323</v>
      </c>
      <c r="GF2" s="1" t="s">
        <v>324</v>
      </c>
      <c r="GG2" s="1" t="s">
        <v>325</v>
      </c>
      <c r="GH2" s="1" t="s">
        <v>326</v>
      </c>
      <c r="GI2" s="1" t="s">
        <v>327</v>
      </c>
      <c r="GJ2" s="1" t="s">
        <v>328</v>
      </c>
      <c r="GK2" s="1" t="s">
        <v>329</v>
      </c>
      <c r="GL2" s="1" t="s">
        <v>330</v>
      </c>
      <c r="GM2" s="1" t="s">
        <v>331</v>
      </c>
      <c r="GN2" s="1" t="s">
        <v>332</v>
      </c>
      <c r="GO2" s="1" t="s">
        <v>333</v>
      </c>
      <c r="GP2" s="1" t="s">
        <v>334</v>
      </c>
      <c r="GQ2" s="1" t="s">
        <v>335</v>
      </c>
      <c r="GR2" s="1" t="s">
        <v>336</v>
      </c>
      <c r="GS2" s="1" t="s">
        <v>337</v>
      </c>
      <c r="GT2" s="1" t="s">
        <v>338</v>
      </c>
      <c r="GU2" s="1" t="s">
        <v>339</v>
      </c>
      <c r="GV2" s="1" t="s">
        <v>340</v>
      </c>
      <c r="GW2" s="1" t="s">
        <v>341</v>
      </c>
      <c r="GX2" s="1" t="s">
        <v>342</v>
      </c>
      <c r="GY2" s="1" t="s">
        <v>343</v>
      </c>
      <c r="GZ2" s="1" t="s">
        <v>344</v>
      </c>
      <c r="HA2" s="1" t="s">
        <v>345</v>
      </c>
      <c r="HB2" s="1" t="s">
        <v>346</v>
      </c>
      <c r="HC2" s="1" t="s">
        <v>347</v>
      </c>
      <c r="HD2" s="1" t="s">
        <v>348</v>
      </c>
      <c r="HE2" s="1" t="s">
        <v>349</v>
      </c>
      <c r="HF2" s="1" t="s">
        <v>350</v>
      </c>
      <c r="HG2" s="1" t="s">
        <v>351</v>
      </c>
      <c r="HH2" s="1" t="s">
        <v>352</v>
      </c>
      <c r="HI2" s="1" t="s">
        <v>353</v>
      </c>
      <c r="HJ2" s="1" t="s">
        <v>354</v>
      </c>
      <c r="HK2" s="1" t="s">
        <v>355</v>
      </c>
      <c r="HL2" s="1" t="s">
        <v>356</v>
      </c>
      <c r="HM2" s="1" t="s">
        <v>357</v>
      </c>
      <c r="HN2" s="1" t="s">
        <v>358</v>
      </c>
      <c r="HO2" s="1" t="s">
        <v>359</v>
      </c>
      <c r="HP2" s="1" t="s">
        <v>360</v>
      </c>
      <c r="HQ2" s="1" t="s">
        <v>361</v>
      </c>
      <c r="HR2" s="1" t="s">
        <v>362</v>
      </c>
      <c r="HS2" s="1" t="s">
        <v>363</v>
      </c>
      <c r="HT2" s="1" t="s">
        <v>364</v>
      </c>
      <c r="HU2" s="1" t="s">
        <v>365</v>
      </c>
      <c r="HV2" s="1" t="s">
        <v>366</v>
      </c>
      <c r="HW2" s="1" t="s">
        <v>367</v>
      </c>
      <c r="HX2" s="1" t="s">
        <v>368</v>
      </c>
      <c r="HY2" s="1" t="s">
        <v>369</v>
      </c>
      <c r="HZ2" s="1" t="s">
        <v>370</v>
      </c>
      <c r="IA2" s="1" t="s">
        <v>371</v>
      </c>
      <c r="IB2" s="1" t="s">
        <v>372</v>
      </c>
      <c r="IC2" s="1" t="s">
        <v>373</v>
      </c>
      <c r="ID2" s="1" t="s">
        <v>374</v>
      </c>
      <c r="IE2" s="1" t="s">
        <v>375</v>
      </c>
      <c r="IF2" s="1" t="s">
        <v>376</v>
      </c>
      <c r="IG2" s="1" t="s">
        <v>377</v>
      </c>
      <c r="IH2" s="1" t="s">
        <v>378</v>
      </c>
      <c r="II2" s="1" t="s">
        <v>379</v>
      </c>
      <c r="IJ2" s="1" t="s">
        <v>380</v>
      </c>
      <c r="IK2" s="1" t="s">
        <v>381</v>
      </c>
      <c r="IL2" s="1" t="s">
        <v>382</v>
      </c>
      <c r="IM2" s="1" t="s">
        <v>383</v>
      </c>
      <c r="IN2" s="1" t="s">
        <v>384</v>
      </c>
      <c r="IO2" s="1" t="s">
        <v>385</v>
      </c>
      <c r="IP2" s="1" t="s">
        <v>386</v>
      </c>
      <c r="IQ2" s="1" t="s">
        <v>387</v>
      </c>
      <c r="IR2" s="1" t="s">
        <v>388</v>
      </c>
      <c r="IS2" s="1" t="s">
        <v>389</v>
      </c>
      <c r="IT2" s="1" t="s">
        <v>390</v>
      </c>
      <c r="IU2" s="1" t="s">
        <v>391</v>
      </c>
      <c r="IV2" s="1" t="s">
        <v>392</v>
      </c>
      <c r="IW2" s="1" t="s">
        <v>393</v>
      </c>
      <c r="IX2" s="1" t="s">
        <v>394</v>
      </c>
      <c r="IY2" s="1" t="s">
        <v>395</v>
      </c>
      <c r="IZ2" s="1" t="s">
        <v>396</v>
      </c>
      <c r="JA2" s="1" t="s">
        <v>397</v>
      </c>
      <c r="JB2" s="1" t="s">
        <v>398</v>
      </c>
      <c r="JC2" s="1" t="s">
        <v>399</v>
      </c>
      <c r="JD2" s="1" t="s">
        <v>400</v>
      </c>
      <c r="JE2" s="1" t="s">
        <v>401</v>
      </c>
      <c r="JF2" s="1" t="s">
        <v>402</v>
      </c>
      <c r="JG2" s="1" t="s">
        <v>403</v>
      </c>
      <c r="JH2" s="1" t="s">
        <v>404</v>
      </c>
      <c r="JI2" s="1" t="s">
        <v>405</v>
      </c>
      <c r="JJ2" s="1" t="s">
        <v>406</v>
      </c>
      <c r="JK2" s="1" t="s">
        <v>407</v>
      </c>
      <c r="JL2" s="1" t="s">
        <v>408</v>
      </c>
      <c r="JM2" s="1" t="s">
        <v>409</v>
      </c>
      <c r="JN2" s="1" t="s">
        <v>410</v>
      </c>
      <c r="JO2" s="1" t="s">
        <v>411</v>
      </c>
      <c r="JP2" s="1" t="s">
        <v>412</v>
      </c>
      <c r="JQ2" s="1" t="s">
        <v>413</v>
      </c>
      <c r="JR2" s="1" t="s">
        <v>414</v>
      </c>
      <c r="JS2" s="1" t="s">
        <v>415</v>
      </c>
      <c r="JT2" s="1" t="s">
        <v>416</v>
      </c>
      <c r="JU2" s="1" t="s">
        <v>417</v>
      </c>
      <c r="JV2" s="1" t="s">
        <v>418</v>
      </c>
      <c r="JW2" s="1" t="s">
        <v>419</v>
      </c>
      <c r="JX2" s="1" t="s">
        <v>420</v>
      </c>
      <c r="JY2" s="1" t="s">
        <v>421</v>
      </c>
      <c r="JZ2" s="1" t="s">
        <v>422</v>
      </c>
      <c r="KA2" s="1" t="s">
        <v>423</v>
      </c>
      <c r="KB2" s="1" t="s">
        <v>424</v>
      </c>
      <c r="KC2" s="1" t="s">
        <v>425</v>
      </c>
      <c r="KD2" s="1" t="s">
        <v>426</v>
      </c>
      <c r="KE2" s="1" t="s">
        <v>427</v>
      </c>
      <c r="KF2" s="1" t="s">
        <v>428</v>
      </c>
      <c r="KG2" s="1" t="s">
        <v>429</v>
      </c>
      <c r="KH2" s="1" t="s">
        <v>430</v>
      </c>
      <c r="KI2" s="1" t="s">
        <v>431</v>
      </c>
      <c r="KJ2" s="1" t="s">
        <v>432</v>
      </c>
      <c r="KK2" s="1" t="s">
        <v>433</v>
      </c>
      <c r="KL2" s="1" t="s">
        <v>434</v>
      </c>
      <c r="KM2" s="1" t="s">
        <v>435</v>
      </c>
      <c r="KN2" s="1" t="s">
        <v>436</v>
      </c>
      <c r="KO2" s="1" t="s">
        <v>437</v>
      </c>
      <c r="KP2" s="1" t="s">
        <v>438</v>
      </c>
      <c r="KQ2" s="1" t="s">
        <v>439</v>
      </c>
      <c r="KR2" s="1" t="s">
        <v>440</v>
      </c>
      <c r="KS2" s="1" t="s">
        <v>441</v>
      </c>
      <c r="KT2" s="1" t="s">
        <v>442</v>
      </c>
      <c r="KU2" s="1" t="s">
        <v>443</v>
      </c>
      <c r="KV2" s="1" t="s">
        <v>444</v>
      </c>
      <c r="KW2" s="1" t="s">
        <v>445</v>
      </c>
      <c r="KX2" s="1" t="s">
        <v>446</v>
      </c>
      <c r="KY2" s="1" t="s">
        <v>447</v>
      </c>
      <c r="KZ2" s="1" t="s">
        <v>448</v>
      </c>
      <c r="LA2" s="1" t="s">
        <v>449</v>
      </c>
      <c r="LB2" s="1" t="s">
        <v>450</v>
      </c>
      <c r="LC2" s="1" t="s">
        <v>451</v>
      </c>
      <c r="LD2" s="1" t="s">
        <v>452</v>
      </c>
      <c r="LE2" s="1" t="s">
        <v>453</v>
      </c>
      <c r="LF2" s="1" t="s">
        <v>454</v>
      </c>
      <c r="LG2" s="1" t="s">
        <v>455</v>
      </c>
      <c r="LH2" s="1" t="s">
        <v>456</v>
      </c>
      <c r="LI2" s="1" t="s">
        <v>457</v>
      </c>
      <c r="LJ2" s="1" t="s">
        <v>458</v>
      </c>
      <c r="LK2" s="1" t="s">
        <v>459</v>
      </c>
      <c r="LL2" s="1" t="s">
        <v>460</v>
      </c>
      <c r="LM2" s="1" t="s">
        <v>461</v>
      </c>
      <c r="LN2" s="1" t="s">
        <v>462</v>
      </c>
      <c r="LO2" s="1" t="s">
        <v>463</v>
      </c>
      <c r="LP2" s="1" t="s">
        <v>464</v>
      </c>
      <c r="LQ2" s="1" t="s">
        <v>465</v>
      </c>
      <c r="LR2" s="1" t="s">
        <v>466</v>
      </c>
      <c r="LS2" s="1" t="s">
        <v>467</v>
      </c>
      <c r="LT2" s="1" t="s">
        <v>468</v>
      </c>
      <c r="LU2" s="1" t="s">
        <v>469</v>
      </c>
      <c r="LV2" s="1" t="s">
        <v>470</v>
      </c>
      <c r="LW2" s="1" t="s">
        <v>471</v>
      </c>
      <c r="LX2" s="1" t="s">
        <v>472</v>
      </c>
      <c r="LY2" s="1" t="s">
        <v>473</v>
      </c>
      <c r="LZ2" s="1" t="s">
        <v>474</v>
      </c>
      <c r="MA2" s="1" t="s">
        <v>475</v>
      </c>
      <c r="MB2" s="1" t="s">
        <v>476</v>
      </c>
      <c r="MC2" s="1" t="s">
        <v>477</v>
      </c>
      <c r="MD2" s="1" t="s">
        <v>478</v>
      </c>
      <c r="ME2" s="1" t="s">
        <v>479</v>
      </c>
      <c r="MF2" s="1" t="s">
        <v>480</v>
      </c>
      <c r="MG2" s="1" t="s">
        <v>481</v>
      </c>
      <c r="MH2" s="1" t="s">
        <v>482</v>
      </c>
      <c r="MI2" s="1" t="s">
        <v>483</v>
      </c>
      <c r="MJ2" s="1" t="s">
        <v>484</v>
      </c>
      <c r="MK2" s="1" t="s">
        <v>485</v>
      </c>
      <c r="ML2" s="1" t="s">
        <v>486</v>
      </c>
      <c r="MM2" s="1" t="s">
        <v>487</v>
      </c>
      <c r="MN2" s="1" t="s">
        <v>488</v>
      </c>
      <c r="MO2" s="1" t="s">
        <v>489</v>
      </c>
      <c r="MP2" s="1" t="s">
        <v>490</v>
      </c>
      <c r="MQ2" s="1" t="s">
        <v>491</v>
      </c>
      <c r="MR2" s="1" t="s">
        <v>492</v>
      </c>
      <c r="MS2" s="1" t="s">
        <v>493</v>
      </c>
      <c r="MT2" s="1" t="s">
        <v>494</v>
      </c>
      <c r="MU2" s="1" t="s">
        <v>495</v>
      </c>
      <c r="MV2" s="1" t="s">
        <v>496</v>
      </c>
      <c r="MW2" s="1" t="s">
        <v>497</v>
      </c>
      <c r="MX2" s="1" t="s">
        <v>498</v>
      </c>
      <c r="MY2" s="1" t="s">
        <v>499</v>
      </c>
      <c r="MZ2" s="1" t="s">
        <v>500</v>
      </c>
      <c r="NA2" s="1" t="s">
        <v>501</v>
      </c>
      <c r="NB2" s="1" t="s">
        <v>502</v>
      </c>
      <c r="NC2" s="1" t="s">
        <v>503</v>
      </c>
      <c r="ND2" s="1" t="s">
        <v>504</v>
      </c>
      <c r="NE2" s="1" t="s">
        <v>505</v>
      </c>
      <c r="NF2" s="1" t="s">
        <v>506</v>
      </c>
      <c r="NG2" s="1" t="s">
        <v>507</v>
      </c>
      <c r="NH2" s="1" t="s">
        <v>508</v>
      </c>
      <c r="NI2" s="1" t="s">
        <v>509</v>
      </c>
      <c r="NJ2" s="1" t="s">
        <v>510</v>
      </c>
      <c r="NK2" s="1" t="s">
        <v>511</v>
      </c>
      <c r="NL2" s="1" t="s">
        <v>512</v>
      </c>
      <c r="NM2" s="1" t="s">
        <v>513</v>
      </c>
      <c r="NN2" s="1" t="s">
        <v>514</v>
      </c>
      <c r="NO2" s="1" t="s">
        <v>515</v>
      </c>
      <c r="NP2" s="1" t="s">
        <v>516</v>
      </c>
      <c r="NQ2" s="1" t="s">
        <v>517</v>
      </c>
      <c r="NR2" s="1" t="s">
        <v>518</v>
      </c>
      <c r="NS2" s="1" t="s">
        <v>519</v>
      </c>
      <c r="NT2" s="1" t="s">
        <v>520</v>
      </c>
      <c r="NU2" s="1" t="s">
        <v>521</v>
      </c>
      <c r="NV2" s="1" t="s">
        <v>522</v>
      </c>
      <c r="NW2" s="1" t="s">
        <v>523</v>
      </c>
      <c r="NX2" s="1" t="s">
        <v>524</v>
      </c>
      <c r="NY2" s="1" t="s">
        <v>525</v>
      </c>
      <c r="NZ2" s="1" t="s">
        <v>526</v>
      </c>
      <c r="OA2" s="1" t="s">
        <v>527</v>
      </c>
      <c r="OB2" s="1" t="s">
        <v>528</v>
      </c>
      <c r="OC2" s="1" t="s">
        <v>529</v>
      </c>
      <c r="OD2" s="1" t="s">
        <v>530</v>
      </c>
      <c r="OE2" s="1" t="s">
        <v>531</v>
      </c>
      <c r="OF2" s="1" t="s">
        <v>532</v>
      </c>
      <c r="OG2" s="1" t="s">
        <v>533</v>
      </c>
      <c r="OH2" s="1" t="s">
        <v>534</v>
      </c>
      <c r="OI2" s="1" t="s">
        <v>535</v>
      </c>
      <c r="OJ2" s="1" t="s">
        <v>536</v>
      </c>
      <c r="OK2" s="1" t="s">
        <v>537</v>
      </c>
      <c r="OL2" s="1" t="s">
        <v>538</v>
      </c>
      <c r="OM2" s="1" t="s">
        <v>539</v>
      </c>
      <c r="ON2" s="1" t="s">
        <v>540</v>
      </c>
      <c r="OO2" s="1" t="s">
        <v>541</v>
      </c>
      <c r="OP2" s="1" t="s">
        <v>542</v>
      </c>
      <c r="OQ2" s="1" t="s">
        <v>543</v>
      </c>
      <c r="OR2" s="1" t="s">
        <v>544</v>
      </c>
      <c r="OS2" s="1" t="s">
        <v>545</v>
      </c>
      <c r="OT2" s="1" t="s">
        <v>546</v>
      </c>
      <c r="OU2" s="1" t="s">
        <v>547</v>
      </c>
      <c r="OV2" s="1" t="s">
        <v>548</v>
      </c>
      <c r="OW2" s="1" t="s">
        <v>549</v>
      </c>
      <c r="OX2" s="1" t="s">
        <v>550</v>
      </c>
      <c r="OY2" s="1" t="s">
        <v>551</v>
      </c>
      <c r="OZ2" s="1" t="s">
        <v>552</v>
      </c>
      <c r="PA2" s="1" t="s">
        <v>553</v>
      </c>
      <c r="PB2" s="1" t="s">
        <v>554</v>
      </c>
      <c r="PC2" s="1" t="s">
        <v>555</v>
      </c>
      <c r="PD2" s="1" t="s">
        <v>556</v>
      </c>
      <c r="PE2" s="1" t="s">
        <v>557</v>
      </c>
      <c r="PF2" s="1" t="s">
        <v>558</v>
      </c>
      <c r="PG2" s="1" t="s">
        <v>559</v>
      </c>
      <c r="PH2" s="1" t="s">
        <v>560</v>
      </c>
      <c r="PI2" s="1" t="s">
        <v>561</v>
      </c>
      <c r="PJ2" s="1" t="s">
        <v>562</v>
      </c>
      <c r="PK2" s="1" t="s">
        <v>563</v>
      </c>
      <c r="PL2" s="1" t="s">
        <v>564</v>
      </c>
      <c r="PM2" s="1" t="s">
        <v>565</v>
      </c>
      <c r="PN2" s="1" t="s">
        <v>566</v>
      </c>
      <c r="PO2" s="1" t="s">
        <v>567</v>
      </c>
      <c r="PP2" s="1" t="s">
        <v>568</v>
      </c>
      <c r="PQ2" s="1" t="s">
        <v>569</v>
      </c>
      <c r="PR2" s="1" t="s">
        <v>570</v>
      </c>
      <c r="PS2" s="1" t="s">
        <v>571</v>
      </c>
      <c r="PT2" s="1" t="s">
        <v>572</v>
      </c>
      <c r="PU2" s="1" t="s">
        <v>573</v>
      </c>
      <c r="PV2" s="1" t="s">
        <v>574</v>
      </c>
      <c r="PW2" s="1" t="s">
        <v>575</v>
      </c>
      <c r="PX2" s="1" t="s">
        <v>576</v>
      </c>
      <c r="PY2" s="1" t="s">
        <v>577</v>
      </c>
      <c r="PZ2" s="1" t="s">
        <v>578</v>
      </c>
      <c r="QA2" s="1" t="s">
        <v>579</v>
      </c>
      <c r="QB2" s="1" t="s">
        <v>580</v>
      </c>
      <c r="QC2" s="1" t="s">
        <v>581</v>
      </c>
      <c r="QD2" s="1" t="s">
        <v>582</v>
      </c>
      <c r="QE2" s="1" t="s">
        <v>583</v>
      </c>
      <c r="QF2" s="1" t="s">
        <v>584</v>
      </c>
      <c r="QG2" s="1" t="s">
        <v>585</v>
      </c>
      <c r="QH2" s="1" t="s">
        <v>586</v>
      </c>
      <c r="QI2" s="1" t="s">
        <v>587</v>
      </c>
      <c r="QJ2" s="1" t="s">
        <v>588</v>
      </c>
      <c r="QK2" s="1" t="s">
        <v>589</v>
      </c>
      <c r="QL2" s="1" t="s">
        <v>590</v>
      </c>
      <c r="QM2" s="1" t="s">
        <v>591</v>
      </c>
      <c r="QN2" s="1" t="s">
        <v>592</v>
      </c>
      <c r="QO2" s="1" t="s">
        <v>593</v>
      </c>
      <c r="QP2" s="1" t="s">
        <v>594</v>
      </c>
      <c r="QQ2" s="1" t="s">
        <v>595</v>
      </c>
      <c r="QR2" s="1" t="s">
        <v>596</v>
      </c>
      <c r="QS2" s="1" t="s">
        <v>597</v>
      </c>
      <c r="QT2" s="1" t="s">
        <v>598</v>
      </c>
      <c r="QU2" s="1" t="s">
        <v>599</v>
      </c>
      <c r="QV2" s="1" t="s">
        <v>600</v>
      </c>
      <c r="QW2" s="1" t="s">
        <v>601</v>
      </c>
      <c r="QX2" s="1" t="s">
        <v>602</v>
      </c>
      <c r="QY2" s="1" t="s">
        <v>603</v>
      </c>
      <c r="QZ2" s="1" t="s">
        <v>604</v>
      </c>
      <c r="RA2" s="1" t="s">
        <v>605</v>
      </c>
      <c r="RB2" s="1" t="s">
        <v>606</v>
      </c>
      <c r="RC2" s="1" t="s">
        <v>607</v>
      </c>
      <c r="RD2" s="1" t="s">
        <v>608</v>
      </c>
      <c r="RE2" s="1" t="s">
        <v>609</v>
      </c>
      <c r="RF2" s="1" t="s">
        <v>610</v>
      </c>
      <c r="RG2" s="1" t="s">
        <v>611</v>
      </c>
      <c r="RH2" s="1" t="s">
        <v>612</v>
      </c>
      <c r="RI2" s="1" t="s">
        <v>613</v>
      </c>
      <c r="RJ2" s="1" t="s">
        <v>614</v>
      </c>
      <c r="RK2" s="1" t="s">
        <v>615</v>
      </c>
      <c r="RL2" s="1" t="s">
        <v>616</v>
      </c>
      <c r="RM2" s="1" t="s">
        <v>617</v>
      </c>
      <c r="RN2" s="1" t="s">
        <v>618</v>
      </c>
      <c r="RO2" s="1" t="s">
        <v>619</v>
      </c>
      <c r="RP2" s="1" t="s">
        <v>620</v>
      </c>
      <c r="RQ2" s="1" t="s">
        <v>621</v>
      </c>
      <c r="RR2" s="1" t="s">
        <v>622</v>
      </c>
      <c r="RS2" s="1" t="s">
        <v>623</v>
      </c>
      <c r="RT2" s="1" t="s">
        <v>624</v>
      </c>
      <c r="RU2" s="1" t="s">
        <v>625</v>
      </c>
      <c r="RV2" s="1" t="s">
        <v>626</v>
      </c>
      <c r="RW2" s="1" t="s">
        <v>627</v>
      </c>
      <c r="RX2" s="1" t="s">
        <v>628</v>
      </c>
      <c r="RY2" s="1" t="s">
        <v>629</v>
      </c>
      <c r="RZ2" s="1" t="s">
        <v>630</v>
      </c>
      <c r="SA2" s="1" t="s">
        <v>631</v>
      </c>
      <c r="SB2" s="1" t="s">
        <v>632</v>
      </c>
      <c r="SC2" s="1" t="s">
        <v>633</v>
      </c>
      <c r="SD2" s="1" t="s">
        <v>634</v>
      </c>
      <c r="SE2" s="1" t="s">
        <v>635</v>
      </c>
      <c r="SF2" s="1" t="s">
        <v>636</v>
      </c>
      <c r="SG2" s="1" t="s">
        <v>637</v>
      </c>
      <c r="SH2" s="1" t="s">
        <v>638</v>
      </c>
      <c r="SI2" s="1" t="s">
        <v>639</v>
      </c>
      <c r="SJ2" s="1" t="s">
        <v>640</v>
      </c>
      <c r="SK2" s="1" t="s">
        <v>641</v>
      </c>
      <c r="SL2" s="1" t="s">
        <v>642</v>
      </c>
      <c r="SM2" s="1" t="s">
        <v>643</v>
      </c>
      <c r="SN2" s="1" t="s">
        <v>644</v>
      </c>
      <c r="SO2" s="1" t="s">
        <v>645</v>
      </c>
      <c r="SP2" s="1" t="s">
        <v>646</v>
      </c>
      <c r="SQ2" s="1" t="s">
        <v>647</v>
      </c>
      <c r="SR2" s="1" t="s">
        <v>648</v>
      </c>
      <c r="SS2" s="1" t="s">
        <v>649</v>
      </c>
      <c r="ST2" s="1" t="s">
        <v>650</v>
      </c>
      <c r="SU2" s="1" t="s">
        <v>651</v>
      </c>
      <c r="SV2" s="1" t="s">
        <v>652</v>
      </c>
      <c r="SW2" s="1" t="s">
        <v>653</v>
      </c>
      <c r="SX2" s="1" t="s">
        <v>654</v>
      </c>
      <c r="SY2" s="1" t="s">
        <v>655</v>
      </c>
      <c r="SZ2" s="1" t="s">
        <v>656</v>
      </c>
      <c r="TA2" s="1" t="s">
        <v>657</v>
      </c>
      <c r="TB2" s="1" t="s">
        <v>658</v>
      </c>
      <c r="TC2" s="1" t="s">
        <v>659</v>
      </c>
      <c r="TD2" s="1" t="s">
        <v>660</v>
      </c>
      <c r="TE2" s="1" t="s">
        <v>661</v>
      </c>
      <c r="TF2" s="1" t="s">
        <v>662</v>
      </c>
      <c r="TG2" s="1" t="s">
        <v>663</v>
      </c>
      <c r="TH2" s="1" t="s">
        <v>664</v>
      </c>
      <c r="TI2" s="1" t="s">
        <v>665</v>
      </c>
      <c r="TJ2" s="1" t="s">
        <v>666</v>
      </c>
      <c r="TK2" s="1" t="s">
        <v>667</v>
      </c>
      <c r="TL2" s="1" t="s">
        <v>668</v>
      </c>
      <c r="TM2" s="1" t="s">
        <v>669</v>
      </c>
      <c r="TN2" s="1" t="s">
        <v>670</v>
      </c>
      <c r="TO2" s="1" t="s">
        <v>671</v>
      </c>
      <c r="TP2" s="1" t="s">
        <v>672</v>
      </c>
      <c r="TQ2" s="1" t="s">
        <v>673</v>
      </c>
      <c r="TR2" s="1" t="s">
        <v>674</v>
      </c>
      <c r="TS2" s="1" t="s">
        <v>675</v>
      </c>
      <c r="TT2" s="1" t="s">
        <v>676</v>
      </c>
      <c r="TU2" s="1" t="s">
        <v>677</v>
      </c>
      <c r="TV2" s="1" t="s">
        <v>678</v>
      </c>
      <c r="TW2" s="1" t="s">
        <v>679</v>
      </c>
      <c r="TX2" s="1" t="s">
        <v>680</v>
      </c>
      <c r="TY2" s="1" t="s">
        <v>681</v>
      </c>
      <c r="TZ2" s="1" t="s">
        <v>682</v>
      </c>
      <c r="UA2" s="1" t="s">
        <v>683</v>
      </c>
      <c r="UB2" s="1" t="s">
        <v>684</v>
      </c>
      <c r="UC2" s="1" t="s">
        <v>685</v>
      </c>
      <c r="UD2" s="1" t="s">
        <v>686</v>
      </c>
      <c r="UE2" s="1" t="s">
        <v>687</v>
      </c>
      <c r="UF2" s="1" t="s">
        <v>688</v>
      </c>
      <c r="UG2" s="1" t="s">
        <v>689</v>
      </c>
      <c r="UH2" s="1" t="s">
        <v>690</v>
      </c>
      <c r="UI2" s="1" t="s">
        <v>691</v>
      </c>
      <c r="UJ2" s="1" t="s">
        <v>692</v>
      </c>
      <c r="UK2" s="1" t="s">
        <v>693</v>
      </c>
      <c r="UL2" s="1" t="s">
        <v>694</v>
      </c>
      <c r="UM2" s="1" t="s">
        <v>695</v>
      </c>
      <c r="UN2" s="1" t="s">
        <v>696</v>
      </c>
      <c r="UO2" s="1" t="s">
        <v>697</v>
      </c>
      <c r="UP2" s="1" t="s">
        <v>698</v>
      </c>
      <c r="UQ2" s="1" t="s">
        <v>699</v>
      </c>
      <c r="UR2" s="1" t="s">
        <v>700</v>
      </c>
      <c r="US2" s="1" t="s">
        <v>701</v>
      </c>
      <c r="UT2" s="1" t="s">
        <v>702</v>
      </c>
      <c r="UU2" s="1" t="s">
        <v>703</v>
      </c>
      <c r="UV2" s="1" t="s">
        <v>704</v>
      </c>
      <c r="UW2" s="1" t="s">
        <v>705</v>
      </c>
      <c r="UX2" s="1" t="s">
        <v>706</v>
      </c>
      <c r="UY2" s="1" t="s">
        <v>707</v>
      </c>
      <c r="UZ2" s="1" t="s">
        <v>708</v>
      </c>
      <c r="VA2" s="1" t="s">
        <v>709</v>
      </c>
      <c r="VB2" s="1" t="s">
        <v>710</v>
      </c>
      <c r="VC2" s="1" t="s">
        <v>711</v>
      </c>
      <c r="VD2" s="1" t="s">
        <v>712</v>
      </c>
      <c r="VE2" s="1" t="s">
        <v>713</v>
      </c>
      <c r="VF2" s="1" t="s">
        <v>714</v>
      </c>
      <c r="VG2" s="1" t="s">
        <v>715</v>
      </c>
      <c r="VH2" s="1" t="s">
        <v>716</v>
      </c>
      <c r="VI2" s="1" t="s">
        <v>717</v>
      </c>
      <c r="VJ2" s="1" t="s">
        <v>718</v>
      </c>
      <c r="VK2" s="1" t="s">
        <v>719</v>
      </c>
      <c r="VL2" s="1" t="s">
        <v>720</v>
      </c>
      <c r="VM2" s="1" t="s">
        <v>721</v>
      </c>
      <c r="VN2" s="1" t="s">
        <v>722</v>
      </c>
      <c r="VO2" s="1" t="s">
        <v>723</v>
      </c>
      <c r="VP2" s="1" t="s">
        <v>724</v>
      </c>
      <c r="VQ2" s="1" t="s">
        <v>725</v>
      </c>
      <c r="VR2" s="1" t="s">
        <v>726</v>
      </c>
      <c r="VS2" s="1" t="s">
        <v>727</v>
      </c>
      <c r="VT2" s="1" t="s">
        <v>728</v>
      </c>
      <c r="VU2" s="1" t="s">
        <v>729</v>
      </c>
      <c r="VV2" s="1" t="s">
        <v>730</v>
      </c>
      <c r="VW2" s="1" t="s">
        <v>731</v>
      </c>
      <c r="VX2" s="1" t="s">
        <v>732</v>
      </c>
      <c r="VY2" s="1" t="s">
        <v>733</v>
      </c>
      <c r="VZ2" s="1" t="s">
        <v>734</v>
      </c>
      <c r="WA2" s="1" t="s">
        <v>735</v>
      </c>
      <c r="WB2" s="1" t="s">
        <v>736</v>
      </c>
      <c r="WC2" s="1" t="s">
        <v>737</v>
      </c>
      <c r="WD2" s="1" t="s">
        <v>738</v>
      </c>
      <c r="WE2" s="1" t="s">
        <v>739</v>
      </c>
      <c r="WF2" s="1" t="s">
        <v>740</v>
      </c>
      <c r="WG2" s="1" t="s">
        <v>741</v>
      </c>
      <c r="WH2" s="1" t="s">
        <v>742</v>
      </c>
      <c r="WI2" s="1" t="s">
        <v>743</v>
      </c>
      <c r="WJ2" s="1" t="s">
        <v>744</v>
      </c>
      <c r="WK2" s="1" t="s">
        <v>745</v>
      </c>
      <c r="WL2" s="1" t="s">
        <v>746</v>
      </c>
      <c r="WM2" s="1" t="s">
        <v>747</v>
      </c>
      <c r="WN2" s="1" t="s">
        <v>748</v>
      </c>
      <c r="WO2" s="1" t="s">
        <v>749</v>
      </c>
      <c r="WP2" s="1" t="s">
        <v>750</v>
      </c>
      <c r="WQ2" s="1" t="s">
        <v>751</v>
      </c>
      <c r="WR2" s="1" t="s">
        <v>752</v>
      </c>
      <c r="WS2" s="1" t="s">
        <v>753</v>
      </c>
      <c r="WT2" s="1" t="s">
        <v>754</v>
      </c>
      <c r="WU2" s="1" t="s">
        <v>755</v>
      </c>
      <c r="WV2" s="1" t="s">
        <v>756</v>
      </c>
      <c r="WW2" s="1" t="s">
        <v>757</v>
      </c>
      <c r="WX2" s="1" t="s">
        <v>758</v>
      </c>
      <c r="WY2" s="1" t="s">
        <v>759</v>
      </c>
      <c r="WZ2" s="1" t="s">
        <v>760</v>
      </c>
      <c r="XA2" s="1" t="s">
        <v>761</v>
      </c>
      <c r="XB2" s="1" t="s">
        <v>762</v>
      </c>
      <c r="XC2" s="1" t="s">
        <v>763</v>
      </c>
      <c r="XD2" s="1" t="s">
        <v>764</v>
      </c>
      <c r="XE2" s="1" t="s">
        <v>765</v>
      </c>
      <c r="XF2" s="1" t="s">
        <v>766</v>
      </c>
      <c r="XG2" s="1" t="s">
        <v>767</v>
      </c>
      <c r="XH2" s="1" t="s">
        <v>768</v>
      </c>
      <c r="XI2" s="1" t="s">
        <v>769</v>
      </c>
      <c r="XJ2" s="1" t="s">
        <v>770</v>
      </c>
      <c r="XK2" s="1" t="s">
        <v>771</v>
      </c>
      <c r="XL2" s="1" t="s">
        <v>772</v>
      </c>
      <c r="XM2" s="1" t="s">
        <v>773</v>
      </c>
      <c r="XN2" s="1" t="s">
        <v>774</v>
      </c>
      <c r="XO2" s="1" t="s">
        <v>775</v>
      </c>
      <c r="XP2" s="1" t="s">
        <v>776</v>
      </c>
      <c r="XQ2" s="1" t="s">
        <v>777</v>
      </c>
      <c r="XR2" s="1" t="s">
        <v>988</v>
      </c>
      <c r="XS2" s="1" t="s">
        <v>989</v>
      </c>
      <c r="XT2" s="1" t="s">
        <v>990</v>
      </c>
      <c r="XU2" s="7" t="s">
        <v>991</v>
      </c>
      <c r="XV2" s="7" t="s">
        <v>992</v>
      </c>
      <c r="XW2" s="7" t="s">
        <v>993</v>
      </c>
      <c r="XX2" s="7" t="s">
        <v>994</v>
      </c>
      <c r="XY2" s="7" t="s">
        <v>995</v>
      </c>
      <c r="XZ2" s="7" t="s">
        <v>996</v>
      </c>
      <c r="YA2" s="7" t="s">
        <v>997</v>
      </c>
      <c r="YB2" s="7" t="s">
        <v>998</v>
      </c>
      <c r="YC2" s="7" t="s">
        <v>999</v>
      </c>
      <c r="YD2" s="7" t="s">
        <v>1000</v>
      </c>
      <c r="YE2" s="8" t="s">
        <v>1001</v>
      </c>
      <c r="YF2" s="8" t="s">
        <v>1002</v>
      </c>
      <c r="YG2" s="8" t="s">
        <v>1003</v>
      </c>
      <c r="YH2" s="8" t="s">
        <v>1004</v>
      </c>
      <c r="YI2" s="8" t="s">
        <v>1005</v>
      </c>
      <c r="YJ2" s="8" t="s">
        <v>1006</v>
      </c>
      <c r="YK2" s="8" t="s">
        <v>1007</v>
      </c>
      <c r="YL2" s="8" t="s">
        <v>1008</v>
      </c>
      <c r="YM2" s="8" t="s">
        <v>1009</v>
      </c>
      <c r="YN2" s="8" t="s">
        <v>1010</v>
      </c>
      <c r="YO2" s="8" t="s">
        <v>1011</v>
      </c>
      <c r="YP2" s="8" t="s">
        <v>1012</v>
      </c>
      <c r="YQ2" s="8" t="s">
        <v>1013</v>
      </c>
      <c r="YR2" s="8" t="s">
        <v>1014</v>
      </c>
      <c r="YS2" s="8" t="s">
        <v>1015</v>
      </c>
      <c r="YT2" s="8" t="s">
        <v>1016</v>
      </c>
      <c r="YU2" s="8" t="s">
        <v>1017</v>
      </c>
      <c r="YV2" s="9" t="s">
        <v>1018</v>
      </c>
      <c r="YW2" s="9" t="s">
        <v>1019</v>
      </c>
      <c r="YX2" s="9" t="s">
        <v>1020</v>
      </c>
      <c r="YY2" s="9" t="s">
        <v>1021</v>
      </c>
      <c r="YZ2" s="9" t="s">
        <v>1022</v>
      </c>
      <c r="ZA2" s="9" t="s">
        <v>1023</v>
      </c>
      <c r="ZB2" s="9" t="s">
        <v>1024</v>
      </c>
      <c r="ZC2" s="9" t="s">
        <v>1025</v>
      </c>
      <c r="ZD2" s="9" t="s">
        <v>1026</v>
      </c>
      <c r="ZE2" s="9" t="s">
        <v>1027</v>
      </c>
      <c r="ZF2" s="9" t="s">
        <v>1028</v>
      </c>
      <c r="ZG2" s="9" t="s">
        <v>1029</v>
      </c>
      <c r="ZH2" s="9" t="s">
        <v>1030</v>
      </c>
      <c r="ZI2" s="9" t="s">
        <v>1031</v>
      </c>
      <c r="ZJ2" s="9" t="s">
        <v>1032</v>
      </c>
      <c r="ZK2" s="1" t="s">
        <v>1033</v>
      </c>
      <c r="ZL2" s="1" t="s">
        <v>1034</v>
      </c>
      <c r="ZM2" s="1" t="s">
        <v>1035</v>
      </c>
      <c r="ZN2" s="1" t="s">
        <v>1036</v>
      </c>
      <c r="ZO2" s="1" t="s">
        <v>1037</v>
      </c>
      <c r="ZP2" s="1" t="s">
        <v>1038</v>
      </c>
      <c r="ZQ2" s="1" t="s">
        <v>1039</v>
      </c>
      <c r="ZR2" s="1" t="s">
        <v>1040</v>
      </c>
      <c r="ZS2" s="1" t="s">
        <v>1041</v>
      </c>
      <c r="ZT2" s="1" t="s">
        <v>1042</v>
      </c>
      <c r="ZU2" s="1" t="s">
        <v>1043</v>
      </c>
      <c r="ZV2" s="1" t="s">
        <v>1044</v>
      </c>
      <c r="ZW2" s="1" t="s">
        <v>1045</v>
      </c>
      <c r="ZX2" s="1" t="s">
        <v>1046</v>
      </c>
      <c r="ZY2" s="1" t="s">
        <v>1047</v>
      </c>
      <c r="ZZ2" s="1" t="s">
        <v>1048</v>
      </c>
      <c r="AAA2" s="9" t="s">
        <v>1049</v>
      </c>
      <c r="AAB2" s="9" t="s">
        <v>1050</v>
      </c>
      <c r="AAC2" s="9" t="s">
        <v>1051</v>
      </c>
      <c r="AAD2" s="9" t="s">
        <v>1052</v>
      </c>
      <c r="AAE2" s="9" t="s">
        <v>1053</v>
      </c>
      <c r="AAF2" s="9" t="s">
        <v>1054</v>
      </c>
      <c r="AAG2" s="9" t="s">
        <v>1055</v>
      </c>
      <c r="AAH2" s="9" t="s">
        <v>1056</v>
      </c>
      <c r="AAI2" s="9" t="s">
        <v>1057</v>
      </c>
      <c r="AAJ2" s="9" t="s">
        <v>1058</v>
      </c>
      <c r="AAK2" s="9" t="s">
        <v>1059</v>
      </c>
      <c r="AAL2" s="9" t="s">
        <v>1060</v>
      </c>
      <c r="AAM2" s="1" t="s">
        <v>1061</v>
      </c>
      <c r="AAN2" s="1" t="s">
        <v>1062</v>
      </c>
      <c r="AAO2" s="1" t="s">
        <v>1063</v>
      </c>
      <c r="AAP2" s="1" t="s">
        <v>1064</v>
      </c>
      <c r="AAQ2" s="1" t="s">
        <v>1065</v>
      </c>
      <c r="AAR2" s="1" t="s">
        <v>1066</v>
      </c>
      <c r="AAS2" s="1" t="s">
        <v>1067</v>
      </c>
      <c r="AAT2" s="10" t="s">
        <v>1068</v>
      </c>
      <c r="AAU2" s="10" t="s">
        <v>1069</v>
      </c>
      <c r="AAV2" s="10" t="s">
        <v>1070</v>
      </c>
      <c r="AAW2" s="11" t="s">
        <v>1071</v>
      </c>
      <c r="AAX2" s="11" t="s">
        <v>1072</v>
      </c>
      <c r="AAY2" s="11" t="s">
        <v>1073</v>
      </c>
      <c r="AAZ2" s="11" t="s">
        <v>1074</v>
      </c>
      <c r="ABA2" s="11" t="s">
        <v>1075</v>
      </c>
      <c r="ABB2" s="11" t="s">
        <v>1076</v>
      </c>
      <c r="ABC2" s="11" t="s">
        <v>1077</v>
      </c>
      <c r="ABD2" s="11" t="s">
        <v>1078</v>
      </c>
      <c r="ABE2" s="11" t="s">
        <v>1079</v>
      </c>
      <c r="ABF2" s="11" t="s">
        <v>1080</v>
      </c>
      <c r="ABG2" s="11" t="s">
        <v>1081</v>
      </c>
      <c r="ABH2" s="10" t="s">
        <v>1082</v>
      </c>
      <c r="ABI2" s="10" t="s">
        <v>1083</v>
      </c>
      <c r="ABJ2" s="10" t="s">
        <v>1084</v>
      </c>
      <c r="ABK2" s="10" t="s">
        <v>1085</v>
      </c>
      <c r="ABL2" s="10" t="s">
        <v>1086</v>
      </c>
      <c r="ABM2" s="10" t="s">
        <v>1087</v>
      </c>
      <c r="ABN2" s="10" t="s">
        <v>1088</v>
      </c>
      <c r="ABO2" s="10" t="s">
        <v>1089</v>
      </c>
      <c r="ABP2" s="10" t="s">
        <v>1090</v>
      </c>
      <c r="ABQ2" s="1" t="s">
        <v>1091</v>
      </c>
      <c r="ABR2" s="1" t="s">
        <v>1092</v>
      </c>
      <c r="ABS2" s="1" t="s">
        <v>1093</v>
      </c>
      <c r="ABT2" s="1" t="s">
        <v>1094</v>
      </c>
      <c r="ABU2" s="1" t="s">
        <v>1095</v>
      </c>
      <c r="ABV2" s="1" t="s">
        <v>1096</v>
      </c>
      <c r="ABW2" s="1" t="s">
        <v>1097</v>
      </c>
      <c r="ABX2" s="1" t="s">
        <v>1098</v>
      </c>
      <c r="ABY2" s="1" t="s">
        <v>1099</v>
      </c>
      <c r="ABZ2" s="1" t="s">
        <v>1100</v>
      </c>
      <c r="ACA2" s="1" t="s">
        <v>1101</v>
      </c>
      <c r="ACB2" s="1" t="s">
        <v>1102</v>
      </c>
      <c r="ACC2" s="1" t="s">
        <v>1103</v>
      </c>
      <c r="ACD2" s="1" t="s">
        <v>1104</v>
      </c>
      <c r="ACE2" s="1" t="s">
        <v>1105</v>
      </c>
      <c r="ACF2" s="1" t="s">
        <v>1106</v>
      </c>
      <c r="ACG2" s="1" t="s">
        <v>1107</v>
      </c>
      <c r="ACH2" s="1" t="s">
        <v>1108</v>
      </c>
      <c r="ACI2" s="1" t="s">
        <v>1109</v>
      </c>
      <c r="ACJ2" s="1" t="s">
        <v>1110</v>
      </c>
      <c r="ACK2" s="1" t="s">
        <v>1111</v>
      </c>
      <c r="ACL2" s="1" t="s">
        <v>1112</v>
      </c>
      <c r="ACM2" s="1" t="s">
        <v>1113</v>
      </c>
      <c r="ACN2" s="1" t="s">
        <v>1114</v>
      </c>
      <c r="ACO2" s="1" t="s">
        <v>1115</v>
      </c>
      <c r="ACP2" s="1" t="s">
        <v>1116</v>
      </c>
      <c r="ACQ2" s="1" t="s">
        <v>1117</v>
      </c>
      <c r="ACR2" s="1" t="s">
        <v>1118</v>
      </c>
      <c r="ACS2" s="1" t="s">
        <v>1119</v>
      </c>
      <c r="ACT2" s="1" t="s">
        <v>1120</v>
      </c>
      <c r="ACU2" s="1" t="s">
        <v>1121</v>
      </c>
      <c r="ACV2" s="1" t="s">
        <v>1122</v>
      </c>
      <c r="ACW2" s="1" t="s">
        <v>1123</v>
      </c>
      <c r="ACX2" s="1" t="s">
        <v>1124</v>
      </c>
      <c r="ACY2" s="1" t="s">
        <v>1125</v>
      </c>
      <c r="ACZ2" s="1" t="s">
        <v>1126</v>
      </c>
      <c r="ADA2" s="1" t="s">
        <v>1127</v>
      </c>
      <c r="ADB2" s="1" t="s">
        <v>1128</v>
      </c>
      <c r="ADC2" s="1" t="s">
        <v>1129</v>
      </c>
      <c r="ADD2" s="1" t="s">
        <v>1130</v>
      </c>
      <c r="ADE2" s="1" t="s">
        <v>1131</v>
      </c>
      <c r="ADF2" s="1" t="s">
        <v>1132</v>
      </c>
      <c r="ADG2" s="1" t="s">
        <v>1133</v>
      </c>
      <c r="ADH2" s="1" t="s">
        <v>1134</v>
      </c>
      <c r="ADI2" s="1" t="s">
        <v>1135</v>
      </c>
      <c r="ADJ2" s="1" t="s">
        <v>1136</v>
      </c>
      <c r="ADK2" s="1" t="s">
        <v>1137</v>
      </c>
      <c r="ADL2" s="1" t="s">
        <v>1138</v>
      </c>
      <c r="ADM2" s="1" t="s">
        <v>1139</v>
      </c>
      <c r="ADN2" s="1" t="s">
        <v>1140</v>
      </c>
      <c r="ADO2" s="1" t="s">
        <v>1141</v>
      </c>
      <c r="ADP2" s="1" t="s">
        <v>1142</v>
      </c>
      <c r="ADQ2" s="1" t="s">
        <v>1143</v>
      </c>
      <c r="ADR2" s="1" t="s">
        <v>1144</v>
      </c>
      <c r="ADS2" s="1" t="s">
        <v>1145</v>
      </c>
      <c r="ADT2" s="1" t="s">
        <v>1146</v>
      </c>
      <c r="ADU2" s="1" t="s">
        <v>1147</v>
      </c>
      <c r="ADV2" s="1" t="s">
        <v>1148</v>
      </c>
      <c r="ADW2" s="1" t="s">
        <v>1149</v>
      </c>
      <c r="ADX2" s="1" t="s">
        <v>1150</v>
      </c>
      <c r="ADY2" s="1" t="s">
        <v>1151</v>
      </c>
      <c r="ADZ2" s="1" t="s">
        <v>1152</v>
      </c>
    </row>
    <row r="3" spans="1:806" ht="72.5" x14ac:dyDescent="0.35">
      <c r="A3" s="1" t="s">
        <v>1195</v>
      </c>
      <c r="B3" s="1" t="s">
        <v>39</v>
      </c>
      <c r="C3" s="1" t="s">
        <v>1196</v>
      </c>
      <c r="D3" s="1" t="s">
        <v>780</v>
      </c>
      <c r="E3" s="1" t="s">
        <v>780</v>
      </c>
      <c r="F3" s="1" t="s">
        <v>780</v>
      </c>
      <c r="G3" s="1" t="s">
        <v>780</v>
      </c>
      <c r="H3" s="1" t="s">
        <v>780</v>
      </c>
      <c r="I3" s="1" t="s">
        <v>780</v>
      </c>
      <c r="J3" s="1" t="s">
        <v>780</v>
      </c>
      <c r="NA3" s="1" t="s">
        <v>780</v>
      </c>
      <c r="ZK3" s="1" t="s">
        <v>780</v>
      </c>
      <c r="ZO3" s="1" t="s">
        <v>780</v>
      </c>
      <c r="AAA3" s="1" t="s">
        <v>780</v>
      </c>
      <c r="ABQ3" s="1" t="s">
        <v>780</v>
      </c>
      <c r="ABR3" s="1" t="s">
        <v>780</v>
      </c>
      <c r="ABS3" s="1" t="s">
        <v>780</v>
      </c>
      <c r="ABT3" s="1" t="s">
        <v>780</v>
      </c>
      <c r="ABU3" s="1" t="s">
        <v>780</v>
      </c>
      <c r="ABV3" s="1" t="s">
        <v>780</v>
      </c>
      <c r="ABW3" s="1" t="s">
        <v>780</v>
      </c>
      <c r="ABX3" s="1" t="s">
        <v>780</v>
      </c>
      <c r="ABY3" s="1" t="s">
        <v>780</v>
      </c>
      <c r="ABZ3" s="1" t="s">
        <v>780</v>
      </c>
      <c r="ACA3" s="1" t="s">
        <v>780</v>
      </c>
      <c r="ACB3" s="1" t="s">
        <v>780</v>
      </c>
      <c r="ACC3" s="1" t="s">
        <v>780</v>
      </c>
      <c r="ACD3" s="1" t="s">
        <v>780</v>
      </c>
      <c r="ACE3" s="1" t="s">
        <v>780</v>
      </c>
      <c r="ACF3" s="1" t="s">
        <v>780</v>
      </c>
      <c r="ACG3" s="1" t="s">
        <v>780</v>
      </c>
      <c r="ACH3" s="1" t="s">
        <v>780</v>
      </c>
      <c r="ACI3" s="1" t="s">
        <v>780</v>
      </c>
      <c r="ACJ3" s="1" t="s">
        <v>780</v>
      </c>
      <c r="ACK3" s="1" t="s">
        <v>780</v>
      </c>
      <c r="ACL3" s="1" t="s">
        <v>780</v>
      </c>
      <c r="ACM3" s="1" t="s">
        <v>780</v>
      </c>
      <c r="ACN3" s="1" t="s">
        <v>780</v>
      </c>
      <c r="ACO3" s="1" t="s">
        <v>780</v>
      </c>
      <c r="ACP3" s="1" t="s">
        <v>780</v>
      </c>
      <c r="ACQ3" s="1" t="s">
        <v>780</v>
      </c>
    </row>
    <row r="4" spans="1:806" ht="72.5" x14ac:dyDescent="0.35">
      <c r="A4" s="1" t="s">
        <v>1195</v>
      </c>
      <c r="B4" s="1" t="s">
        <v>39</v>
      </c>
      <c r="C4" s="1" t="s">
        <v>1197</v>
      </c>
      <c r="D4" s="1" t="s">
        <v>780</v>
      </c>
      <c r="E4" s="1" t="s">
        <v>780</v>
      </c>
      <c r="F4" s="1" t="s">
        <v>780</v>
      </c>
      <c r="G4" s="1" t="s">
        <v>780</v>
      </c>
      <c r="H4" s="1" t="s">
        <v>780</v>
      </c>
      <c r="I4" s="1" t="s">
        <v>780</v>
      </c>
      <c r="J4" s="1" t="s">
        <v>780</v>
      </c>
      <c r="ZK4" s="1" t="s">
        <v>780</v>
      </c>
      <c r="ZO4" s="1" t="s">
        <v>780</v>
      </c>
      <c r="AAA4" s="1" t="s">
        <v>780</v>
      </c>
      <c r="ACD4" s="1" t="s">
        <v>780</v>
      </c>
      <c r="ACR4" s="1" t="s">
        <v>780</v>
      </c>
      <c r="ACS4" s="1" t="s">
        <v>780</v>
      </c>
      <c r="ACT4" s="1" t="s">
        <v>780</v>
      </c>
      <c r="ACU4" s="1" t="s">
        <v>780</v>
      </c>
      <c r="ACV4" s="1" t="s">
        <v>780</v>
      </c>
      <c r="ACW4" s="1" t="s">
        <v>780</v>
      </c>
    </row>
    <row r="5" spans="1:806" ht="72.5" x14ac:dyDescent="0.35">
      <c r="A5" s="1" t="s">
        <v>1195</v>
      </c>
      <c r="B5" s="1" t="s">
        <v>39</v>
      </c>
      <c r="C5" s="1" t="s">
        <v>1198</v>
      </c>
      <c r="D5" s="1" t="s">
        <v>780</v>
      </c>
      <c r="E5" s="1" t="s">
        <v>780</v>
      </c>
      <c r="F5" s="1" t="s">
        <v>780</v>
      </c>
      <c r="G5" s="1" t="s">
        <v>780</v>
      </c>
      <c r="H5" s="1" t="s">
        <v>780</v>
      </c>
      <c r="ZK5" s="1" t="s">
        <v>780</v>
      </c>
      <c r="ABZ5" s="1" t="s">
        <v>780</v>
      </c>
      <c r="ACA5" s="1" t="s">
        <v>780</v>
      </c>
      <c r="ACB5" s="1" t="s">
        <v>780</v>
      </c>
      <c r="ACL5" s="1" t="s">
        <v>780</v>
      </c>
      <c r="ACM5" s="1" t="s">
        <v>780</v>
      </c>
      <c r="ACX5" s="1" t="s">
        <v>780</v>
      </c>
      <c r="ACY5" s="1" t="s">
        <v>780</v>
      </c>
      <c r="ACZ5" s="1" t="s">
        <v>780</v>
      </c>
      <c r="ADA5" s="1" t="s">
        <v>780</v>
      </c>
      <c r="ADB5" s="1" t="s">
        <v>780</v>
      </c>
    </row>
    <row r="6" spans="1:806" ht="72.5" x14ac:dyDescent="0.35">
      <c r="A6" s="1" t="s">
        <v>1195</v>
      </c>
      <c r="B6" s="1" t="s">
        <v>36</v>
      </c>
      <c r="C6" s="1" t="s">
        <v>1199</v>
      </c>
      <c r="D6" s="1" t="s">
        <v>780</v>
      </c>
      <c r="E6" s="1" t="s">
        <v>780</v>
      </c>
      <c r="F6" s="1" t="s">
        <v>780</v>
      </c>
      <c r="G6" s="1" t="s">
        <v>780</v>
      </c>
      <c r="H6" s="1" t="s">
        <v>780</v>
      </c>
      <c r="I6" s="1" t="s">
        <v>780</v>
      </c>
      <c r="J6" s="1" t="s">
        <v>780</v>
      </c>
      <c r="ZK6" s="1"/>
      <c r="ADC6" s="1" t="s">
        <v>780</v>
      </c>
      <c r="ADD6" s="1" t="s">
        <v>780</v>
      </c>
    </row>
    <row r="7" spans="1:806" ht="72.5" x14ac:dyDescent="0.35">
      <c r="A7" s="1" t="s">
        <v>1195</v>
      </c>
      <c r="B7" s="1" t="s">
        <v>36</v>
      </c>
      <c r="C7" s="1" t="s">
        <v>1200</v>
      </c>
      <c r="D7" s="1" t="s">
        <v>780</v>
      </c>
      <c r="E7" s="1" t="s">
        <v>780</v>
      </c>
      <c r="F7" s="1" t="s">
        <v>780</v>
      </c>
      <c r="G7" s="1" t="s">
        <v>780</v>
      </c>
      <c r="H7" s="1" t="s">
        <v>780</v>
      </c>
      <c r="I7" s="1" t="s">
        <v>780</v>
      </c>
      <c r="J7" s="1" t="s">
        <v>780</v>
      </c>
      <c r="AR7" s="1" t="s">
        <v>780</v>
      </c>
      <c r="AX7" s="1" t="s">
        <v>780</v>
      </c>
      <c r="ZK7" s="1"/>
      <c r="ADC7" s="1" t="s">
        <v>780</v>
      </c>
      <c r="ADE7" s="1" t="s">
        <v>780</v>
      </c>
    </row>
    <row r="8" spans="1:806" ht="72.5" x14ac:dyDescent="0.35">
      <c r="A8" s="1" t="s">
        <v>1195</v>
      </c>
      <c r="B8" s="1" t="s">
        <v>36</v>
      </c>
      <c r="C8" s="1" t="s">
        <v>1201</v>
      </c>
      <c r="D8" s="1" t="s">
        <v>780</v>
      </c>
      <c r="E8" s="1" t="s">
        <v>780</v>
      </c>
      <c r="F8" s="1" t="s">
        <v>780</v>
      </c>
      <c r="G8" s="1" t="s">
        <v>780</v>
      </c>
      <c r="H8" s="1" t="s">
        <v>780</v>
      </c>
      <c r="I8" s="1" t="s">
        <v>780</v>
      </c>
      <c r="J8" s="1" t="s">
        <v>780</v>
      </c>
      <c r="AX8" s="1" t="s">
        <v>780</v>
      </c>
      <c r="ZK8" s="1"/>
      <c r="ADC8" s="1" t="s">
        <v>780</v>
      </c>
      <c r="ADF8" s="1" t="s">
        <v>780</v>
      </c>
    </row>
    <row r="9" spans="1:806" ht="72.5" x14ac:dyDescent="0.35">
      <c r="A9" s="1" t="s">
        <v>1195</v>
      </c>
      <c r="B9" s="1" t="s">
        <v>36</v>
      </c>
      <c r="C9" s="12" t="s">
        <v>1202</v>
      </c>
      <c r="D9" s="1" t="s">
        <v>780</v>
      </c>
      <c r="E9" s="1" t="s">
        <v>780</v>
      </c>
      <c r="F9" s="1" t="s">
        <v>780</v>
      </c>
      <c r="G9" s="1" t="s">
        <v>780</v>
      </c>
      <c r="H9" s="1" t="s">
        <v>780</v>
      </c>
      <c r="I9" s="1" t="s">
        <v>780</v>
      </c>
      <c r="J9" s="1" t="s">
        <v>780</v>
      </c>
      <c r="ZK9" s="1"/>
      <c r="ADC9" s="1" t="s">
        <v>780</v>
      </c>
      <c r="ADG9" s="1" t="s">
        <v>780</v>
      </c>
    </row>
    <row r="10" spans="1:806" ht="72.5" x14ac:dyDescent="0.35">
      <c r="A10" s="1" t="s">
        <v>1195</v>
      </c>
      <c r="B10" s="1" t="s">
        <v>36</v>
      </c>
      <c r="C10" s="12" t="s">
        <v>1203</v>
      </c>
      <c r="D10" s="1" t="s">
        <v>780</v>
      </c>
      <c r="E10" s="1" t="s">
        <v>780</v>
      </c>
      <c r="F10" s="1" t="s">
        <v>780</v>
      </c>
      <c r="G10" s="1" t="s">
        <v>780</v>
      </c>
      <c r="H10" s="1" t="s">
        <v>780</v>
      </c>
      <c r="AR10" s="1" t="s">
        <v>780</v>
      </c>
      <c r="AX10" s="1" t="s">
        <v>780</v>
      </c>
      <c r="JR10" s="1" t="s">
        <v>780</v>
      </c>
      <c r="ZK10" s="1"/>
      <c r="ADH10" s="1" t="s">
        <v>780</v>
      </c>
    </row>
    <row r="11" spans="1:806" ht="72.5" x14ac:dyDescent="0.35">
      <c r="A11" s="1" t="s">
        <v>1195</v>
      </c>
      <c r="B11" s="1" t="s">
        <v>36</v>
      </c>
      <c r="C11" s="12" t="s">
        <v>1204</v>
      </c>
      <c r="D11" s="1" t="s">
        <v>780</v>
      </c>
      <c r="E11" s="1" t="s">
        <v>780</v>
      </c>
      <c r="F11" s="1" t="s">
        <v>780</v>
      </c>
      <c r="G11" s="1" t="s">
        <v>780</v>
      </c>
      <c r="H11" s="1" t="s">
        <v>780</v>
      </c>
      <c r="AJ11" s="1" t="s">
        <v>780</v>
      </c>
      <c r="AX11" s="1" t="s">
        <v>780</v>
      </c>
      <c r="BG11" s="1" t="s">
        <v>780</v>
      </c>
      <c r="JR11" s="1" t="s">
        <v>780</v>
      </c>
      <c r="TC11" s="1" t="s">
        <v>780</v>
      </c>
      <c r="ZK11" s="1"/>
      <c r="ADH11" s="1" t="s">
        <v>780</v>
      </c>
    </row>
    <row r="12" spans="1:806" ht="72.5" x14ac:dyDescent="0.35">
      <c r="A12" s="1" t="s">
        <v>1195</v>
      </c>
      <c r="B12" s="1" t="s">
        <v>36</v>
      </c>
      <c r="C12" s="2" t="s">
        <v>1205</v>
      </c>
      <c r="D12" s="1" t="s">
        <v>780</v>
      </c>
      <c r="E12" s="1" t="s">
        <v>780</v>
      </c>
      <c r="F12" s="1" t="s">
        <v>780</v>
      </c>
      <c r="G12" s="1" t="s">
        <v>780</v>
      </c>
      <c r="H12" s="1" t="s">
        <v>780</v>
      </c>
      <c r="FG12" s="1" t="s">
        <v>780</v>
      </c>
      <c r="ZK12" s="1"/>
      <c r="ADI12" s="1" t="s">
        <v>780</v>
      </c>
    </row>
    <row r="13" spans="1:806" ht="72.5" x14ac:dyDescent="0.35">
      <c r="A13" s="1" t="s">
        <v>1195</v>
      </c>
      <c r="B13" s="1" t="s">
        <v>36</v>
      </c>
      <c r="C13" s="1" t="s">
        <v>1206</v>
      </c>
      <c r="D13" s="1" t="s">
        <v>780</v>
      </c>
      <c r="E13" s="1" t="s">
        <v>780</v>
      </c>
      <c r="F13" s="1" t="s">
        <v>780</v>
      </c>
      <c r="G13" s="1" t="s">
        <v>780</v>
      </c>
      <c r="H13" s="1" t="s">
        <v>780</v>
      </c>
      <c r="AP13" s="1" t="s">
        <v>780</v>
      </c>
      <c r="AR13" s="1" t="s">
        <v>780</v>
      </c>
      <c r="AX13" s="1" t="s">
        <v>780</v>
      </c>
      <c r="JT13" s="1" t="s">
        <v>780</v>
      </c>
      <c r="ZK13" s="1"/>
      <c r="ADJ13" s="1" t="s">
        <v>780</v>
      </c>
      <c r="ADK13" s="1" t="s">
        <v>780</v>
      </c>
      <c r="ADL13" s="1" t="s">
        <v>780</v>
      </c>
      <c r="ADM13" s="1" t="s">
        <v>780</v>
      </c>
    </row>
    <row r="14" spans="1:806" ht="72.5" x14ac:dyDescent="0.35">
      <c r="A14" s="1" t="s">
        <v>1195</v>
      </c>
      <c r="B14" s="1" t="s">
        <v>36</v>
      </c>
      <c r="C14" s="1" t="s">
        <v>1207</v>
      </c>
      <c r="D14" s="1" t="s">
        <v>780</v>
      </c>
      <c r="E14" s="1" t="s">
        <v>780</v>
      </c>
      <c r="F14" s="1" t="s">
        <v>780</v>
      </c>
      <c r="G14" s="1" t="s">
        <v>780</v>
      </c>
      <c r="H14" s="1" t="s">
        <v>780</v>
      </c>
      <c r="AR14" s="1" t="s">
        <v>780</v>
      </c>
      <c r="AX14" s="1" t="s">
        <v>780</v>
      </c>
      <c r="ZK14" s="1"/>
      <c r="ADN14" s="1" t="s">
        <v>780</v>
      </c>
      <c r="ADO14" s="1" t="s">
        <v>780</v>
      </c>
      <c r="ADP14" s="1" t="s">
        <v>780</v>
      </c>
      <c r="ADQ14" s="1" t="s">
        <v>780</v>
      </c>
      <c r="ADR14" s="1" t="s">
        <v>780</v>
      </c>
      <c r="ADS14" s="1" t="s">
        <v>780</v>
      </c>
      <c r="ADT14" s="1" t="s">
        <v>780</v>
      </c>
    </row>
    <row r="15" spans="1:806" ht="72.5" x14ac:dyDescent="0.35">
      <c r="A15" s="1" t="s">
        <v>1195</v>
      </c>
      <c r="B15" s="1" t="s">
        <v>36</v>
      </c>
      <c r="C15" s="1" t="s">
        <v>1208</v>
      </c>
      <c r="D15" s="1" t="s">
        <v>780</v>
      </c>
      <c r="E15" s="1" t="s">
        <v>780</v>
      </c>
      <c r="F15" s="1" t="s">
        <v>780</v>
      </c>
      <c r="G15" s="1" t="s">
        <v>780</v>
      </c>
      <c r="H15" s="1" t="s">
        <v>780</v>
      </c>
      <c r="ZK15" s="1"/>
      <c r="ADU15" s="1" t="s">
        <v>780</v>
      </c>
      <c r="ADV15" s="1" t="s">
        <v>780</v>
      </c>
      <c r="ADW15" s="1" t="s">
        <v>780</v>
      </c>
      <c r="ADX15" s="1" t="s">
        <v>780</v>
      </c>
      <c r="ADY15" s="1" t="s">
        <v>780</v>
      </c>
      <c r="ADZ15" s="1" t="s">
        <v>780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A65"/>
  <sheetViews>
    <sheetView workbookViewId="0">
      <selection activeCell="F18" sqref="F18"/>
    </sheetView>
  </sheetViews>
  <sheetFormatPr defaultRowHeight="14.5" x14ac:dyDescent="0.35"/>
  <sheetData>
    <row r="1" spans="1:1" x14ac:dyDescent="0.35">
      <c r="A1" t="s">
        <v>2102</v>
      </c>
    </row>
    <row r="2" spans="1:1" x14ac:dyDescent="0.35">
      <c r="A2" t="s">
        <v>2103</v>
      </c>
    </row>
    <row r="3" spans="1:1" x14ac:dyDescent="0.35">
      <c r="A3" t="s">
        <v>2104</v>
      </c>
    </row>
    <row r="4" spans="1:1" x14ac:dyDescent="0.35">
      <c r="A4" t="s">
        <v>2105</v>
      </c>
    </row>
    <row r="5" spans="1:1" x14ac:dyDescent="0.35">
      <c r="A5" t="s">
        <v>2106</v>
      </c>
    </row>
    <row r="6" spans="1:1" x14ac:dyDescent="0.35">
      <c r="A6" t="s">
        <v>2107</v>
      </c>
    </row>
    <row r="7" spans="1:1" x14ac:dyDescent="0.35">
      <c r="A7" t="s">
        <v>2108</v>
      </c>
    </row>
    <row r="8" spans="1:1" x14ac:dyDescent="0.35">
      <c r="A8" t="s">
        <v>2109</v>
      </c>
    </row>
    <row r="9" spans="1:1" x14ac:dyDescent="0.35">
      <c r="A9" t="s">
        <v>2110</v>
      </c>
    </row>
    <row r="10" spans="1:1" x14ac:dyDescent="0.35">
      <c r="A10" t="s">
        <v>2111</v>
      </c>
    </row>
    <row r="11" spans="1:1" x14ac:dyDescent="0.35">
      <c r="A11" t="s">
        <v>2112</v>
      </c>
    </row>
    <row r="12" spans="1:1" x14ac:dyDescent="0.35">
      <c r="A12" t="s">
        <v>2113</v>
      </c>
    </row>
    <row r="13" spans="1:1" x14ac:dyDescent="0.35">
      <c r="A13" t="s">
        <v>2114</v>
      </c>
    </row>
    <row r="14" spans="1:1" x14ac:dyDescent="0.35">
      <c r="A14" t="s">
        <v>2115</v>
      </c>
    </row>
    <row r="15" spans="1:1" x14ac:dyDescent="0.35">
      <c r="A15" t="s">
        <v>2116</v>
      </c>
    </row>
    <row r="16" spans="1:1" x14ac:dyDescent="0.35">
      <c r="A16" t="s">
        <v>2117</v>
      </c>
    </row>
    <row r="17" spans="1:1" x14ac:dyDescent="0.35">
      <c r="A17" t="s">
        <v>2118</v>
      </c>
    </row>
    <row r="18" spans="1:1" x14ac:dyDescent="0.35">
      <c r="A18" t="s">
        <v>2119</v>
      </c>
    </row>
    <row r="19" spans="1:1" x14ac:dyDescent="0.35">
      <c r="A19" t="s">
        <v>2120</v>
      </c>
    </row>
    <row r="20" spans="1:1" x14ac:dyDescent="0.35">
      <c r="A20" t="s">
        <v>2121</v>
      </c>
    </row>
    <row r="21" spans="1:1" x14ac:dyDescent="0.35">
      <c r="A21" t="s">
        <v>2122</v>
      </c>
    </row>
    <row r="22" spans="1:1" x14ac:dyDescent="0.35">
      <c r="A22" t="s">
        <v>2123</v>
      </c>
    </row>
    <row r="23" spans="1:1" x14ac:dyDescent="0.35">
      <c r="A23" t="s">
        <v>2124</v>
      </c>
    </row>
    <row r="24" spans="1:1" x14ac:dyDescent="0.35">
      <c r="A24" t="s">
        <v>2125</v>
      </c>
    </row>
    <row r="25" spans="1:1" x14ac:dyDescent="0.35">
      <c r="A25" t="s">
        <v>2126</v>
      </c>
    </row>
    <row r="26" spans="1:1" x14ac:dyDescent="0.35">
      <c r="A26" t="s">
        <v>2127</v>
      </c>
    </row>
    <row r="27" spans="1:1" x14ac:dyDescent="0.35">
      <c r="A27" t="s">
        <v>2128</v>
      </c>
    </row>
    <row r="29" spans="1:1" x14ac:dyDescent="0.35">
      <c r="A29" t="s">
        <v>2129</v>
      </c>
    </row>
    <row r="30" spans="1:1" x14ac:dyDescent="0.35">
      <c r="A30" t="s">
        <v>2130</v>
      </c>
    </row>
    <row r="31" spans="1:1" x14ac:dyDescent="0.35">
      <c r="A31" t="s">
        <v>2131</v>
      </c>
    </row>
    <row r="32" spans="1:1" x14ac:dyDescent="0.35">
      <c r="A32" t="s">
        <v>2132</v>
      </c>
    </row>
    <row r="33" spans="1:1" x14ac:dyDescent="0.35">
      <c r="A33" t="s">
        <v>2133</v>
      </c>
    </row>
    <row r="34" spans="1:1" x14ac:dyDescent="0.35">
      <c r="A34" t="s">
        <v>2134</v>
      </c>
    </row>
    <row r="36" spans="1:1" x14ac:dyDescent="0.35">
      <c r="A36" t="s">
        <v>2135</v>
      </c>
    </row>
    <row r="37" spans="1:1" x14ac:dyDescent="0.35">
      <c r="A37" t="s">
        <v>2136</v>
      </c>
    </row>
    <row r="38" spans="1:1" x14ac:dyDescent="0.35">
      <c r="A38" t="s">
        <v>2137</v>
      </c>
    </row>
    <row r="39" spans="1:1" x14ac:dyDescent="0.35">
      <c r="A39" t="s">
        <v>2138</v>
      </c>
    </row>
    <row r="40" spans="1:1" x14ac:dyDescent="0.35">
      <c r="A40" t="s">
        <v>2139</v>
      </c>
    </row>
    <row r="42" spans="1:1" x14ac:dyDescent="0.35">
      <c r="A42" t="s">
        <v>2140</v>
      </c>
    </row>
    <row r="43" spans="1:1" x14ac:dyDescent="0.35">
      <c r="A43" t="s">
        <v>2141</v>
      </c>
    </row>
    <row r="44" spans="1:1" x14ac:dyDescent="0.35">
      <c r="A44" t="s">
        <v>2142</v>
      </c>
    </row>
    <row r="45" spans="1:1" x14ac:dyDescent="0.35">
      <c r="A45" t="s">
        <v>2143</v>
      </c>
    </row>
    <row r="46" spans="1:1" x14ac:dyDescent="0.35">
      <c r="A46" t="s">
        <v>2144</v>
      </c>
    </row>
    <row r="47" spans="1:1" x14ac:dyDescent="0.35">
      <c r="A47" t="s">
        <v>2145</v>
      </c>
    </row>
    <row r="48" spans="1:1" x14ac:dyDescent="0.35">
      <c r="A48" t="s">
        <v>2146</v>
      </c>
    </row>
    <row r="49" spans="1:1" x14ac:dyDescent="0.35">
      <c r="A49" t="s">
        <v>2147</v>
      </c>
    </row>
    <row r="50" spans="1:1" x14ac:dyDescent="0.35">
      <c r="A50" t="s">
        <v>2148</v>
      </c>
    </row>
    <row r="51" spans="1:1" x14ac:dyDescent="0.35">
      <c r="A51" t="s">
        <v>2149</v>
      </c>
    </row>
    <row r="52" spans="1:1" x14ac:dyDescent="0.35">
      <c r="A52" t="s">
        <v>2150</v>
      </c>
    </row>
    <row r="53" spans="1:1" x14ac:dyDescent="0.35">
      <c r="A53" t="s">
        <v>2151</v>
      </c>
    </row>
    <row r="54" spans="1:1" x14ac:dyDescent="0.35">
      <c r="A54" t="s">
        <v>2152</v>
      </c>
    </row>
    <row r="55" spans="1:1" x14ac:dyDescent="0.35">
      <c r="A55" t="s">
        <v>2153</v>
      </c>
    </row>
    <row r="56" spans="1:1" x14ac:dyDescent="0.35">
      <c r="A56" t="s">
        <v>2154</v>
      </c>
    </row>
    <row r="57" spans="1:1" x14ac:dyDescent="0.35">
      <c r="A57" t="s">
        <v>2155</v>
      </c>
    </row>
    <row r="58" spans="1:1" x14ac:dyDescent="0.35">
      <c r="A58" t="s">
        <v>2156</v>
      </c>
    </row>
    <row r="59" spans="1:1" x14ac:dyDescent="0.35">
      <c r="A59" t="s">
        <v>2157</v>
      </c>
    </row>
    <row r="60" spans="1:1" x14ac:dyDescent="0.35">
      <c r="A60" t="s">
        <v>2158</v>
      </c>
    </row>
    <row r="61" spans="1:1" x14ac:dyDescent="0.35">
      <c r="A61" t="s">
        <v>2159</v>
      </c>
    </row>
    <row r="62" spans="1:1" x14ac:dyDescent="0.35">
      <c r="A62" t="s">
        <v>2160</v>
      </c>
    </row>
    <row r="63" spans="1:1" x14ac:dyDescent="0.35">
      <c r="A63" t="s">
        <v>2161</v>
      </c>
    </row>
    <row r="64" spans="1:1" x14ac:dyDescent="0.35">
      <c r="A64" t="s">
        <v>2162</v>
      </c>
    </row>
    <row r="65" spans="1:1" x14ac:dyDescent="0.35">
      <c r="A65" t="s">
        <v>2163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063B966-688A-4C0D-8DDE-C0FC79D61C71}">
  <ds:schemaRefs>
    <ds:schemaRef ds:uri="http://schemas.microsoft.com/sharepoint/v3/contenttype/forms"/>
  </ds:schemaRefs>
</ds:datastoreItem>
</file>

<file path=customXml/itemProps3.xml><?xml version="1.0" encoding="utf-8"?>
<ds:datastoreItem xmlns:ds="http://schemas.openxmlformats.org/officeDocument/2006/customXml" ds:itemID="{625ADDB1-FC8E-4706-B45D-90A6C2A6867B}">
  <ds:schemaRefs>
    <ds:schemaRef ds:uri="http://schemas.openxmlformats.org/package/2006/metadata/core-properties"/>
    <ds:schemaRef ds:uri="http://purl.org/dc/dcmitype/"/>
    <ds:schemaRef ds:uri="http://purl.org/dc/terms/"/>
    <ds:schemaRef ds:uri="http://schemas.microsoft.com/office/2006/metadata/properties"/>
    <ds:schemaRef ds:uri="http://purl.org/dc/elements/1.1/"/>
    <ds:schemaRef ds:uri="8c566321-f672-4e06-a901-b5e72b4c4357"/>
    <ds:schemaRef ds:uri="http://schemas.microsoft.com/office/2006/documentManagement/types"/>
    <ds:schemaRef ds:uri="http://schemas.microsoft.com/office/infopath/2007/PartnerControls"/>
    <ds:schemaRef ds:uri="22f0be0a-36a8-4d1a-945f-e8a2e9519595"/>
    <ds:schemaRef ds:uri="591b7eeb-5105-4999-94f6-a746eb4c631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List of publications</vt:lpstr>
      <vt:lpstr>All</vt:lpstr>
      <vt:lpstr>AllVar</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2023-06-27T12:05:18Z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